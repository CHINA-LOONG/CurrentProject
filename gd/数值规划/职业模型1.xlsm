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9085" yWindow="15" windowWidth="28350" windowHeight="12900" activeTab="2"/>
  </bookViews>
  <sheets>
    <sheet name="文档说明" sheetId="2" r:id="rId1"/>
    <sheet name="职业调整模型" sheetId="1" r:id="rId2"/>
    <sheet name="属性拆分方式" sheetId="3" r:id="rId3"/>
    <sheet name="战斗验证" sheetId="4" r:id="rId4"/>
    <sheet name="属性能力生成表" sheetId="5" r:id="rId5"/>
    <sheet name="镶嵌宝石" sheetId="6" r:id="rId6"/>
  </sheets>
  <externalReferences>
    <externalReference r:id="rId7"/>
    <externalReference r:id="rId8"/>
  </externalReferences>
  <calcPr calcId="145621"/>
</workbook>
</file>

<file path=xl/calcChain.xml><?xml version="1.0" encoding="utf-8"?>
<calcChain xmlns="http://schemas.openxmlformats.org/spreadsheetml/2006/main">
  <c r="C23" i="3" l="1"/>
  <c r="H8" i="3" l="1"/>
  <c r="I8" i="3"/>
  <c r="J8" i="3"/>
  <c r="F8" i="3"/>
  <c r="E8" i="3"/>
  <c r="G8" i="3" s="1"/>
  <c r="K8" i="3" l="1"/>
  <c r="H7" i="3"/>
  <c r="H6" i="3"/>
  <c r="E7" i="3" l="1"/>
  <c r="I7" i="3"/>
  <c r="I6" i="3"/>
  <c r="H5" i="3"/>
  <c r="I5" i="3"/>
  <c r="I4" i="3"/>
  <c r="H4" i="3"/>
  <c r="G3" i="3"/>
  <c r="I3" i="3"/>
  <c r="L4" i="3" s="1"/>
  <c r="J7" i="3"/>
  <c r="J6" i="3"/>
  <c r="J5" i="3"/>
  <c r="J4" i="3"/>
  <c r="J3" i="3"/>
  <c r="F5" i="3"/>
  <c r="F6" i="3"/>
  <c r="F7" i="3"/>
  <c r="F4" i="3"/>
  <c r="G7" i="3" l="1"/>
  <c r="K3" i="3"/>
  <c r="K7" i="3" l="1"/>
  <c r="E5" i="3" l="1"/>
  <c r="G5" i="3" s="1"/>
  <c r="E6" i="3"/>
  <c r="G6" i="3" s="1"/>
  <c r="E4" i="3"/>
  <c r="G4" i="3" s="1"/>
  <c r="L5" i="3"/>
  <c r="K4" i="3" l="1"/>
  <c r="K6" i="3"/>
  <c r="K5" i="3"/>
  <c r="L6" i="3"/>
  <c r="D68" i="1" l="1"/>
  <c r="D32" i="1" l="1"/>
  <c r="S12" i="1" l="1"/>
  <c r="T12" i="1" s="1"/>
  <c r="S14" i="1"/>
  <c r="T14" i="1" s="1"/>
  <c r="S13" i="1"/>
  <c r="T13" i="1" s="1"/>
  <c r="O14" i="1"/>
  <c r="P14" i="1" s="1"/>
  <c r="O13" i="1"/>
  <c r="P13" i="1" s="1"/>
  <c r="O12" i="1"/>
  <c r="P12" i="1" s="1"/>
  <c r="K14" i="1"/>
  <c r="L14" i="1" s="1"/>
  <c r="K13" i="1"/>
  <c r="L13" i="1" s="1"/>
  <c r="K12" i="1"/>
  <c r="L12" i="1" s="1"/>
  <c r="G12" i="1"/>
  <c r="H12" i="1" s="1"/>
  <c r="G13" i="1"/>
  <c r="H13" i="1" s="1"/>
  <c r="H42" i="1" s="1"/>
  <c r="G14" i="1"/>
  <c r="H14" i="1" s="1"/>
  <c r="H38" i="1" s="1"/>
  <c r="H39" i="1" s="1"/>
  <c r="C14" i="1"/>
  <c r="D14" i="1" s="1"/>
  <c r="C38" i="1" s="1"/>
  <c r="C39" i="1" s="1"/>
  <c r="C12" i="1"/>
  <c r="D12" i="1" s="1"/>
  <c r="C13" i="1"/>
  <c r="D13" i="1" s="1"/>
  <c r="C42" i="1" s="1"/>
  <c r="S18" i="1" l="1"/>
  <c r="E28" i="1"/>
  <c r="I35" i="1" s="1"/>
  <c r="H41" i="1" s="1"/>
  <c r="H35" i="1" l="1"/>
  <c r="H40" i="1" s="1"/>
  <c r="C35" i="1"/>
  <c r="C40" i="1" s="1"/>
  <c r="D35" i="1"/>
  <c r="C41" i="1" s="1"/>
  <c r="R56" i="1"/>
  <c r="Q56" i="1"/>
  <c r="N56" i="1"/>
  <c r="M56" i="1"/>
  <c r="E50" i="1"/>
  <c r="C59" i="1" s="1"/>
  <c r="C60" i="1" s="1"/>
  <c r="I56" i="1" l="1"/>
  <c r="H56" i="1"/>
  <c r="D56" i="1"/>
  <c r="C56" i="1"/>
  <c r="C25" i="1"/>
  <c r="Q57" i="1" s="1"/>
  <c r="C33" i="1" l="1"/>
  <c r="C36" i="1" s="1"/>
  <c r="I33" i="1"/>
  <c r="H36" i="1" s="1"/>
  <c r="D33" i="1"/>
  <c r="D36" i="1" s="1"/>
  <c r="H33" i="1"/>
  <c r="I36" i="1" s="1"/>
  <c r="C73" i="1"/>
  <c r="D73" i="1"/>
  <c r="I57" i="1"/>
  <c r="C57" i="1"/>
  <c r="R57" i="1"/>
  <c r="N57" i="1"/>
  <c r="M57" i="1"/>
  <c r="D57" i="1"/>
  <c r="H57" i="1"/>
  <c r="E36" i="1" l="1"/>
  <c r="J36" i="1"/>
  <c r="O18" i="1"/>
  <c r="Q62" i="1" l="1"/>
  <c r="M62" i="1"/>
  <c r="C62" i="1"/>
  <c r="C63" i="1" s="1"/>
  <c r="H62" i="1"/>
  <c r="H63" i="1" s="1"/>
  <c r="M63" i="1" l="1"/>
  <c r="Q59" i="1"/>
  <c r="M59" i="1"/>
  <c r="N59" i="1"/>
  <c r="R59" i="1"/>
  <c r="I59" i="1"/>
  <c r="H65" i="1" s="1"/>
  <c r="H59" i="1"/>
  <c r="H64" i="1" s="1"/>
  <c r="K18" i="1"/>
  <c r="O17" i="1"/>
  <c r="K17" i="1"/>
  <c r="C64" i="1"/>
  <c r="D59" i="1"/>
  <c r="C65" i="1" s="1"/>
  <c r="C78" i="1"/>
  <c r="C79" i="1" s="1"/>
  <c r="J10" i="3" s="1"/>
  <c r="K10" i="3" s="1"/>
  <c r="C14" i="3" s="1"/>
  <c r="C82" i="1"/>
  <c r="J13" i="3" s="1"/>
  <c r="K13" i="3" s="1"/>
  <c r="F14" i="3" s="1"/>
  <c r="F23" i="3" l="1"/>
  <c r="F63" i="3"/>
  <c r="F15" i="3"/>
  <c r="F16" i="3" s="1"/>
  <c r="F17" i="3" s="1"/>
  <c r="F18" i="3" s="1"/>
  <c r="F19" i="3" s="1"/>
  <c r="F20" i="3" s="1"/>
  <c r="F21" i="3" s="1"/>
  <c r="F22" i="3" s="1"/>
  <c r="F53" i="3"/>
  <c r="F33" i="3"/>
  <c r="F43" i="3"/>
  <c r="C63" i="3"/>
  <c r="C33" i="3"/>
  <c r="C43" i="3"/>
  <c r="C53" i="3"/>
  <c r="Q63" i="1"/>
  <c r="R60" i="1"/>
  <c r="Q65" i="1"/>
  <c r="M65" i="1"/>
  <c r="N60" i="1"/>
  <c r="M64" i="1"/>
  <c r="M60" i="1"/>
  <c r="Q60" i="1"/>
  <c r="Q64" i="1"/>
  <c r="H60" i="1"/>
  <c r="I60" i="1"/>
  <c r="D60" i="1"/>
  <c r="G17" i="1"/>
  <c r="C17" i="1"/>
  <c r="C15" i="3" l="1"/>
  <c r="C16" i="3" s="1"/>
  <c r="C17" i="3" s="1"/>
  <c r="C18" i="3" s="1"/>
  <c r="C19" i="3" s="1"/>
  <c r="C20" i="3" s="1"/>
  <c r="C21" i="3" s="1"/>
  <c r="C22" i="3" s="1"/>
  <c r="S60" i="1"/>
  <c r="E60" i="1"/>
  <c r="O60" i="1"/>
  <c r="J60" i="1"/>
  <c r="G18" i="1"/>
  <c r="C18" i="1"/>
  <c r="C75" i="1" l="1"/>
  <c r="D75" i="1"/>
  <c r="S17" i="1"/>
  <c r="C80" i="1" l="1"/>
  <c r="J11" i="3" s="1"/>
  <c r="K11" i="3" s="1"/>
  <c r="D14" i="3" s="1"/>
  <c r="D23" i="3" s="1"/>
  <c r="D15" i="3" s="1"/>
  <c r="D16" i="3" s="1"/>
  <c r="D17" i="3" s="1"/>
  <c r="D18" i="3" s="1"/>
  <c r="D19" i="3" s="1"/>
  <c r="D20" i="3" s="1"/>
  <c r="D21" i="3" s="1"/>
  <c r="D22" i="3" s="1"/>
  <c r="C76" i="1"/>
  <c r="C81" i="1"/>
  <c r="J12" i="3" s="1"/>
  <c r="K12" i="3" s="1"/>
  <c r="E14" i="3" s="1"/>
  <c r="E23" i="3" s="1"/>
  <c r="D76" i="1"/>
  <c r="E43" i="3"/>
  <c r="E15" i="3"/>
  <c r="E16" i="3" s="1"/>
  <c r="E17" i="3" s="1"/>
  <c r="E18" i="3" s="1"/>
  <c r="E19" i="3" s="1"/>
  <c r="E20" i="3" s="1"/>
  <c r="E21" i="3" s="1"/>
  <c r="E22" i="3" s="1"/>
  <c r="E33" i="3" l="1"/>
  <c r="D43" i="3"/>
  <c r="E63" i="3"/>
  <c r="D33" i="3"/>
  <c r="D63" i="3"/>
  <c r="D53" i="3"/>
  <c r="E53" i="3"/>
  <c r="E76" i="1"/>
</calcChain>
</file>

<file path=xl/sharedStrings.xml><?xml version="1.0" encoding="utf-8"?>
<sst xmlns="http://schemas.openxmlformats.org/spreadsheetml/2006/main" count="159" uniqueCount="103">
  <si>
    <t>总属性拆分</t>
    <phoneticPr fontId="1" type="noConversion"/>
  </si>
  <si>
    <t>目标模型</t>
    <phoneticPr fontId="1" type="noConversion"/>
  </si>
  <si>
    <t>简单战斗模拟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</si>
  <si>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</si>
  <si>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</si>
  <si>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</si>
  <si>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</si>
  <si>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</si>
  <si>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</si>
  <si>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</si>
  <si>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</si>
  <si>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</si>
  <si>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</si>
  <si>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</si>
  <si>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</si>
  <si>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</si>
  <si>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</si>
  <si>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</si>
  <si>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</si>
  <si>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</si>
  <si>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</si>
  <si>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</si>
  <si>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</si>
  <si>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</si>
  <si>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</si>
  <si>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</si>
  <si>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</si>
  <si>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</si>
  <si>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</si>
  <si>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</si>
  <si>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</si>
  <si>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</si>
  <si>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</si>
  <si>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</si>
  <si>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</si>
  <si>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</si>
  <si>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</si>
  <si>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</si>
  <si>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</si>
  <si>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</si>
  <si>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</si>
  <si>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</si>
  <si>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</si>
  <si>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</si>
  <si>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</si>
  <si>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</si>
  <si>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</si>
  <si>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</si>
  <si>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</si>
  <si>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</si>
  <si>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</si>
  <si>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</si>
  <si>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</si>
  <si>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</si>
  <si>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</si>
  <si>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</si>
  <si>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</si>
  <si>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装备基础</t>
    <phoneticPr fontId="1" type="noConversion"/>
  </si>
  <si>
    <t>装备强化</t>
    <phoneticPr fontId="1" type="noConversion"/>
  </si>
  <si>
    <t>装备附加</t>
    <phoneticPr fontId="1" type="noConversion"/>
  </si>
  <si>
    <t>镶嵌</t>
    <phoneticPr fontId="1" type="noConversion"/>
  </si>
  <si>
    <t>宠物培养预留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</si>
  <si>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</si>
  <si>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</si>
  <si>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</si>
  <si>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</si>
  <si>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</si>
  <si>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</si>
  <si>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</si>
  <si>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</si>
  <si>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</si>
  <si>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</si>
  <si>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</si>
  <si>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output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</si>
  <si>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</si>
  <si>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</si>
  <si>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</si>
  <si>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</si>
  <si>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</si>
  <si>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</si>
  <si>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</si>
  <si>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</si>
  <si>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</si>
  <si>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产出经验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</si>
  <si>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</si>
  <si>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</si>
  <si>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</si>
  <si>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</si>
  <si>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</si>
  <si>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</si>
  <si>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</si>
  <si>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</si>
  <si>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</si>
  <si>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</si>
  <si>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镶嵌数量</t>
    <phoneticPr fontId="1" type="noConversion"/>
  </si>
  <si>
    <t>总量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</si>
  <si>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</si>
  <si>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</si>
  <si>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</si>
  <si>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</si>
  <si>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镶嵌设计</t>
    <phoneticPr fontId="1" type="noConversion"/>
  </si>
  <si>
    <t>进阶提升</t>
    <phoneticPr fontId="1" type="noConversion"/>
  </si>
  <si>
    <t>升星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</si>
</sst>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6" borderId="0" xfId="0" applyFill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D$5" horiz="1" max="10000" page="10" val="62"/>
</file>

<file path=xl/ctrlProps/ctrlProp2.xml><?xml version="1.0" encoding="utf-8"?>
<formControlPr xmlns="http://schemas.microsoft.com/office/spreadsheetml/2009/9/main" objectType="Scroll" dx="16" fmlaLink="$D$7" horiz="1" max="10000" page="10" val="75"/>
</file>

<file path=xl/ctrlProps/ctrlProp3.xml><?xml version="1.0" encoding="utf-8"?>
<formControlPr xmlns="http://schemas.microsoft.com/office/spreadsheetml/2009/9/main" objectType="Scroll" dx="16" fmlaLink="$D$9" horiz="1" max="10000" page="10" val="829"/>
</file>

<file path=xl/ctrlProps/ctrlProp4.xml><?xml version="1.0" encoding="utf-8"?>
<formControlPr xmlns="http://schemas.microsoft.com/office/spreadsheetml/2009/9/main" objectType="Scroll" dx="16" fmlaLink="$H$5" horiz="1" max="10000" page="10" val="50"/>
</file>

<file path=xl/ctrlProps/ctrlProp5.xml><?xml version="1.0" encoding="utf-8"?>
<formControlPr xmlns="http://schemas.microsoft.com/office/spreadsheetml/2009/9/main" objectType="Scroll" dx="16" fmlaLink="$H$7" horiz="1" max="10000" page="10" val="236"/>
</file>

<file path=xl/ctrlProps/ctrlProp6.xml><?xml version="1.0" encoding="utf-8"?>
<formControlPr xmlns="http://schemas.microsoft.com/office/spreadsheetml/2009/9/main" objectType="Scroll" dx="16" fmlaLink="$H$9" horiz="1" max="10000" page="10" val="580"/>
</file>

<file path=xl/ctrlProps/ctrlProp7.xml><?xml version="1.0" encoding="utf-8"?>
<formControlPr xmlns="http://schemas.microsoft.com/office/spreadsheetml/2009/9/main" objectType="Scroll" dx="16" fmlaLink="$L$5" horiz="1" max="10000" page="10" val="357"/>
</file>

<file path=xl/ctrlProps/ctrlProp8.xml><?xml version="1.0" encoding="utf-8"?>
<formControlPr xmlns="http://schemas.microsoft.com/office/spreadsheetml/2009/9/main" objectType="Scroll" dx="16" fmlaLink="$L$7" horiz="1" max="10000" page="10" val="40"/>
</file>

<file path=xl/ctrlProps/ctrlProp9.xml><?xml version="1.0" encoding="utf-8"?>
<formControlPr xmlns="http://schemas.microsoft.com/office/spreadsheetml/2009/9/main" objectType="Scroll" dx="16" fmlaLink="$L$9" horiz="1" max="10000" page="10" val="248"/>
</file>

<file path=xl/ctrlProps/ctrlProp10.xml><?xml version="1.0" encoding="utf-8"?>
<formControlPr xmlns="http://schemas.microsoft.com/office/spreadsheetml/2009/9/main" objectType="Scroll" dx="16" fmlaLink="$P$5" horiz="1" max="10000" page="10" val="62"/>
</file>

<file path=xl/ctrlProps/ctrlProp11.xml><?xml version="1.0" encoding="utf-8"?>
<formControlPr xmlns="http://schemas.microsoft.com/office/spreadsheetml/2009/9/main" objectType="Scroll" dx="16" fmlaLink="$P$7" horiz="1" max="10000" page="10" val="50"/>
</file>

<file path=xl/ctrlProps/ctrlProp12.xml><?xml version="1.0" encoding="utf-8"?>
<formControlPr xmlns="http://schemas.microsoft.com/office/spreadsheetml/2009/9/main" objectType="Scroll" dx="16" fmlaLink="$P$9" horiz="1" max="10000" page="10" val="358"/>
</file>

<file path=xl/ctrlProps/ctrlProp13.xml><?xml version="1.0" encoding="utf-8"?>
<formControlPr xmlns="http://schemas.microsoft.com/office/spreadsheetml/2009/9/main" objectType="Scroll" dx="16" fmlaLink="$T$5" horiz="1" max="10000" page="10" val="300"/>
</file>

<file path=xl/ctrlProps/ctrlProp14.xml><?xml version="1.0" encoding="utf-8"?>
<formControlPr xmlns="http://schemas.microsoft.com/office/spreadsheetml/2009/9/main" objectType="Scroll" dx="16" fmlaLink="$T$7" horiz="1" max="10000" page="10" val="300"/>
</file>

<file path=xl/ctrlProps/ctrlProp15.xml><?xml version="1.0" encoding="utf-8"?>
<formControlPr xmlns="http://schemas.microsoft.com/office/spreadsheetml/2009/9/main" objectType="Scroll" dx="16" fmlaLink="$T$9" horiz="1" max="10000" page="10" val="400"/>
</file>

<file path=xl/ctrlProps/ctrlProp16.xml><?xml version="1.0" encoding="utf-8"?>
<formControlPr xmlns="http://schemas.microsoft.com/office/spreadsheetml/2009/9/main" objectType="Scroll" dx="16" fmlaLink="$B$25" horiz="1" max="1000" page="10" val="6"/>
</file>

<file path=xl/ctrlProps/ctrlProp17.xml><?xml version="1.0" encoding="utf-8"?>
<formControlPr xmlns="http://schemas.microsoft.com/office/spreadsheetml/2009/9/main" objectType="Scroll" dx="16" fmlaLink="$D$50" horiz="1" max="100" page="10" val="65"/>
</file>

<file path=xl/ctrlProps/ctrlProp18.xml><?xml version="1.0" encoding="utf-8"?>
<formControlPr xmlns="http://schemas.microsoft.com/office/spreadsheetml/2009/9/main" objectType="Scroll" dx="16" fmlaLink="$D$28" horiz="1" max="100" page="10" val="57"/>
</file>

<file path=xl/ctrlProps/ctrlProp19.xml><?xml version="1.0" encoding="utf-8"?>
<formControlPr xmlns="http://schemas.microsoft.com/office/spreadsheetml/2009/9/main" objectType="Scroll" dx="16" fmlaLink="$C$68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24</xdr:row>
          <xdr:rowOff>0</xdr:rowOff>
        </xdr:from>
        <xdr:to>
          <xdr:col>1</xdr:col>
          <xdr:colOff>723900</xdr:colOff>
          <xdr:row>24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49</xdr:row>
          <xdr:rowOff>28575</xdr:rowOff>
        </xdr:from>
        <xdr:to>
          <xdr:col>3</xdr:col>
          <xdr:colOff>676275</xdr:colOff>
          <xdr:row>49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27</xdr:row>
          <xdr:rowOff>19050</xdr:rowOff>
        </xdr:from>
        <xdr:to>
          <xdr:col>3</xdr:col>
          <xdr:colOff>676275</xdr:colOff>
          <xdr:row>27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66</xdr:row>
          <xdr:rowOff>152400</xdr:rowOff>
        </xdr:from>
        <xdr:to>
          <xdr:col>3</xdr:col>
          <xdr:colOff>66675</xdr:colOff>
          <xdr:row>67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Xteam/gd/&#25968;&#20540;&#35268;&#21010;/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Xteam/gd/&#25968;&#20540;&#35268;&#21010;/&#23646;&#24615;&#25286;&#2099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AI"/>
      <sheetName val="技能实现"/>
    </sheetNames>
    <sheetDataSet>
      <sheetData sheetId="0">
        <row r="81">
          <cell r="C81">
            <v>1.1037073521029699</v>
          </cell>
          <cell r="D81">
            <v>0.98373875367592956</v>
          </cell>
          <cell r="E81">
            <v>1.4767427774562607</v>
          </cell>
        </row>
        <row r="82">
          <cell r="C82">
            <v>0.62328767123287665</v>
          </cell>
          <cell r="D82">
            <v>1.0133178922987838</v>
          </cell>
          <cell r="E82">
            <v>0.53030303030303039</v>
          </cell>
        </row>
        <row r="83">
          <cell r="C83">
            <v>6.4969062351261293</v>
          </cell>
          <cell r="D83">
            <v>1.9354838709677422</v>
          </cell>
          <cell r="E83">
            <v>4.361538461538462</v>
          </cell>
        </row>
      </sheetData>
      <sheetData sheetId="1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系数"/>
      <sheetName val="总属性成长"/>
      <sheetName val="技能占比"/>
      <sheetName val="AI"/>
      <sheetName val="自用"/>
    </sheetNames>
    <sheetDataSet>
      <sheetData sheetId="0">
        <row r="47">
          <cell r="E47">
            <v>0.5</v>
          </cell>
          <cell r="F47">
            <v>0.75</v>
          </cell>
          <cell r="G47">
            <v>0.78750000000000009</v>
          </cell>
          <cell r="H47">
            <v>1.1812500000000001</v>
          </cell>
          <cell r="I47">
            <v>1.2403125000000002</v>
          </cell>
          <cell r="J47">
            <v>1.8604687500000003</v>
          </cell>
          <cell r="K47">
            <v>1.9534921875000004</v>
          </cell>
          <cell r="L47">
            <v>2.9302382812500007</v>
          </cell>
          <cell r="M47">
            <v>3.0767501953125009</v>
          </cell>
          <cell r="N47">
            <v>4.6151252929687514</v>
          </cell>
          <cell r="O47">
            <v>4.8458815576171892</v>
          </cell>
        </row>
        <row r="48">
          <cell r="F48">
            <v>1.75</v>
          </cell>
          <cell r="G48">
            <v>1.7875000000000001</v>
          </cell>
          <cell r="H48">
            <v>2.1812500000000004</v>
          </cell>
          <cell r="I48">
            <v>2.2403124999999999</v>
          </cell>
          <cell r="J48">
            <v>2.8604687500000003</v>
          </cell>
          <cell r="K48">
            <v>2.9534921875000002</v>
          </cell>
          <cell r="L48">
            <v>3.9302382812500007</v>
          </cell>
          <cell r="M48">
            <v>4.0767501953125009</v>
          </cell>
          <cell r="N48">
            <v>5.6151252929687514</v>
          </cell>
          <cell r="O48">
            <v>5.8458815576171892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32" sqref="B3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5"/>
  <sheetViews>
    <sheetView topLeftCell="A58" workbookViewId="0">
      <selection activeCell="C98" sqref="C98"/>
    </sheetView>
  </sheetViews>
  <sheetFormatPr defaultRowHeight="13.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>
      <c r="A1" t="s">
        <v>1</v>
      </c>
    </row>
    <row r="4" spans="1:35">
      <c r="C4" t="s">
        <v>3</v>
      </c>
      <c r="G4" t="s">
        <v>4</v>
      </c>
      <c r="K4" t="s">
        <v>27</v>
      </c>
      <c r="O4" t="s">
        <v>23</v>
      </c>
      <c r="S4" t="s">
        <v>28</v>
      </c>
    </row>
    <row r="5" spans="1:35">
      <c r="B5" t="s">
        <v>5</v>
      </c>
      <c r="D5" s="11">
        <v>62</v>
      </c>
      <c r="H5" s="11">
        <v>50</v>
      </c>
      <c r="L5" s="11">
        <v>357</v>
      </c>
      <c r="P5" s="11">
        <v>62</v>
      </c>
      <c r="T5" s="11">
        <v>300</v>
      </c>
    </row>
    <row r="6" spans="1:35">
      <c r="B6" s="2">
        <v>850</v>
      </c>
      <c r="D6" s="11"/>
      <c r="H6" s="11"/>
      <c r="L6" s="11"/>
      <c r="P6" s="11"/>
      <c r="T6" s="11"/>
    </row>
    <row r="7" spans="1:35">
      <c r="D7" s="11">
        <v>75</v>
      </c>
      <c r="H7" s="11">
        <v>236</v>
      </c>
      <c r="L7" s="11">
        <v>40</v>
      </c>
      <c r="P7" s="11">
        <v>50</v>
      </c>
      <c r="T7" s="11">
        <v>300</v>
      </c>
    </row>
    <row r="8" spans="1:35">
      <c r="D8" s="11"/>
      <c r="H8" s="11"/>
      <c r="L8" s="11"/>
      <c r="P8" s="11"/>
      <c r="T8" s="11"/>
    </row>
    <row r="9" spans="1:35">
      <c r="D9" s="11">
        <v>829</v>
      </c>
      <c r="H9" s="11">
        <v>580</v>
      </c>
      <c r="L9" s="11">
        <v>248</v>
      </c>
      <c r="P9" s="11">
        <v>358</v>
      </c>
      <c r="T9" s="11">
        <v>400</v>
      </c>
    </row>
    <row r="10" spans="1:35">
      <c r="D10" s="11"/>
      <c r="H10" s="11"/>
      <c r="L10" s="11"/>
      <c r="P10" s="11"/>
      <c r="T10" s="11"/>
    </row>
    <row r="11" spans="1:35">
      <c r="A11" s="11" t="s">
        <v>34</v>
      </c>
      <c r="H11" s="11"/>
      <c r="L11" s="11"/>
      <c r="P11" s="11"/>
      <c r="T11" s="11"/>
    </row>
    <row r="12" spans="1:35" ht="15" customHeight="1">
      <c r="B12" t="s">
        <v>6</v>
      </c>
      <c r="C12" s="3">
        <f>[1]职业定位属性配比!$C$82*$B$6</f>
        <v>529.79452054794513</v>
      </c>
      <c r="D12" s="3">
        <f>ROUND(C12+[1]职业定位属性配比!$C$82*$D$5,0)</f>
        <v>568</v>
      </c>
      <c r="G12" s="3">
        <f>[1]职业定位属性配比!$C82*$B$6</f>
        <v>529.79452054794513</v>
      </c>
      <c r="H12" s="3">
        <f>ROUND(G12+[1]职业定位属性配比!$C$82*H5,0)</f>
        <v>561</v>
      </c>
      <c r="K12" s="3">
        <f>[1]职业定位属性配比!$D$82*B6</f>
        <v>861.32020845396619</v>
      </c>
      <c r="L12" s="3">
        <f>ROUND(K12+[1]职业定位属性配比!$D$82*L5,0)</f>
        <v>1223</v>
      </c>
      <c r="O12" s="3">
        <f>[1]职业定位属性配比!$D$82*B6</f>
        <v>861.32020845396619</v>
      </c>
      <c r="P12" s="3">
        <f>ROUND(O12+[1]职业定位属性配比!$D$82*P5,0)</f>
        <v>924</v>
      </c>
      <c r="S12" s="3">
        <f>[1]职业定位属性配比!$E$82*$B$6</f>
        <v>450.75757575757581</v>
      </c>
      <c r="T12" s="3">
        <f>ROUND(S12+[1]职业定位属性配比!$E$82*T5,0)</f>
        <v>610</v>
      </c>
    </row>
    <row r="13" spans="1:35">
      <c r="B13" t="s">
        <v>7</v>
      </c>
      <c r="C13" s="3">
        <f>[1]职业定位属性配比!$C$81*$B$6</f>
        <v>938.15124928752437</v>
      </c>
      <c r="D13" s="3">
        <f>ROUND(C13+[1]职业定位属性配比!$C$81*$D7,0)</f>
        <v>1021</v>
      </c>
      <c r="G13" s="3">
        <f>[1]职业定位属性配比!$C81*$B$6</f>
        <v>938.15124928752437</v>
      </c>
      <c r="H13" s="3">
        <f>ROUND(G13+[1]职业定位属性配比!$C$81*H7,0)</f>
        <v>1199</v>
      </c>
      <c r="K13" s="3">
        <f>[1]职业定位属性配比!$D$81*B6</f>
        <v>836.17794062454016</v>
      </c>
      <c r="L13" s="3">
        <f>ROUND(K13+[1]职业定位属性配比!$D$81*L7,0)</f>
        <v>876</v>
      </c>
      <c r="O13" s="3">
        <f>[1]职业定位属性配比!$D$81*B6</f>
        <v>836.17794062454016</v>
      </c>
      <c r="P13" s="3">
        <f>ROUND(O13+[1]职业定位属性配比!$D$81*P7,0)</f>
        <v>885</v>
      </c>
      <c r="S13" s="3">
        <f>[1]职业定位属性配比!$E$81*$B$6</f>
        <v>1255.2313608378215</v>
      </c>
      <c r="T13" s="3">
        <f>ROUND(S13+[1]职业定位属性配比!$E$81*T7,0)</f>
        <v>1698</v>
      </c>
    </row>
    <row r="14" spans="1:35">
      <c r="B14" t="s">
        <v>8</v>
      </c>
      <c r="C14" s="3">
        <f>[1]职业定位属性配比!$C$83*B6</f>
        <v>5522.3702998572098</v>
      </c>
      <c r="D14" s="3">
        <f>ROUND(C14+[1]职业定位属性配比!$C$83*$D9,0)</f>
        <v>10908</v>
      </c>
      <c r="G14" s="3">
        <f>[1]职业定位属性配比!$C83*B6</f>
        <v>5522.3702998572098</v>
      </c>
      <c r="H14" s="3">
        <f>ROUND(G14+[1]职业定位属性配比!$C$83*H9,0)</f>
        <v>9291</v>
      </c>
      <c r="K14" s="3">
        <f>[1]职业定位属性配比!$D$83*B6</f>
        <v>1645.161290322581</v>
      </c>
      <c r="L14" s="3">
        <f>ROUND(K14+[1]职业定位属性配比!$D$83*L9,0)</f>
        <v>2125</v>
      </c>
      <c r="O14" s="3">
        <f>[1]职业定位属性配比!$D$83*B6</f>
        <v>1645.161290322581</v>
      </c>
      <c r="P14" s="3">
        <f>ROUND(O14+[1]职业定位属性配比!$D$83*P9,0)</f>
        <v>2338</v>
      </c>
      <c r="S14" s="3">
        <f>[1]职业定位属性配比!$E$83*$B$6</f>
        <v>3707.3076923076928</v>
      </c>
      <c r="T14" s="3">
        <f>ROUND(S14+[1]职业定位属性配比!$E$83*T9,0)</f>
        <v>5452</v>
      </c>
    </row>
    <row r="15" spans="1:3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</row>
    <row r="16" spans="1:35">
      <c r="B16" s="9" t="s">
        <v>24</v>
      </c>
      <c r="C16" s="10">
        <v>0.9</v>
      </c>
      <c r="D16" s="10"/>
      <c r="E16" s="10"/>
      <c r="F16" s="10"/>
      <c r="G16" s="10">
        <v>0.85</v>
      </c>
      <c r="H16" s="10"/>
      <c r="I16" s="10"/>
      <c r="J16" s="10"/>
      <c r="K16" s="10">
        <v>1.2</v>
      </c>
      <c r="L16" s="10"/>
      <c r="M16" s="10"/>
      <c r="N16" s="10"/>
      <c r="O16" s="10">
        <v>1.6</v>
      </c>
      <c r="P16" s="10"/>
      <c r="Q16" s="10"/>
      <c r="R16" s="10"/>
      <c r="S16" s="10">
        <v>1</v>
      </c>
      <c r="T16" s="10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>
      <c r="B17" s="9" t="s">
        <v>25</v>
      </c>
      <c r="C17" s="3">
        <f>D12*C16</f>
        <v>511.2</v>
      </c>
      <c r="D17" s="9"/>
      <c r="E17" s="9"/>
      <c r="F17" s="9"/>
      <c r="G17" s="3">
        <f>H12*G16</f>
        <v>476.84999999999997</v>
      </c>
      <c r="H17" s="9"/>
      <c r="I17" s="9"/>
      <c r="J17" s="9"/>
      <c r="K17" s="3">
        <f>L12*K16</f>
        <v>1467.6</v>
      </c>
      <c r="L17" s="9"/>
      <c r="M17" s="9"/>
      <c r="N17" s="9"/>
      <c r="O17" s="3">
        <f>P12*O16</f>
        <v>1478.4</v>
      </c>
      <c r="P17" s="9"/>
      <c r="Q17" s="9"/>
      <c r="R17" s="9"/>
      <c r="S17" s="3">
        <f>T12*S16</f>
        <v>610</v>
      </c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</row>
    <row r="18" spans="1:36">
      <c r="B18" s="9" t="s">
        <v>26</v>
      </c>
      <c r="C18">
        <f>D13*D14/10000</f>
        <v>1113.7067999999999</v>
      </c>
      <c r="G18">
        <f>H13*H14/10000</f>
        <v>1113.9909</v>
      </c>
      <c r="K18">
        <f>L13*L14/10000</f>
        <v>186.15</v>
      </c>
      <c r="O18">
        <f>P13*P14/10000</f>
        <v>206.91300000000001</v>
      </c>
      <c r="S18">
        <f>T13*T14/10000</f>
        <v>925.74959999999999</v>
      </c>
    </row>
    <row r="19" spans="1:36">
      <c r="B19" s="9"/>
      <c r="L19" s="9"/>
    </row>
    <row r="20" spans="1:36">
      <c r="B20" t="s">
        <v>9</v>
      </c>
    </row>
    <row r="21" spans="1:36">
      <c r="B21" t="s">
        <v>10</v>
      </c>
    </row>
    <row r="22" spans="1:36">
      <c r="F22" t="s">
        <v>20</v>
      </c>
    </row>
    <row r="24" spans="1:36">
      <c r="A24" t="s">
        <v>11</v>
      </c>
      <c r="D24" t="s">
        <v>16</v>
      </c>
    </row>
    <row r="25" spans="1:36" ht="26.25" customHeight="1">
      <c r="A25" s="2"/>
      <c r="B25" s="2">
        <v>6</v>
      </c>
      <c r="C25" s="7">
        <f>B25/1000</f>
        <v>6.0000000000000001E-3</v>
      </c>
      <c r="D25" t="s">
        <v>15</v>
      </c>
      <c r="F25" t="s">
        <v>48</v>
      </c>
      <c r="G25" s="2">
        <v>1</v>
      </c>
      <c r="I25" t="s">
        <v>49</v>
      </c>
      <c r="J25" s="2">
        <v>1</v>
      </c>
      <c r="L25" t="s">
        <v>50</v>
      </c>
      <c r="M25" s="2">
        <v>1</v>
      </c>
    </row>
    <row r="26" spans="1:36" ht="26.25" customHeight="1">
      <c r="A26" s="5" t="s">
        <v>12</v>
      </c>
      <c r="B26" s="2">
        <v>50</v>
      </c>
      <c r="G26" s="4"/>
    </row>
    <row r="27" spans="1:36" ht="15" customHeight="1">
      <c r="A27" s="2"/>
      <c r="B27" s="2"/>
      <c r="E27" t="s">
        <v>29</v>
      </c>
    </row>
    <row r="28" spans="1:36">
      <c r="A28" t="s">
        <v>19</v>
      </c>
      <c r="D28">
        <v>57</v>
      </c>
      <c r="E28" s="7">
        <f>D28/100</f>
        <v>0.56999999999999995</v>
      </c>
    </row>
    <row r="29" spans="1:36">
      <c r="A29" t="s">
        <v>39</v>
      </c>
      <c r="C29" s="4"/>
      <c r="H29" t="s">
        <v>42</v>
      </c>
    </row>
    <row r="30" spans="1:36">
      <c r="A30" t="s">
        <v>41</v>
      </c>
      <c r="C30" s="4"/>
      <c r="H30" t="s">
        <v>43</v>
      </c>
    </row>
    <row r="31" spans="1:36">
      <c r="C31" s="4"/>
    </row>
    <row r="32" spans="1:36">
      <c r="A32" t="s">
        <v>17</v>
      </c>
      <c r="C32" s="3">
        <v>2</v>
      </c>
      <c r="D32" s="3">
        <f>[1]AI!$D$2</f>
        <v>2</v>
      </c>
      <c r="E32" s="9"/>
      <c r="H32" s="3">
        <v>2</v>
      </c>
      <c r="I32" s="3">
        <v>3</v>
      </c>
      <c r="J32" s="9"/>
    </row>
    <row r="33" spans="1:11">
      <c r="A33" t="s">
        <v>18</v>
      </c>
      <c r="B33" s="2">
        <v>0.88</v>
      </c>
      <c r="C33" s="6">
        <f>($B$26-1)*$C$25+C32/100</f>
        <v>0.314</v>
      </c>
      <c r="D33" s="6">
        <f>($B$26-1)*$C$25*(B33)+D32/100</f>
        <v>0.27872000000000002</v>
      </c>
      <c r="E33" s="13"/>
      <c r="G33" s="2">
        <v>0.8</v>
      </c>
      <c r="H33" s="6">
        <f>($B$26-1)*$C$25*(G33)+I32/100</f>
        <v>0.26519999999999999</v>
      </c>
      <c r="I33" s="6">
        <f>($B$26-1)*$C$25+H32/100</f>
        <v>0.314</v>
      </c>
      <c r="J33" s="13"/>
    </row>
    <row r="34" spans="1:11">
      <c r="C34" t="s">
        <v>32</v>
      </c>
      <c r="D34" t="s">
        <v>33</v>
      </c>
      <c r="E34" s="9"/>
      <c r="H34" t="s">
        <v>32</v>
      </c>
      <c r="I34" t="s">
        <v>33</v>
      </c>
      <c r="J34" s="9"/>
    </row>
    <row r="35" spans="1:11">
      <c r="C35" s="3">
        <f>ROUND(D12*E28,0)</f>
        <v>324</v>
      </c>
      <c r="D35" s="3">
        <f>ROUND(D12*(1-E28),0)</f>
        <v>244</v>
      </c>
      <c r="E35" s="9"/>
      <c r="H35" s="3">
        <f>ROUND(H12*(1-E28),0)</f>
        <v>241</v>
      </c>
      <c r="I35" s="3">
        <f>ROUND(H12*E28,0)</f>
        <v>320</v>
      </c>
      <c r="J35" s="9"/>
    </row>
    <row r="36" spans="1:11">
      <c r="A36" t="s">
        <v>40</v>
      </c>
      <c r="C36" s="15">
        <f>C35/1000*C33</f>
        <v>0.10173600000000001</v>
      </c>
      <c r="D36" s="15">
        <f>D35/1000*D33</f>
        <v>6.8007680000000001E-2</v>
      </c>
      <c r="E36" s="16">
        <f>(C36+D36)*C16</f>
        <v>0.15276931200000002</v>
      </c>
      <c r="H36" s="15">
        <f>I35/1000*I33</f>
        <v>0.10048</v>
      </c>
      <c r="I36" s="15">
        <f>H35/1000*H33</f>
        <v>6.3913199999999989E-2</v>
      </c>
      <c r="J36" s="16">
        <f>(H36+I36)*G16</f>
        <v>0.13973421999999999</v>
      </c>
    </row>
    <row r="37" spans="1:11">
      <c r="C37" s="18"/>
      <c r="D37" s="19"/>
      <c r="E37" s="19"/>
      <c r="F37" s="19"/>
      <c r="G37" s="19"/>
      <c r="H37" s="19"/>
      <c r="I37" s="19"/>
      <c r="J37" s="19"/>
      <c r="K37" s="10"/>
    </row>
    <row r="38" spans="1:11">
      <c r="A38" t="s">
        <v>45</v>
      </c>
      <c r="C38" s="21">
        <f>D14</f>
        <v>10908</v>
      </c>
      <c r="D38" s="19"/>
      <c r="E38" s="19"/>
      <c r="F38" s="19"/>
      <c r="G38" t="s">
        <v>45</v>
      </c>
      <c r="H38" s="22">
        <f>H14</f>
        <v>9291</v>
      </c>
      <c r="I38" s="19"/>
      <c r="J38" s="19"/>
      <c r="K38" s="10"/>
    </row>
    <row r="39" spans="1:11">
      <c r="A39" t="s">
        <v>44</v>
      </c>
      <c r="C39" s="21">
        <f>ROUND(C38*G25,0)</f>
        <v>10908</v>
      </c>
      <c r="D39" s="19"/>
      <c r="E39" s="19"/>
      <c r="F39" s="19"/>
      <c r="G39" t="s">
        <v>44</v>
      </c>
      <c r="H39" s="22">
        <f>ROUND(H38*G25,0)</f>
        <v>9291</v>
      </c>
      <c r="I39" s="19"/>
      <c r="J39" s="19"/>
      <c r="K39" s="10"/>
    </row>
    <row r="40" spans="1:11">
      <c r="A40" t="s">
        <v>46</v>
      </c>
      <c r="C40" s="21">
        <f>C35</f>
        <v>324</v>
      </c>
      <c r="D40" s="19"/>
      <c r="E40" s="19"/>
      <c r="F40" s="19"/>
      <c r="G40" t="s">
        <v>46</v>
      </c>
      <c r="H40" s="22">
        <f>H35</f>
        <v>241</v>
      </c>
      <c r="I40" s="19"/>
      <c r="J40" s="19"/>
      <c r="K40" s="10"/>
    </row>
    <row r="41" spans="1:11">
      <c r="A41" t="s">
        <v>47</v>
      </c>
      <c r="C41" s="21">
        <f>D35</f>
        <v>244</v>
      </c>
      <c r="D41" s="19"/>
      <c r="E41" s="19"/>
      <c r="F41" s="19"/>
      <c r="G41" t="s">
        <v>47</v>
      </c>
      <c r="H41" s="22">
        <f>I35</f>
        <v>320</v>
      </c>
      <c r="I41" s="19"/>
      <c r="J41" s="19"/>
      <c r="K41" s="10"/>
    </row>
    <row r="42" spans="1:11">
      <c r="A42" t="s">
        <v>84</v>
      </c>
      <c r="C42" s="21">
        <f>D13</f>
        <v>1021</v>
      </c>
      <c r="D42" s="19"/>
      <c r="E42" s="19"/>
      <c r="F42" s="19"/>
      <c r="G42" t="s">
        <v>84</v>
      </c>
      <c r="H42" s="22">
        <f>H13</f>
        <v>1199</v>
      </c>
      <c r="I42" s="19"/>
      <c r="J42" s="19"/>
      <c r="K42" s="10"/>
    </row>
    <row r="43" spans="1:11">
      <c r="C43" s="20"/>
      <c r="D43" s="20"/>
      <c r="E43" s="20"/>
      <c r="F43" s="20"/>
      <c r="G43" s="20"/>
      <c r="H43" s="20"/>
      <c r="I43" s="20"/>
      <c r="J43" s="20"/>
    </row>
    <row r="44" spans="1:11">
      <c r="C44" s="20"/>
      <c r="D44" s="20"/>
      <c r="E44" s="20"/>
      <c r="F44" s="20"/>
      <c r="G44" s="20"/>
      <c r="H44" s="20"/>
      <c r="I44" s="20"/>
      <c r="J44" s="20"/>
    </row>
    <row r="45" spans="1:11">
      <c r="E45" s="4"/>
    </row>
    <row r="46" spans="1:11">
      <c r="E46" s="4"/>
    </row>
    <row r="47" spans="1:11">
      <c r="E47" s="4"/>
    </row>
    <row r="48" spans="1:11">
      <c r="E48" s="4"/>
    </row>
    <row r="49" spans="1:26">
      <c r="A49" s="2"/>
      <c r="B49" s="2"/>
      <c r="E49" t="s">
        <v>29</v>
      </c>
    </row>
    <row r="50" spans="1:26">
      <c r="A50" t="s">
        <v>19</v>
      </c>
      <c r="D50">
        <v>65</v>
      </c>
      <c r="E50" s="7">
        <f>D50/100</f>
        <v>0.65</v>
      </c>
    </row>
    <row r="51" spans="1:26">
      <c r="E51" s="9"/>
      <c r="T51" s="9"/>
      <c r="U51" s="9"/>
      <c r="V51" s="9"/>
      <c r="W51" s="9"/>
      <c r="X51" s="9"/>
      <c r="Y51" s="9"/>
      <c r="Z51" s="9"/>
    </row>
    <row r="52" spans="1:26">
      <c r="C52" s="12" t="s">
        <v>30</v>
      </c>
      <c r="E52" s="9"/>
      <c r="M52" s="12" t="s">
        <v>31</v>
      </c>
      <c r="T52" s="9"/>
      <c r="U52" s="9"/>
      <c r="V52" s="9"/>
      <c r="W52" s="9"/>
      <c r="X52" s="9"/>
      <c r="Y52" s="9"/>
      <c r="Z52" s="9"/>
    </row>
    <row r="53" spans="1:26">
      <c r="E53" s="9"/>
      <c r="X53" s="9"/>
      <c r="Y53" s="9"/>
      <c r="Z53" s="9"/>
    </row>
    <row r="54" spans="1:26">
      <c r="C54" t="s">
        <v>21</v>
      </c>
      <c r="E54" s="9"/>
      <c r="H54" t="s">
        <v>22</v>
      </c>
      <c r="M54" t="s">
        <v>21</v>
      </c>
      <c r="Q54" t="s">
        <v>22</v>
      </c>
      <c r="X54" s="9"/>
      <c r="Y54" s="9"/>
      <c r="Z54" s="9"/>
    </row>
    <row r="55" spans="1:26">
      <c r="C55" t="s">
        <v>13</v>
      </c>
      <c r="D55" t="s">
        <v>14</v>
      </c>
      <c r="E55" s="9"/>
      <c r="H55" t="s">
        <v>13</v>
      </c>
      <c r="I55" t="s">
        <v>14</v>
      </c>
      <c r="M55" t="s">
        <v>13</v>
      </c>
      <c r="N55" t="s">
        <v>14</v>
      </c>
      <c r="Q55" t="s">
        <v>13</v>
      </c>
      <c r="R55" t="s">
        <v>14</v>
      </c>
      <c r="X55" s="9"/>
      <c r="Y55" s="9"/>
      <c r="Z55" s="9"/>
    </row>
    <row r="56" spans="1:26">
      <c r="A56" t="s">
        <v>17</v>
      </c>
      <c r="C56" s="3">
        <f>[1]AI!$B$2</f>
        <v>16</v>
      </c>
      <c r="D56" s="3">
        <f>[1]AI!$D$2</f>
        <v>2</v>
      </c>
      <c r="E56" s="9"/>
      <c r="F56" t="s">
        <v>17</v>
      </c>
      <c r="H56" s="3">
        <f>[1]AI!$B$3</f>
        <v>2</v>
      </c>
      <c r="I56" s="3">
        <f>[1]AI!$D$3</f>
        <v>16</v>
      </c>
      <c r="M56" s="3">
        <f>[1]AI!$B$2</f>
        <v>16</v>
      </c>
      <c r="N56" s="3">
        <f>[1]AI!$D$2</f>
        <v>2</v>
      </c>
      <c r="O56" t="s">
        <v>17</v>
      </c>
      <c r="Q56" s="3">
        <f>[1]AI!$B$3</f>
        <v>2</v>
      </c>
      <c r="R56" s="3">
        <f>[1]AI!$D$3</f>
        <v>16</v>
      </c>
      <c r="X56" s="9"/>
      <c r="Y56" s="9"/>
      <c r="Z56" s="9"/>
    </row>
    <row r="57" spans="1:26">
      <c r="A57" t="s">
        <v>18</v>
      </c>
      <c r="B57" s="2">
        <v>0.45</v>
      </c>
      <c r="C57" s="6">
        <f>($B$26-1)*$C$25+C56/100</f>
        <v>0.45399999999999996</v>
      </c>
      <c r="D57" s="6">
        <f>($B$26-1)*$C$25*(B57)+D56/100</f>
        <v>0.15229999999999999</v>
      </c>
      <c r="E57" s="13"/>
      <c r="F57" t="s">
        <v>18</v>
      </c>
      <c r="G57" s="2">
        <v>0.45</v>
      </c>
      <c r="H57" s="6">
        <f>($B$26-1)*$C$25*(G57)+H56/100</f>
        <v>0.15229999999999999</v>
      </c>
      <c r="I57" s="8">
        <f>($B$26-1)*$C$25+I56/100</f>
        <v>0.45399999999999996</v>
      </c>
      <c r="L57" s="2">
        <v>0.45</v>
      </c>
      <c r="M57" s="6">
        <f>($B$26-1)*$C$25+M56/100</f>
        <v>0.45399999999999996</v>
      </c>
      <c r="N57" s="6">
        <f>($B$26-1)*$C$25*(L57)+N56/100</f>
        <v>0.15229999999999999</v>
      </c>
      <c r="O57" t="s">
        <v>18</v>
      </c>
      <c r="P57" s="2">
        <v>0.45</v>
      </c>
      <c r="Q57" s="6">
        <f>($B$26-1)*$C$25*(P57)+Q56/100</f>
        <v>0.15229999999999999</v>
      </c>
      <c r="R57" s="8">
        <f>($B$26-1)*$C$25+R56/100</f>
        <v>0.45399999999999996</v>
      </c>
      <c r="X57" s="9"/>
      <c r="Y57" s="9"/>
      <c r="Z57" s="9"/>
    </row>
    <row r="58" spans="1:26">
      <c r="C58" t="s">
        <v>32</v>
      </c>
      <c r="D58" t="s">
        <v>33</v>
      </c>
      <c r="E58" s="9"/>
      <c r="H58" t="s">
        <v>38</v>
      </c>
      <c r="I58" t="s">
        <v>37</v>
      </c>
      <c r="M58" t="s">
        <v>35</v>
      </c>
      <c r="N58" t="s">
        <v>36</v>
      </c>
      <c r="Q58" t="s">
        <v>35</v>
      </c>
      <c r="R58" t="s">
        <v>36</v>
      </c>
      <c r="X58" s="9"/>
      <c r="Y58" s="9"/>
      <c r="Z58" s="9"/>
    </row>
    <row r="59" spans="1:26">
      <c r="C59" s="3">
        <f>ROUND(L12*E50,0)</f>
        <v>795</v>
      </c>
      <c r="D59" s="3">
        <f>ROUND(L12*(1-E50),0)</f>
        <v>428</v>
      </c>
      <c r="E59" s="9"/>
      <c r="H59" s="3">
        <f>ROUND(L12*(1-E50),0)</f>
        <v>428</v>
      </c>
      <c r="I59" s="3">
        <f>ROUND(L12*$E$50,0)</f>
        <v>795</v>
      </c>
      <c r="M59" s="3">
        <f>ROUND(P12*$E$50,0)</f>
        <v>601</v>
      </c>
      <c r="N59" s="3">
        <f>ROUND(P12*(1-$E$50),0)</f>
        <v>323</v>
      </c>
      <c r="Q59" s="3">
        <f>ROUND(P12*(1-$E$50),0)</f>
        <v>323</v>
      </c>
      <c r="R59" s="3">
        <f>ROUND(P12*$E$50,0)</f>
        <v>601</v>
      </c>
      <c r="X59" s="9"/>
      <c r="Y59" s="9"/>
      <c r="Z59" s="9"/>
    </row>
    <row r="60" spans="1:26">
      <c r="A60" t="s">
        <v>40</v>
      </c>
      <c r="C60" s="15">
        <f>C59/1000*C57</f>
        <v>0.36092999999999997</v>
      </c>
      <c r="D60" s="15">
        <f>D59/1000*D57</f>
        <v>6.518439999999999E-2</v>
      </c>
      <c r="E60" s="16">
        <f>(C60+D60)*K16</f>
        <v>0.51133727999999989</v>
      </c>
      <c r="F60" s="9"/>
      <c r="G60" s="9"/>
      <c r="H60" s="15">
        <f>H59/1000*H57</f>
        <v>6.518439999999999E-2</v>
      </c>
      <c r="I60" s="15">
        <f>I59/1000*I57</f>
        <v>0.36092999999999997</v>
      </c>
      <c r="J60" s="16">
        <f>(I60+H60)*K16</f>
        <v>0.51133727999999989</v>
      </c>
      <c r="K60" s="9"/>
      <c r="L60" s="9"/>
      <c r="M60" s="15">
        <f>M59/1000*M57</f>
        <v>0.27285399999999999</v>
      </c>
      <c r="N60" s="15">
        <f>N59/1000*N57</f>
        <v>4.9192899999999998E-2</v>
      </c>
      <c r="O60" s="16">
        <f>(M60+N60)*O16</f>
        <v>0.51527504000000002</v>
      </c>
      <c r="P60" s="9"/>
      <c r="Q60" s="15">
        <f>Q59/1000*Q57</f>
        <v>4.9192899999999998E-2</v>
      </c>
      <c r="R60" s="15">
        <f>R59/1000*R57</f>
        <v>0.27285399999999999</v>
      </c>
      <c r="S60" s="16">
        <f>(R60+Q60)*O16</f>
        <v>0.51527504000000002</v>
      </c>
      <c r="X60" s="9"/>
      <c r="Y60" s="9"/>
      <c r="Z60" s="9"/>
    </row>
    <row r="61" spans="1:26">
      <c r="E61" s="4"/>
      <c r="J61" s="9"/>
      <c r="K61" s="9"/>
      <c r="N61" s="9"/>
      <c r="O61" s="9"/>
      <c r="P61" s="9"/>
      <c r="Q61" s="9"/>
      <c r="R61" s="9"/>
      <c r="S61" s="9"/>
      <c r="X61" s="9"/>
      <c r="Y61" s="9"/>
      <c r="Z61" s="9"/>
    </row>
    <row r="62" spans="1:26">
      <c r="A62" t="s">
        <v>45</v>
      </c>
      <c r="C62" s="17">
        <f>L14</f>
        <v>2125</v>
      </c>
      <c r="E62" s="4"/>
      <c r="G62" t="s">
        <v>45</v>
      </c>
      <c r="H62" s="17">
        <f>L14</f>
        <v>2125</v>
      </c>
      <c r="J62" s="9"/>
      <c r="K62" s="9"/>
      <c r="L62" t="s">
        <v>45</v>
      </c>
      <c r="M62" s="17">
        <f>P14</f>
        <v>2338</v>
      </c>
      <c r="N62" s="9"/>
      <c r="O62" s="9"/>
      <c r="P62" t="s">
        <v>45</v>
      </c>
      <c r="Q62" s="17">
        <f>P14</f>
        <v>2338</v>
      </c>
      <c r="R62" s="9"/>
      <c r="S62" s="9"/>
      <c r="X62" s="9"/>
      <c r="Y62" s="9"/>
      <c r="Z62" s="9"/>
    </row>
    <row r="63" spans="1:26">
      <c r="A63" t="s">
        <v>44</v>
      </c>
      <c r="C63" s="17">
        <f>ROUND(C62*G25,0)</f>
        <v>2125</v>
      </c>
      <c r="E63" s="4"/>
      <c r="G63" t="s">
        <v>44</v>
      </c>
      <c r="H63" s="17">
        <f>ROUND(H62*G25,0)</f>
        <v>2125</v>
      </c>
      <c r="J63" s="9"/>
      <c r="K63" s="9"/>
      <c r="L63" t="s">
        <v>44</v>
      </c>
      <c r="M63" s="17">
        <f>ROUND(L14*G25,0)</f>
        <v>2125</v>
      </c>
      <c r="N63" s="9"/>
      <c r="O63" s="9"/>
      <c r="P63" t="s">
        <v>44</v>
      </c>
      <c r="Q63" s="17">
        <f>ROUND(T14*G25,0)</f>
        <v>5452</v>
      </c>
      <c r="R63" s="9"/>
      <c r="S63" s="9"/>
      <c r="X63" s="9"/>
      <c r="Y63" s="9"/>
      <c r="Z63" s="9"/>
    </row>
    <row r="64" spans="1:26">
      <c r="A64" t="s">
        <v>46</v>
      </c>
      <c r="C64" s="17">
        <f>ROUND(C59*J25,0)</f>
        <v>795</v>
      </c>
      <c r="E64" s="4"/>
      <c r="G64" t="s">
        <v>46</v>
      </c>
      <c r="H64" s="17">
        <f>ROUND(H59*J25,0)</f>
        <v>428</v>
      </c>
      <c r="J64" s="9"/>
      <c r="K64" s="9"/>
      <c r="L64" t="s">
        <v>46</v>
      </c>
      <c r="M64" s="17">
        <f>ROUND(M59*J25,0)</f>
        <v>601</v>
      </c>
      <c r="N64" s="9"/>
      <c r="O64" s="9"/>
      <c r="P64" t="s">
        <v>46</v>
      </c>
      <c r="Q64" s="17">
        <f>ROUND(Q59*J25,0)</f>
        <v>323</v>
      </c>
      <c r="R64" s="9"/>
      <c r="S64" s="9"/>
      <c r="X64" s="9"/>
      <c r="Y64" s="9"/>
      <c r="Z64" s="9"/>
    </row>
    <row r="65" spans="1:44">
      <c r="A65" t="s">
        <v>47</v>
      </c>
      <c r="C65" s="17">
        <f>ROUND(D59*M25,0)</f>
        <v>428</v>
      </c>
      <c r="E65" s="4"/>
      <c r="G65" t="s">
        <v>47</v>
      </c>
      <c r="H65" s="17">
        <f>ROUND(I59*M25,0)</f>
        <v>795</v>
      </c>
      <c r="J65" s="9"/>
      <c r="K65" s="9"/>
      <c r="L65" t="s">
        <v>47</v>
      </c>
      <c r="M65" s="17">
        <f>ROUND(N59*M25,0)</f>
        <v>323</v>
      </c>
      <c r="N65" s="9"/>
      <c r="O65" s="9"/>
      <c r="P65" t="s">
        <v>47</v>
      </c>
      <c r="Q65" s="17">
        <f>ROUND(R59*M25,0)</f>
        <v>601</v>
      </c>
      <c r="R65" s="9"/>
      <c r="S65" s="9"/>
      <c r="T65" s="9"/>
      <c r="U65" s="9"/>
      <c r="V65" s="9"/>
      <c r="W65" s="9"/>
      <c r="X65" s="9"/>
      <c r="Y65" s="9"/>
      <c r="Z65" s="9"/>
    </row>
    <row r="66" spans="1:44">
      <c r="A66" t="s">
        <v>84</v>
      </c>
      <c r="E66" s="4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44">
      <c r="B67" s="9"/>
      <c r="C67" s="9"/>
      <c r="D67" s="9"/>
      <c r="E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44">
      <c r="C68">
        <v>50</v>
      </c>
      <c r="D68" s="7">
        <f>C68/100</f>
        <v>0.5</v>
      </c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>
      <c r="C70" s="9" t="s">
        <v>51</v>
      </c>
      <c r="D70" s="9"/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</row>
    <row r="71" spans="1:44">
      <c r="B71" s="9"/>
      <c r="C71" s="9" t="s">
        <v>52</v>
      </c>
      <c r="D71" s="9" t="s">
        <v>53</v>
      </c>
      <c r="E71" s="9"/>
      <c r="J71" s="9"/>
      <c r="K71" s="9"/>
      <c r="L71" s="9"/>
      <c r="M71" s="9"/>
      <c r="N71" s="9"/>
      <c r="O71" s="9"/>
      <c r="P71" s="9"/>
      <c r="Q71" s="9"/>
      <c r="R71" s="9"/>
      <c r="S71" s="9"/>
    </row>
    <row r="72" spans="1:44">
      <c r="B72" s="9"/>
      <c r="C72" s="9">
        <v>8</v>
      </c>
      <c r="D72" s="9">
        <v>10</v>
      </c>
      <c r="E72" s="9"/>
      <c r="J72" s="9"/>
      <c r="K72" s="9"/>
      <c r="L72" s="9"/>
      <c r="M72" s="9"/>
      <c r="N72" s="9"/>
      <c r="O72" s="9"/>
      <c r="P72" s="9"/>
      <c r="Q72" s="9"/>
      <c r="R72" s="9"/>
      <c r="S72" s="9"/>
    </row>
    <row r="73" spans="1:44">
      <c r="B73" s="10">
        <v>0.5</v>
      </c>
      <c r="C73" s="6">
        <f>($B$26-1)*$C$25*(B73)+C72/100</f>
        <v>0.22699999999999998</v>
      </c>
      <c r="D73" s="8">
        <f>($B$26-1)*$C$25+D72/100</f>
        <v>0.39400000000000002</v>
      </c>
      <c r="E73" s="9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>
      <c r="B74" s="9"/>
      <c r="C74" s="9" t="s">
        <v>54</v>
      </c>
      <c r="D74" s="9" t="s">
        <v>55</v>
      </c>
      <c r="E74" s="9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>
      <c r="B75" s="9"/>
      <c r="C75" s="9">
        <f>ROUND(T12*D68,0)</f>
        <v>305</v>
      </c>
      <c r="D75" s="9">
        <f>ROUND((1-D68)*T12,0)</f>
        <v>305</v>
      </c>
      <c r="E75" s="9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>
      <c r="B76" s="9"/>
      <c r="C76" s="15">
        <f>C75/1000*C73</f>
        <v>6.9234999999999991E-2</v>
      </c>
      <c r="D76" s="15">
        <f>D75/1000*D73</f>
        <v>0.12017</v>
      </c>
      <c r="E76" s="15">
        <f>C76+D76</f>
        <v>0.18940499999999999</v>
      </c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>
      <c r="B77" s="9"/>
      <c r="C77" s="9"/>
      <c r="D77" s="9"/>
      <c r="E77" s="9"/>
      <c r="J77" s="9"/>
      <c r="K77" s="9"/>
      <c r="L77" s="9"/>
      <c r="M77" s="9"/>
      <c r="N77" s="9"/>
      <c r="O77" s="9"/>
      <c r="P77" s="9"/>
      <c r="Q77" s="9"/>
      <c r="R77" s="9"/>
      <c r="S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</row>
    <row r="78" spans="1:44">
      <c r="A78" t="s">
        <v>85</v>
      </c>
      <c r="B78" s="9"/>
      <c r="C78" s="3">
        <f>T14</f>
        <v>5452</v>
      </c>
      <c r="D78" s="9"/>
      <c r="E78" s="9"/>
      <c r="J78" s="9"/>
      <c r="K78" s="9"/>
      <c r="L78" s="9"/>
      <c r="M78" s="9"/>
      <c r="N78" s="9"/>
      <c r="O78" s="9"/>
      <c r="P78" s="9"/>
      <c r="Q78" s="9"/>
      <c r="R78" s="9"/>
      <c r="S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</row>
    <row r="79" spans="1:44">
      <c r="A79" t="s">
        <v>86</v>
      </c>
      <c r="B79" s="9"/>
      <c r="C79" s="3">
        <f>ROUND(C78*G25,0)</f>
        <v>5452</v>
      </c>
      <c r="D79" s="9"/>
      <c r="E79" s="9"/>
      <c r="J79" s="9"/>
      <c r="K79" s="9"/>
      <c r="L79" s="9"/>
      <c r="M79" s="9"/>
      <c r="N79" s="9"/>
      <c r="O79" s="9"/>
      <c r="P79" s="9"/>
      <c r="Q79" s="9"/>
      <c r="R79" s="9"/>
      <c r="S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</row>
    <row r="80" spans="1:44">
      <c r="A80" t="s">
        <v>87</v>
      </c>
      <c r="B80" s="9"/>
      <c r="C80" s="3">
        <f>C75</f>
        <v>305</v>
      </c>
      <c r="D80" s="9"/>
      <c r="E80" s="9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>
      <c r="A81" t="s">
        <v>88</v>
      </c>
      <c r="B81" s="9"/>
      <c r="C81" s="3">
        <f>D75</f>
        <v>305</v>
      </c>
      <c r="D81" s="9"/>
      <c r="E81" s="9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>
      <c r="A82" t="s">
        <v>89</v>
      </c>
      <c r="C82" s="3">
        <f>T13</f>
        <v>1698</v>
      </c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>
      <c r="L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>
      <c r="K85" s="23" t="s">
        <v>99</v>
      </c>
      <c r="N85" s="23" t="s">
        <v>2</v>
      </c>
      <c r="Z85" s="9"/>
      <c r="AA85" s="10"/>
      <c r="AB85" s="13"/>
      <c r="AC85" s="13"/>
      <c r="AD85" s="13"/>
      <c r="AE85" s="9"/>
      <c r="AF85" s="10"/>
      <c r="AG85" s="13"/>
      <c r="AH85" s="14"/>
      <c r="AI85" s="9"/>
      <c r="AJ85" s="9"/>
      <c r="AK85" s="10"/>
      <c r="AL85" s="13"/>
      <c r="AM85" s="13"/>
      <c r="AN85" s="9"/>
      <c r="AO85" s="10"/>
      <c r="AP85" s="13"/>
      <c r="AQ85" s="14"/>
      <c r="AR85" s="9"/>
    </row>
    <row r="86" spans="1:44"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</row>
    <row r="88" spans="1:44"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</row>
    <row r="195" spans="3:3">
      <c r="C195" s="1"/>
    </row>
  </sheetData>
  <phoneticPr fontId="1" type="noConversion"/>
  <hyperlinks>
    <hyperlink ref="N85" location="战斗验证!A1" display="简单战斗模拟"/>
    <hyperlink ref="K85" location="属性拆分方式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24</xdr:row>
                    <xdr:rowOff>0</xdr:rowOff>
                  </from>
                  <to>
                    <xdr:col>1</xdr:col>
                    <xdr:colOff>723900</xdr:colOff>
                    <xdr:row>24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49</xdr:row>
                    <xdr:rowOff>28575</xdr:rowOff>
                  </from>
                  <to>
                    <xdr:col>3</xdr:col>
                    <xdr:colOff>676275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27</xdr:row>
                    <xdr:rowOff>19050</xdr:rowOff>
                  </from>
                  <to>
                    <xdr:col>3</xdr:col>
                    <xdr:colOff>676275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66</xdr:row>
                    <xdr:rowOff>152400</xdr:rowOff>
                  </from>
                  <to>
                    <xdr:col>3</xdr:col>
                    <xdr:colOff>66675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P63"/>
  <sheetViews>
    <sheetView tabSelected="1" workbookViewId="0">
      <selection activeCell="C23" sqref="C23"/>
    </sheetView>
  </sheetViews>
  <sheetFormatPr defaultRowHeight="13.5"/>
  <cols>
    <col min="6" max="6" width="12" customWidth="1"/>
    <col min="7" max="7" width="13" customWidth="1"/>
    <col min="9" max="9" width="8.875" customWidth="1"/>
    <col min="10" max="11" width="10.125" customWidth="1"/>
    <col min="12" max="12" width="9.5" bestFit="1" customWidth="1"/>
  </cols>
  <sheetData>
    <row r="2" spans="1:16">
      <c r="B2" t="s">
        <v>0</v>
      </c>
      <c r="D2" t="s">
        <v>56</v>
      </c>
      <c r="E2" t="s">
        <v>102</v>
      </c>
      <c r="F2" t="s">
        <v>61</v>
      </c>
      <c r="G2" t="s">
        <v>97</v>
      </c>
      <c r="H2" t="s">
        <v>57</v>
      </c>
      <c r="I2" t="s">
        <v>58</v>
      </c>
      <c r="J2" t="s">
        <v>59</v>
      </c>
      <c r="K2" t="s">
        <v>95</v>
      </c>
      <c r="L2" t="s">
        <v>60</v>
      </c>
      <c r="M2" t="s">
        <v>94</v>
      </c>
    </row>
    <row r="3" spans="1:16">
      <c r="C3">
        <v>1</v>
      </c>
      <c r="D3" s="7">
        <v>1</v>
      </c>
      <c r="E3" s="7">
        <v>0.13</v>
      </c>
      <c r="F3" s="7">
        <v>0.3</v>
      </c>
      <c r="G3" s="24">
        <f>SUM(D3:F3)</f>
        <v>1.43</v>
      </c>
      <c r="H3" s="7">
        <v>0.5</v>
      </c>
      <c r="I3" s="6">
        <f>[2]基础系数!$F$47-[2]基础系数!$E$47</f>
        <v>0.25</v>
      </c>
      <c r="J3" s="6">
        <f>[2]基础系数!$G$48-[2]基础系数!$F$48</f>
        <v>3.7500000000000089E-2</v>
      </c>
      <c r="K3" s="6">
        <f>SUM(G3:J3)</f>
        <v>2.2174999999999998</v>
      </c>
      <c r="L3" s="4"/>
      <c r="P3" t="s">
        <v>100</v>
      </c>
    </row>
    <row r="4" spans="1:16">
      <c r="C4">
        <v>10</v>
      </c>
      <c r="D4" s="7">
        <v>1.1399999999999999</v>
      </c>
      <c r="E4" s="4">
        <f>D4*$E$3</f>
        <v>0.1482</v>
      </c>
      <c r="F4" s="4">
        <f>D4*$F$3</f>
        <v>0.34199999999999997</v>
      </c>
      <c r="G4" s="24">
        <f t="shared" ref="G4:G6" si="0">SUM(D4:F4)</f>
        <v>1.6301999999999999</v>
      </c>
      <c r="H4" s="4">
        <f>[2]基础系数!$G$47*D4</f>
        <v>0.89775000000000005</v>
      </c>
      <c r="I4" s="4">
        <f>([2]基础系数!$H$47-[2]基础系数!$G$47)*D4</f>
        <v>0.44887500000000002</v>
      </c>
      <c r="J4" s="4">
        <f>[2]基础系数!$I$48-[2]基础系数!$H$48</f>
        <v>5.9062499999999574E-2</v>
      </c>
      <c r="K4" s="6">
        <f t="shared" ref="K4:K7" si="1">SUM(G4:J4)</f>
        <v>3.0358874999999994</v>
      </c>
      <c r="L4" s="4">
        <f>I3</f>
        <v>0.25</v>
      </c>
      <c r="M4">
        <v>1</v>
      </c>
    </row>
    <row r="5" spans="1:16">
      <c r="C5">
        <v>20</v>
      </c>
      <c r="D5" s="7">
        <v>1.28</v>
      </c>
      <c r="E5" s="4">
        <f>D5*$E$3</f>
        <v>0.16640000000000002</v>
      </c>
      <c r="F5" s="4">
        <f>D5*$F$3</f>
        <v>0.38400000000000001</v>
      </c>
      <c r="G5" s="24">
        <f t="shared" si="0"/>
        <v>1.8304</v>
      </c>
      <c r="H5" s="4">
        <f>D5*[2]基础系数!$I$47</f>
        <v>1.5876000000000001</v>
      </c>
      <c r="I5" s="4">
        <f>D5*([2]基础系数!$J$47-[2]基础系数!$I$47)</f>
        <v>0.79380000000000028</v>
      </c>
      <c r="J5" s="4">
        <f>[2]基础系数!$K$48-[2]基础系数!$J$48</f>
        <v>9.3023437499999861E-2</v>
      </c>
      <c r="K5" s="6">
        <f t="shared" si="1"/>
        <v>4.3048234374999996</v>
      </c>
      <c r="L5" s="4">
        <f>H5*(I5+J5+L4*2)</f>
        <v>2.2017208893750002</v>
      </c>
      <c r="M5">
        <v>2</v>
      </c>
    </row>
    <row r="6" spans="1:16">
      <c r="C6">
        <v>30</v>
      </c>
      <c r="D6" s="7">
        <v>1.42</v>
      </c>
      <c r="E6" s="4">
        <f>D6*$E$3</f>
        <v>0.18459999999999999</v>
      </c>
      <c r="F6" s="4">
        <f>D6*$F$3</f>
        <v>0.42599999999999999</v>
      </c>
      <c r="G6" s="24">
        <f t="shared" si="0"/>
        <v>2.0306000000000002</v>
      </c>
      <c r="H6" s="4">
        <f>D6*([2]基础系数!$K$47)</f>
        <v>2.7739589062500003</v>
      </c>
      <c r="I6" s="4">
        <f>([2]基础系数!$L$47-[2]基础系数!$K$47)*D6</f>
        <v>1.3869794531250004</v>
      </c>
      <c r="J6" s="4">
        <f>[2]基础系数!$M$48-[2]基础系数!$L$48</f>
        <v>0.14651191406250019</v>
      </c>
      <c r="K6" s="6">
        <f t="shared" si="1"/>
        <v>6.338050273437501</v>
      </c>
      <c r="L6" s="4">
        <f>H6*(I6+J6+L5*3)</f>
        <v>22.57629184614262</v>
      </c>
      <c r="M6">
        <v>3</v>
      </c>
    </row>
    <row r="7" spans="1:16">
      <c r="C7">
        <v>40</v>
      </c>
      <c r="D7" s="7">
        <v>1.56</v>
      </c>
      <c r="E7" s="4">
        <f>D7*$E$3</f>
        <v>0.20280000000000001</v>
      </c>
      <c r="F7" s="4">
        <f>D7*$F$3</f>
        <v>0.46799999999999997</v>
      </c>
      <c r="G7" s="24">
        <f>SUM(D7:F7)</f>
        <v>2.2308000000000003</v>
      </c>
      <c r="H7" s="4">
        <f>D7*([2]基础系数!$M$47)</f>
        <v>4.7997303046875013</v>
      </c>
      <c r="I7" s="4">
        <f>([2]基础系数!$N$47-[2]基础系数!$M$47)*D7</f>
        <v>2.3998651523437506</v>
      </c>
      <c r="J7" s="4">
        <f>[2]基础系数!$O$48-[2]基础系数!$N$48</f>
        <v>0.23075626464843779</v>
      </c>
      <c r="K7" s="6">
        <f t="shared" si="1"/>
        <v>9.6611517216796905</v>
      </c>
      <c r="L7" s="4"/>
      <c r="M7">
        <v>4</v>
      </c>
    </row>
    <row r="8" spans="1:16">
      <c r="C8">
        <v>50</v>
      </c>
      <c r="D8" s="7">
        <v>1.7</v>
      </c>
      <c r="E8" s="4">
        <f>D8*$E$3</f>
        <v>0.221</v>
      </c>
      <c r="F8" s="4">
        <f>D8*$F$3</f>
        <v>0.51</v>
      </c>
      <c r="G8" s="24">
        <f>SUM(D8:F8)</f>
        <v>2.431</v>
      </c>
      <c r="H8" s="4">
        <f>D8*([2]基础系数!$O$47)</f>
        <v>8.2379986479492207</v>
      </c>
      <c r="I8" s="4">
        <f>([2]基础系数!$L$47-[2]基础系数!$K$47)*D8</f>
        <v>1.6604683593750005</v>
      </c>
      <c r="J8" s="4">
        <f>[2]基础系数!$M$48-[2]基础系数!$L$48</f>
        <v>0.14651191406250019</v>
      </c>
      <c r="K8" s="6">
        <f t="shared" ref="K8" si="2">SUM(G8:J8)</f>
        <v>12.475978921386721</v>
      </c>
      <c r="L8" s="4"/>
    </row>
    <row r="9" spans="1:16">
      <c r="D9" s="1"/>
      <c r="E9" s="1"/>
      <c r="F9" s="1"/>
      <c r="G9" s="1"/>
      <c r="H9" s="1"/>
      <c r="I9" s="4"/>
      <c r="K9" s="4"/>
      <c r="L9" s="4"/>
    </row>
    <row r="10" spans="1:16">
      <c r="B10" t="s">
        <v>96</v>
      </c>
      <c r="C10" s="23" t="s">
        <v>93</v>
      </c>
      <c r="J10">
        <f>职业调整模型!C79</f>
        <v>5452</v>
      </c>
      <c r="K10">
        <f>ROUND($D$3/$G$7*J10,0)</f>
        <v>2444</v>
      </c>
    </row>
    <row r="11" spans="1:16">
      <c r="A11" t="s">
        <v>90</v>
      </c>
      <c r="J11">
        <f>职业调整模型!C80</f>
        <v>305</v>
      </c>
      <c r="K11">
        <f t="shared" ref="K11:K13" si="3">ROUND($D$3/$G$7*J11,0)</f>
        <v>137</v>
      </c>
    </row>
    <row r="12" spans="1:16">
      <c r="J12">
        <f>职业调整模型!C81</f>
        <v>305</v>
      </c>
      <c r="K12">
        <f t="shared" si="3"/>
        <v>137</v>
      </c>
    </row>
    <row r="13" spans="1:16">
      <c r="A13" t="s">
        <v>91</v>
      </c>
      <c r="B13" t="s">
        <v>92</v>
      </c>
      <c r="C13" t="s">
        <v>86</v>
      </c>
      <c r="D13" t="s">
        <v>87</v>
      </c>
      <c r="E13" t="s">
        <v>88</v>
      </c>
      <c r="F13" t="s">
        <v>98</v>
      </c>
      <c r="J13">
        <f>职业调整模型!C82</f>
        <v>1698</v>
      </c>
      <c r="K13">
        <f t="shared" si="3"/>
        <v>761</v>
      </c>
    </row>
    <row r="14" spans="1:16">
      <c r="B14">
        <v>1</v>
      </c>
      <c r="C14">
        <f>K10</f>
        <v>2444</v>
      </c>
      <c r="D14">
        <f>K11</f>
        <v>137</v>
      </c>
      <c r="E14">
        <f>K12</f>
        <v>137</v>
      </c>
      <c r="F14">
        <f>K13</f>
        <v>761</v>
      </c>
    </row>
    <row r="15" spans="1:16">
      <c r="B15">
        <v>2</v>
      </c>
      <c r="C15">
        <f>ROUND((C$23-C$14)/9+C14,0)</f>
        <v>2525</v>
      </c>
      <c r="D15">
        <f t="shared" ref="D15:D21" si="4">ROUND(($D$23-$D$14)/9+D14,0)</f>
        <v>142</v>
      </c>
      <c r="E15">
        <f>ROUND($F$3/9*$E$14+E14,0)</f>
        <v>142</v>
      </c>
      <c r="F15">
        <f>ROUND($F$3/9*$F$14+F14,0)</f>
        <v>786</v>
      </c>
    </row>
    <row r="16" spans="1:16">
      <c r="B16">
        <v>3</v>
      </c>
      <c r="C16">
        <f t="shared" ref="C16:C22" si="5">ROUND((C$23-C$14)/9+C15,0)</f>
        <v>2606</v>
      </c>
      <c r="D16">
        <f t="shared" si="4"/>
        <v>147</v>
      </c>
      <c r="E16">
        <f>ROUND($F$3/9*$E$14+E15,0)</f>
        <v>147</v>
      </c>
      <c r="F16">
        <f>ROUND($F$3/9*$F$14+F15,0)</f>
        <v>811</v>
      </c>
    </row>
    <row r="17" spans="2:7">
      <c r="B17">
        <v>4</v>
      </c>
      <c r="C17">
        <f t="shared" si="5"/>
        <v>2687</v>
      </c>
      <c r="D17">
        <f t="shared" si="4"/>
        <v>152</v>
      </c>
      <c r="E17">
        <f>ROUND($F$3/9*$E$14+E16,0)</f>
        <v>152</v>
      </c>
      <c r="F17">
        <f>ROUND($F$3/9*$F$14+F16,0)</f>
        <v>836</v>
      </c>
    </row>
    <row r="18" spans="2:7">
      <c r="B18">
        <v>5</v>
      </c>
      <c r="C18">
        <f t="shared" si="5"/>
        <v>2768</v>
      </c>
      <c r="D18">
        <f t="shared" si="4"/>
        <v>157</v>
      </c>
      <c r="E18">
        <f>ROUND($F$3/9*$E$14+E17,0)</f>
        <v>157</v>
      </c>
      <c r="F18">
        <f>ROUND($F$3/9*$F$14+F17,0)</f>
        <v>861</v>
      </c>
    </row>
    <row r="19" spans="2:7">
      <c r="B19">
        <v>6</v>
      </c>
      <c r="C19">
        <f t="shared" si="5"/>
        <v>2849</v>
      </c>
      <c r="D19">
        <f t="shared" si="4"/>
        <v>162</v>
      </c>
      <c r="E19">
        <f>ROUND($F$3/9*$E$14+E18,0)</f>
        <v>162</v>
      </c>
      <c r="F19">
        <f>ROUND($F$3/9*$F$14+F18,0)</f>
        <v>886</v>
      </c>
    </row>
    <row r="20" spans="2:7">
      <c r="B20">
        <v>7</v>
      </c>
      <c r="C20">
        <f t="shared" si="5"/>
        <v>2930</v>
      </c>
      <c r="D20">
        <f t="shared" si="4"/>
        <v>167</v>
      </c>
      <c r="E20">
        <f>ROUND($F$3/9*$E$14+E19,0)</f>
        <v>167</v>
      </c>
      <c r="F20">
        <f>ROUND($F$3/9*$F$14+F19,0)</f>
        <v>911</v>
      </c>
    </row>
    <row r="21" spans="2:7">
      <c r="B21">
        <v>8</v>
      </c>
      <c r="C21">
        <f t="shared" si="5"/>
        <v>3011</v>
      </c>
      <c r="D21">
        <f t="shared" si="4"/>
        <v>172</v>
      </c>
      <c r="E21">
        <f>ROUND($F$3/9*$E$14+E20,0)</f>
        <v>172</v>
      </c>
      <c r="F21">
        <f>ROUND($F$3/9*$F$14+F20,0)</f>
        <v>936</v>
      </c>
    </row>
    <row r="22" spans="2:7">
      <c r="B22">
        <v>9</v>
      </c>
      <c r="C22">
        <f t="shared" si="5"/>
        <v>3092</v>
      </c>
      <c r="D22">
        <f>ROUND(($D$23-$D$14)/9+D21,0)</f>
        <v>177</v>
      </c>
      <c r="E22">
        <f>ROUND($F$3/9*$E$14+E21,0)</f>
        <v>177</v>
      </c>
      <c r="F22">
        <f>ROUND($F$3/9*$F$14+F21,0)</f>
        <v>961</v>
      </c>
      <c r="G22" t="s">
        <v>101</v>
      </c>
    </row>
    <row r="23" spans="2:7">
      <c r="B23">
        <v>10</v>
      </c>
      <c r="C23">
        <f>ROUND(C14*($G$3-$E$3),0)</f>
        <v>3177</v>
      </c>
      <c r="D23">
        <f>ROUND(D14*($G$3-$E$3),0)</f>
        <v>178</v>
      </c>
      <c r="E23">
        <f>ROUND(E14*($G$3-$E$3),0)</f>
        <v>178</v>
      </c>
      <c r="F23">
        <f t="shared" ref="F23" si="6">ROUND(F14*($G$3-$E$3),0)</f>
        <v>989</v>
      </c>
    </row>
    <row r="24" spans="2:7">
      <c r="B24" s="25">
        <v>11</v>
      </c>
    </row>
    <row r="25" spans="2:7">
      <c r="B25" s="25">
        <v>12</v>
      </c>
    </row>
    <row r="26" spans="2:7">
      <c r="B26" s="25">
        <v>13</v>
      </c>
    </row>
    <row r="27" spans="2:7">
      <c r="B27" s="25">
        <v>14</v>
      </c>
    </row>
    <row r="28" spans="2:7">
      <c r="B28" s="25">
        <v>15</v>
      </c>
    </row>
    <row r="29" spans="2:7">
      <c r="B29" s="25">
        <v>16</v>
      </c>
    </row>
    <row r="30" spans="2:7">
      <c r="B30" s="25">
        <v>17</v>
      </c>
    </row>
    <row r="31" spans="2:7">
      <c r="B31" s="25">
        <v>18</v>
      </c>
    </row>
    <row r="32" spans="2:7">
      <c r="B32" s="25">
        <v>19</v>
      </c>
    </row>
    <row r="33" spans="2:6">
      <c r="B33">
        <v>20</v>
      </c>
      <c r="C33">
        <f>ROUND(($G$4-$E$4)*C14,0)</f>
        <v>3622</v>
      </c>
      <c r="D33">
        <f t="shared" ref="D33:F33" si="7">ROUND(($G$4-$E$4)*D14,0)</f>
        <v>203</v>
      </c>
      <c r="E33">
        <f t="shared" si="7"/>
        <v>203</v>
      </c>
      <c r="F33">
        <f t="shared" si="7"/>
        <v>1128</v>
      </c>
    </row>
    <row r="34" spans="2:6">
      <c r="B34">
        <v>21</v>
      </c>
    </row>
    <row r="35" spans="2:6">
      <c r="B35">
        <v>22</v>
      </c>
    </row>
    <row r="36" spans="2:6">
      <c r="B36">
        <v>23</v>
      </c>
    </row>
    <row r="37" spans="2:6">
      <c r="B37">
        <v>24</v>
      </c>
    </row>
    <row r="38" spans="2:6">
      <c r="B38">
        <v>25</v>
      </c>
    </row>
    <row r="39" spans="2:6">
      <c r="B39">
        <v>26</v>
      </c>
    </row>
    <row r="40" spans="2:6">
      <c r="B40">
        <v>27</v>
      </c>
    </row>
    <row r="41" spans="2:6">
      <c r="B41">
        <v>28</v>
      </c>
    </row>
    <row r="42" spans="2:6">
      <c r="B42">
        <v>29</v>
      </c>
    </row>
    <row r="43" spans="2:6">
      <c r="B43">
        <v>30</v>
      </c>
      <c r="C43">
        <f>ROUND(C14*($G$5-$E$5),0)</f>
        <v>4067</v>
      </c>
      <c r="D43">
        <f t="shared" ref="D43:F43" si="8">ROUND(D14*($G$5-$E$5),0)</f>
        <v>228</v>
      </c>
      <c r="E43">
        <f t="shared" si="8"/>
        <v>228</v>
      </c>
      <c r="F43">
        <f t="shared" si="8"/>
        <v>1266</v>
      </c>
    </row>
    <row r="44" spans="2:6">
      <c r="B44">
        <v>31</v>
      </c>
    </row>
    <row r="45" spans="2:6">
      <c r="B45">
        <v>32</v>
      </c>
    </row>
    <row r="46" spans="2:6">
      <c r="B46">
        <v>33</v>
      </c>
    </row>
    <row r="47" spans="2:6">
      <c r="B47">
        <v>34</v>
      </c>
    </row>
    <row r="48" spans="2:6">
      <c r="B48">
        <v>35</v>
      </c>
    </row>
    <row r="49" spans="2:6">
      <c r="B49">
        <v>36</v>
      </c>
    </row>
    <row r="50" spans="2:6">
      <c r="B50">
        <v>37</v>
      </c>
    </row>
    <row r="51" spans="2:6">
      <c r="B51">
        <v>38</v>
      </c>
    </row>
    <row r="52" spans="2:6">
      <c r="B52">
        <v>39</v>
      </c>
    </row>
    <row r="53" spans="2:6">
      <c r="B53">
        <v>40</v>
      </c>
      <c r="C53">
        <f>ROUND(C14*($G$6-$E$6),0)</f>
        <v>4512</v>
      </c>
      <c r="D53">
        <f t="shared" ref="D53:F53" si="9">ROUND(D14*($G$6-$E$6),0)</f>
        <v>253</v>
      </c>
      <c r="E53">
        <f t="shared" si="9"/>
        <v>253</v>
      </c>
      <c r="F53">
        <f t="shared" si="9"/>
        <v>1405</v>
      </c>
    </row>
    <row r="54" spans="2:6">
      <c r="B54">
        <v>41</v>
      </c>
    </row>
    <row r="55" spans="2:6">
      <c r="B55">
        <v>42</v>
      </c>
    </row>
    <row r="56" spans="2:6">
      <c r="B56">
        <v>43</v>
      </c>
    </row>
    <row r="57" spans="2:6">
      <c r="B57">
        <v>44</v>
      </c>
    </row>
    <row r="58" spans="2:6">
      <c r="B58">
        <v>45</v>
      </c>
    </row>
    <row r="59" spans="2:6">
      <c r="B59">
        <v>46</v>
      </c>
    </row>
    <row r="60" spans="2:6">
      <c r="B60">
        <v>47</v>
      </c>
    </row>
    <row r="61" spans="2:6">
      <c r="B61">
        <v>48</v>
      </c>
    </row>
    <row r="62" spans="2:6">
      <c r="B62">
        <v>49</v>
      </c>
    </row>
    <row r="63" spans="2:6">
      <c r="B63">
        <v>50</v>
      </c>
      <c r="C63">
        <f>ROUND(C14*($G$7-$E$7),0)</f>
        <v>4956</v>
      </c>
      <c r="D63">
        <f t="shared" ref="D63:F63" si="10">ROUND(D14*($G$7-$E$7),0)</f>
        <v>278</v>
      </c>
      <c r="E63">
        <f t="shared" si="10"/>
        <v>278</v>
      </c>
      <c r="F63">
        <f t="shared" si="10"/>
        <v>1543</v>
      </c>
    </row>
  </sheetData>
  <phoneticPr fontId="1" type="noConversion"/>
  <hyperlinks>
    <hyperlink ref="C10" location="职业调整模型!A1" display="标准模型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D42" sqref="D4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K103"/>
  <sheetViews>
    <sheetView topLeftCell="A2" workbookViewId="0">
      <selection activeCell="E43" sqref="E43"/>
    </sheetView>
  </sheetViews>
  <sheetFormatPr defaultRowHeight="13.5"/>
  <sheetData>
    <row r="2" spans="2:11">
      <c r="B2" t="s">
        <v>62</v>
      </c>
      <c r="C2" t="s">
        <v>63</v>
      </c>
      <c r="D2" t="s">
        <v>63</v>
      </c>
      <c r="E2" t="s">
        <v>63</v>
      </c>
      <c r="F2" t="s">
        <v>63</v>
      </c>
      <c r="G2" t="s">
        <v>63</v>
      </c>
      <c r="H2" t="s">
        <v>63</v>
      </c>
      <c r="I2" t="s">
        <v>63</v>
      </c>
      <c r="J2" t="s">
        <v>63</v>
      </c>
      <c r="K2" t="s">
        <v>63</v>
      </c>
    </row>
    <row r="3" spans="2:11">
      <c r="B3" t="s">
        <v>64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t="s">
        <v>73</v>
      </c>
    </row>
    <row r="4" spans="2:11">
      <c r="B4" t="s">
        <v>74</v>
      </c>
      <c r="C4" t="s">
        <v>75</v>
      </c>
      <c r="D4" t="s">
        <v>76</v>
      </c>
      <c r="E4" t="s">
        <v>77</v>
      </c>
      <c r="F4" t="s">
        <v>78</v>
      </c>
      <c r="G4" t="s">
        <v>79</v>
      </c>
      <c r="H4" t="s">
        <v>80</v>
      </c>
      <c r="I4" t="s">
        <v>81</v>
      </c>
      <c r="J4" t="s">
        <v>82</v>
      </c>
      <c r="K4" t="s">
        <v>83</v>
      </c>
    </row>
    <row r="5" spans="2:11">
      <c r="B5">
        <v>1</v>
      </c>
      <c r="C5">
        <v>100</v>
      </c>
      <c r="D5">
        <v>1000</v>
      </c>
      <c r="E5">
        <v>100</v>
      </c>
      <c r="F5">
        <v>100</v>
      </c>
      <c r="G5">
        <v>100</v>
      </c>
      <c r="H5">
        <v>100</v>
      </c>
      <c r="I5">
        <v>0</v>
      </c>
      <c r="J5">
        <v>0</v>
      </c>
      <c r="K5">
        <v>0</v>
      </c>
    </row>
    <row r="6" spans="2:11">
      <c r="B6">
        <v>2</v>
      </c>
      <c r="C6">
        <v>200</v>
      </c>
      <c r="D6">
        <v>1000</v>
      </c>
      <c r="E6">
        <v>100</v>
      </c>
      <c r="F6">
        <v>100</v>
      </c>
      <c r="G6">
        <v>100</v>
      </c>
      <c r="H6">
        <v>100</v>
      </c>
      <c r="I6">
        <v>0</v>
      </c>
      <c r="J6">
        <v>0</v>
      </c>
      <c r="K6">
        <v>0</v>
      </c>
    </row>
    <row r="7" spans="2:11">
      <c r="B7">
        <v>3</v>
      </c>
      <c r="C7">
        <v>300</v>
      </c>
      <c r="D7">
        <v>1000</v>
      </c>
      <c r="E7">
        <v>100</v>
      </c>
      <c r="F7">
        <v>100</v>
      </c>
      <c r="G7">
        <v>100</v>
      </c>
      <c r="H7">
        <v>100</v>
      </c>
      <c r="I7">
        <v>0</v>
      </c>
      <c r="J7">
        <v>0</v>
      </c>
      <c r="K7">
        <v>0</v>
      </c>
    </row>
    <row r="8" spans="2:11">
      <c r="B8">
        <v>4</v>
      </c>
      <c r="C8">
        <v>400</v>
      </c>
      <c r="D8">
        <v>1000</v>
      </c>
      <c r="E8">
        <v>100</v>
      </c>
      <c r="F8">
        <v>100</v>
      </c>
      <c r="G8">
        <v>100</v>
      </c>
      <c r="H8">
        <v>100</v>
      </c>
      <c r="I8">
        <v>0</v>
      </c>
      <c r="J8">
        <v>0</v>
      </c>
      <c r="K8">
        <v>0</v>
      </c>
    </row>
    <row r="9" spans="2:11">
      <c r="B9">
        <v>5</v>
      </c>
      <c r="C9">
        <v>500</v>
      </c>
      <c r="D9">
        <v>1000</v>
      </c>
      <c r="E9">
        <v>100</v>
      </c>
      <c r="F9">
        <v>100</v>
      </c>
      <c r="G9">
        <v>100</v>
      </c>
      <c r="H9">
        <v>100</v>
      </c>
      <c r="I9">
        <v>0</v>
      </c>
      <c r="J9">
        <v>0</v>
      </c>
      <c r="K9">
        <v>0</v>
      </c>
    </row>
    <row r="10" spans="2:11">
      <c r="B10">
        <v>6</v>
      </c>
      <c r="C10">
        <v>600</v>
      </c>
      <c r="D10">
        <v>1000</v>
      </c>
      <c r="E10">
        <v>100</v>
      </c>
      <c r="F10">
        <v>100</v>
      </c>
      <c r="G10">
        <v>100</v>
      </c>
      <c r="H10">
        <v>100</v>
      </c>
      <c r="I10">
        <v>0</v>
      </c>
      <c r="J10">
        <v>0</v>
      </c>
      <c r="K10">
        <v>0</v>
      </c>
    </row>
    <row r="11" spans="2:11">
      <c r="B11">
        <v>7</v>
      </c>
      <c r="C11">
        <v>700</v>
      </c>
      <c r="D11">
        <v>1000</v>
      </c>
      <c r="E11">
        <v>100</v>
      </c>
      <c r="F11">
        <v>100</v>
      </c>
      <c r="G11">
        <v>100</v>
      </c>
      <c r="H11">
        <v>100</v>
      </c>
      <c r="I11">
        <v>0</v>
      </c>
      <c r="J11">
        <v>0</v>
      </c>
      <c r="K11">
        <v>0</v>
      </c>
    </row>
    <row r="12" spans="2:11">
      <c r="B12">
        <v>8</v>
      </c>
      <c r="C12">
        <v>800</v>
      </c>
      <c r="D12">
        <v>1000</v>
      </c>
      <c r="E12">
        <v>100</v>
      </c>
      <c r="F12">
        <v>100</v>
      </c>
      <c r="G12">
        <v>100</v>
      </c>
      <c r="H12">
        <v>100</v>
      </c>
      <c r="I12">
        <v>0</v>
      </c>
      <c r="J12">
        <v>0</v>
      </c>
      <c r="K12">
        <v>0</v>
      </c>
    </row>
    <row r="13" spans="2:11">
      <c r="B13">
        <v>9</v>
      </c>
      <c r="C13">
        <v>900</v>
      </c>
      <c r="D13">
        <v>1000</v>
      </c>
      <c r="E13">
        <v>100</v>
      </c>
      <c r="F13">
        <v>100</v>
      </c>
      <c r="G13">
        <v>100</v>
      </c>
      <c r="H13">
        <v>100</v>
      </c>
      <c r="I13">
        <v>0</v>
      </c>
      <c r="J13">
        <v>0</v>
      </c>
      <c r="K13">
        <v>0</v>
      </c>
    </row>
    <row r="14" spans="2:11">
      <c r="B14">
        <v>10</v>
      </c>
      <c r="C14">
        <v>1000</v>
      </c>
      <c r="D14">
        <v>1000</v>
      </c>
      <c r="E14">
        <v>100</v>
      </c>
      <c r="F14">
        <v>100</v>
      </c>
      <c r="G14">
        <v>100</v>
      </c>
      <c r="H14">
        <v>100</v>
      </c>
      <c r="I14">
        <v>0</v>
      </c>
      <c r="J14">
        <v>0</v>
      </c>
      <c r="K14">
        <v>0</v>
      </c>
    </row>
    <row r="15" spans="2:11">
      <c r="B15">
        <v>11</v>
      </c>
      <c r="C15">
        <v>1100</v>
      </c>
      <c r="D15">
        <v>1000</v>
      </c>
      <c r="E15">
        <v>100</v>
      </c>
      <c r="F15">
        <v>100</v>
      </c>
      <c r="G15">
        <v>100</v>
      </c>
      <c r="H15">
        <v>100</v>
      </c>
      <c r="I15">
        <v>0</v>
      </c>
      <c r="J15">
        <v>0</v>
      </c>
      <c r="K15">
        <v>0</v>
      </c>
    </row>
    <row r="16" spans="2:11">
      <c r="B16">
        <v>12</v>
      </c>
      <c r="C16">
        <v>1200</v>
      </c>
      <c r="D16">
        <v>1000</v>
      </c>
      <c r="E16">
        <v>100</v>
      </c>
      <c r="F16">
        <v>100</v>
      </c>
      <c r="G16">
        <v>100</v>
      </c>
      <c r="H16">
        <v>100</v>
      </c>
      <c r="I16">
        <v>0</v>
      </c>
      <c r="J16">
        <v>0</v>
      </c>
      <c r="K16">
        <v>0</v>
      </c>
    </row>
    <row r="17" spans="2:11">
      <c r="B17">
        <v>13</v>
      </c>
      <c r="C17">
        <v>1300</v>
      </c>
      <c r="D17">
        <v>1000</v>
      </c>
      <c r="E17">
        <v>100</v>
      </c>
      <c r="F17">
        <v>100</v>
      </c>
      <c r="G17">
        <v>100</v>
      </c>
      <c r="H17">
        <v>100</v>
      </c>
      <c r="I17">
        <v>0</v>
      </c>
      <c r="J17">
        <v>0</v>
      </c>
      <c r="K17">
        <v>0</v>
      </c>
    </row>
    <row r="18" spans="2:11">
      <c r="B18">
        <v>14</v>
      </c>
      <c r="C18">
        <v>1400</v>
      </c>
      <c r="D18">
        <v>1000</v>
      </c>
      <c r="E18">
        <v>100</v>
      </c>
      <c r="F18">
        <v>100</v>
      </c>
      <c r="G18">
        <v>100</v>
      </c>
      <c r="H18">
        <v>100</v>
      </c>
      <c r="I18">
        <v>0</v>
      </c>
      <c r="J18">
        <v>0</v>
      </c>
      <c r="K18">
        <v>0</v>
      </c>
    </row>
    <row r="19" spans="2:11">
      <c r="B19">
        <v>15</v>
      </c>
      <c r="C19">
        <v>9999999</v>
      </c>
      <c r="D19">
        <v>652</v>
      </c>
      <c r="E19">
        <v>83</v>
      </c>
      <c r="F19">
        <v>69</v>
      </c>
      <c r="G19">
        <v>71</v>
      </c>
      <c r="H19">
        <v>81</v>
      </c>
      <c r="I19">
        <v>0</v>
      </c>
      <c r="J19">
        <v>50</v>
      </c>
      <c r="K19">
        <v>0</v>
      </c>
    </row>
    <row r="20" spans="2:11">
      <c r="B20">
        <v>16</v>
      </c>
      <c r="C20">
        <v>1600</v>
      </c>
      <c r="D20">
        <v>1000</v>
      </c>
      <c r="E20">
        <v>100</v>
      </c>
      <c r="F20">
        <v>100</v>
      </c>
      <c r="G20">
        <v>100</v>
      </c>
      <c r="H20">
        <v>100</v>
      </c>
      <c r="I20">
        <v>0</v>
      </c>
      <c r="J20">
        <v>0</v>
      </c>
      <c r="K20">
        <v>0</v>
      </c>
    </row>
    <row r="21" spans="2:11">
      <c r="B21">
        <v>17</v>
      </c>
      <c r="C21">
        <v>1700</v>
      </c>
      <c r="D21">
        <v>1000</v>
      </c>
      <c r="E21">
        <v>100</v>
      </c>
      <c r="F21">
        <v>100</v>
      </c>
      <c r="G21">
        <v>100</v>
      </c>
      <c r="H21">
        <v>100</v>
      </c>
      <c r="I21">
        <v>0</v>
      </c>
      <c r="J21">
        <v>0</v>
      </c>
      <c r="K21">
        <v>0</v>
      </c>
    </row>
    <row r="22" spans="2:11">
      <c r="B22">
        <v>18</v>
      </c>
      <c r="C22">
        <v>1800</v>
      </c>
      <c r="D22">
        <v>1000</v>
      </c>
      <c r="E22">
        <v>100</v>
      </c>
      <c r="F22">
        <v>100</v>
      </c>
      <c r="G22">
        <v>100</v>
      </c>
      <c r="H22">
        <v>100</v>
      </c>
      <c r="I22">
        <v>0</v>
      </c>
      <c r="J22">
        <v>0</v>
      </c>
      <c r="K22">
        <v>0</v>
      </c>
    </row>
    <row r="23" spans="2:11">
      <c r="B23">
        <v>19</v>
      </c>
      <c r="C23">
        <v>1900</v>
      </c>
      <c r="D23">
        <v>1000</v>
      </c>
      <c r="E23">
        <v>100</v>
      </c>
      <c r="F23">
        <v>100</v>
      </c>
      <c r="G23">
        <v>100</v>
      </c>
      <c r="H23">
        <v>100</v>
      </c>
      <c r="I23">
        <v>0</v>
      </c>
      <c r="J23">
        <v>0</v>
      </c>
      <c r="K23">
        <v>0</v>
      </c>
    </row>
    <row r="24" spans="2:11">
      <c r="B24">
        <v>20</v>
      </c>
      <c r="C24">
        <v>2000</v>
      </c>
      <c r="D24">
        <v>1000</v>
      </c>
      <c r="E24">
        <v>100</v>
      </c>
      <c r="F24">
        <v>100</v>
      </c>
      <c r="G24">
        <v>100</v>
      </c>
      <c r="H24">
        <v>100</v>
      </c>
      <c r="I24">
        <v>0</v>
      </c>
      <c r="J24">
        <v>0</v>
      </c>
      <c r="K24">
        <v>0</v>
      </c>
    </row>
    <row r="25" spans="2:11">
      <c r="B25">
        <v>21</v>
      </c>
      <c r="C25">
        <v>2100</v>
      </c>
      <c r="D25">
        <v>1000</v>
      </c>
      <c r="E25">
        <v>100</v>
      </c>
      <c r="F25">
        <v>100</v>
      </c>
      <c r="G25">
        <v>100</v>
      </c>
      <c r="H25">
        <v>100</v>
      </c>
      <c r="I25">
        <v>0</v>
      </c>
      <c r="J25">
        <v>0</v>
      </c>
      <c r="K25">
        <v>0</v>
      </c>
    </row>
    <row r="26" spans="2:11">
      <c r="B26">
        <v>22</v>
      </c>
      <c r="C26">
        <v>2200</v>
      </c>
      <c r="D26">
        <v>1000</v>
      </c>
      <c r="E26">
        <v>100</v>
      </c>
      <c r="F26">
        <v>100</v>
      </c>
      <c r="G26">
        <v>100</v>
      </c>
      <c r="H26">
        <v>100</v>
      </c>
      <c r="I26">
        <v>0</v>
      </c>
      <c r="J26">
        <v>0</v>
      </c>
      <c r="K26">
        <v>0</v>
      </c>
    </row>
    <row r="27" spans="2:11">
      <c r="B27">
        <v>23</v>
      </c>
      <c r="C27">
        <v>2300</v>
      </c>
      <c r="D27">
        <v>1000</v>
      </c>
      <c r="E27">
        <v>100</v>
      </c>
      <c r="F27">
        <v>100</v>
      </c>
      <c r="G27">
        <v>100</v>
      </c>
      <c r="H27">
        <v>100</v>
      </c>
      <c r="I27">
        <v>0</v>
      </c>
      <c r="J27">
        <v>0</v>
      </c>
      <c r="K27">
        <v>0</v>
      </c>
    </row>
    <row r="28" spans="2:11">
      <c r="B28">
        <v>24</v>
      </c>
      <c r="C28">
        <v>2400</v>
      </c>
      <c r="D28">
        <v>1000</v>
      </c>
      <c r="E28">
        <v>100</v>
      </c>
      <c r="F28">
        <v>100</v>
      </c>
      <c r="G28">
        <v>100</v>
      </c>
      <c r="H28">
        <v>100</v>
      </c>
      <c r="I28">
        <v>0</v>
      </c>
      <c r="J28">
        <v>0</v>
      </c>
      <c r="K28">
        <v>0</v>
      </c>
    </row>
    <row r="29" spans="2:11">
      <c r="B29">
        <v>25</v>
      </c>
      <c r="C29">
        <v>2500</v>
      </c>
      <c r="D29">
        <v>1000</v>
      </c>
      <c r="E29">
        <v>100</v>
      </c>
      <c r="F29">
        <v>100</v>
      </c>
      <c r="G29">
        <v>100</v>
      </c>
      <c r="H29">
        <v>100</v>
      </c>
      <c r="I29">
        <v>0</v>
      </c>
      <c r="J29">
        <v>0</v>
      </c>
      <c r="K29">
        <v>0</v>
      </c>
    </row>
    <row r="30" spans="2:11">
      <c r="B30">
        <v>26</v>
      </c>
      <c r="C30">
        <v>2600</v>
      </c>
      <c r="D30">
        <v>1000</v>
      </c>
      <c r="E30">
        <v>100</v>
      </c>
      <c r="F30">
        <v>100</v>
      </c>
      <c r="G30">
        <v>100</v>
      </c>
      <c r="H30">
        <v>100</v>
      </c>
      <c r="I30">
        <v>0</v>
      </c>
      <c r="J30">
        <v>0</v>
      </c>
      <c r="K30">
        <v>0</v>
      </c>
    </row>
    <row r="31" spans="2:11">
      <c r="B31">
        <v>27</v>
      </c>
      <c r="C31">
        <v>2700</v>
      </c>
      <c r="D31">
        <v>1000</v>
      </c>
      <c r="E31">
        <v>100</v>
      </c>
      <c r="F31">
        <v>100</v>
      </c>
      <c r="G31">
        <v>100</v>
      </c>
      <c r="H31">
        <v>100</v>
      </c>
      <c r="I31">
        <v>0</v>
      </c>
      <c r="J31">
        <v>0</v>
      </c>
      <c r="K31">
        <v>0</v>
      </c>
    </row>
    <row r="32" spans="2:11">
      <c r="B32">
        <v>28</v>
      </c>
      <c r="C32">
        <v>2800</v>
      </c>
      <c r="D32">
        <v>1000</v>
      </c>
      <c r="E32">
        <v>100</v>
      </c>
      <c r="F32">
        <v>100</v>
      </c>
      <c r="G32">
        <v>100</v>
      </c>
      <c r="H32">
        <v>100</v>
      </c>
      <c r="I32">
        <v>0</v>
      </c>
      <c r="J32">
        <v>0</v>
      </c>
      <c r="K32">
        <v>0</v>
      </c>
    </row>
    <row r="33" spans="2:11">
      <c r="B33">
        <v>29</v>
      </c>
      <c r="C33">
        <v>2900</v>
      </c>
      <c r="D33">
        <v>1000</v>
      </c>
      <c r="E33">
        <v>100</v>
      </c>
      <c r="F33">
        <v>100</v>
      </c>
      <c r="G33">
        <v>100</v>
      </c>
      <c r="H33">
        <v>100</v>
      </c>
      <c r="I33">
        <v>0</v>
      </c>
      <c r="J33">
        <v>0</v>
      </c>
      <c r="K33">
        <v>0</v>
      </c>
    </row>
    <row r="34" spans="2:11">
      <c r="B34">
        <v>30</v>
      </c>
      <c r="C34">
        <v>3000</v>
      </c>
      <c r="D34">
        <v>1000</v>
      </c>
      <c r="E34">
        <v>100</v>
      </c>
      <c r="F34">
        <v>100</v>
      </c>
      <c r="G34">
        <v>100</v>
      </c>
      <c r="H34">
        <v>100</v>
      </c>
      <c r="I34">
        <v>0</v>
      </c>
      <c r="J34">
        <v>0</v>
      </c>
      <c r="K34">
        <v>0</v>
      </c>
    </row>
    <row r="35" spans="2:11">
      <c r="B35">
        <v>31</v>
      </c>
      <c r="C35">
        <v>3100</v>
      </c>
      <c r="D35">
        <v>1000</v>
      </c>
      <c r="E35">
        <v>100</v>
      </c>
      <c r="F35">
        <v>100</v>
      </c>
      <c r="G35">
        <v>100</v>
      </c>
      <c r="H35">
        <v>100</v>
      </c>
      <c r="I35">
        <v>0</v>
      </c>
      <c r="J35">
        <v>0</v>
      </c>
      <c r="K35">
        <v>0</v>
      </c>
    </row>
    <row r="36" spans="2:11">
      <c r="B36">
        <v>32</v>
      </c>
      <c r="C36">
        <v>3200</v>
      </c>
      <c r="D36">
        <v>1000</v>
      </c>
      <c r="E36">
        <v>100</v>
      </c>
      <c r="F36">
        <v>100</v>
      </c>
      <c r="G36">
        <v>100</v>
      </c>
      <c r="H36">
        <v>100</v>
      </c>
      <c r="I36">
        <v>0</v>
      </c>
      <c r="J36">
        <v>0</v>
      </c>
      <c r="K36">
        <v>0</v>
      </c>
    </row>
    <row r="37" spans="2:11">
      <c r="B37">
        <v>33</v>
      </c>
      <c r="C37">
        <v>3300</v>
      </c>
      <c r="D37">
        <v>1000</v>
      </c>
      <c r="E37">
        <v>100</v>
      </c>
      <c r="F37">
        <v>100</v>
      </c>
      <c r="G37">
        <v>100</v>
      </c>
      <c r="H37">
        <v>100</v>
      </c>
      <c r="I37">
        <v>0</v>
      </c>
      <c r="J37">
        <v>0</v>
      </c>
      <c r="K37">
        <v>0</v>
      </c>
    </row>
    <row r="38" spans="2:11">
      <c r="B38">
        <v>34</v>
      </c>
      <c r="C38">
        <v>3400</v>
      </c>
      <c r="D38">
        <v>1000</v>
      </c>
      <c r="E38">
        <v>100</v>
      </c>
      <c r="F38">
        <v>100</v>
      </c>
      <c r="G38">
        <v>100</v>
      </c>
      <c r="H38">
        <v>100</v>
      </c>
      <c r="I38">
        <v>0</v>
      </c>
      <c r="J38">
        <v>0</v>
      </c>
      <c r="K38">
        <v>0</v>
      </c>
    </row>
    <row r="39" spans="2:11">
      <c r="B39">
        <v>35</v>
      </c>
      <c r="C39">
        <v>3500</v>
      </c>
      <c r="D39">
        <v>1000</v>
      </c>
      <c r="E39">
        <v>100</v>
      </c>
      <c r="F39">
        <v>100</v>
      </c>
      <c r="G39">
        <v>100</v>
      </c>
      <c r="H39">
        <v>100</v>
      </c>
      <c r="I39">
        <v>0</v>
      </c>
      <c r="J39">
        <v>0</v>
      </c>
      <c r="K39">
        <v>0</v>
      </c>
    </row>
    <row r="40" spans="2:11">
      <c r="B40">
        <v>36</v>
      </c>
      <c r="C40">
        <v>3600</v>
      </c>
      <c r="D40">
        <v>1000</v>
      </c>
      <c r="E40">
        <v>100</v>
      </c>
      <c r="F40">
        <v>100</v>
      </c>
      <c r="G40">
        <v>100</v>
      </c>
      <c r="H40">
        <v>100</v>
      </c>
      <c r="I40">
        <v>0</v>
      </c>
      <c r="J40">
        <v>0</v>
      </c>
      <c r="K40">
        <v>0</v>
      </c>
    </row>
    <row r="41" spans="2:11">
      <c r="B41">
        <v>37</v>
      </c>
      <c r="C41">
        <v>3700</v>
      </c>
      <c r="D41">
        <v>1000</v>
      </c>
      <c r="E41">
        <v>100</v>
      </c>
      <c r="F41">
        <v>100</v>
      </c>
      <c r="G41">
        <v>100</v>
      </c>
      <c r="H41">
        <v>100</v>
      </c>
      <c r="I41">
        <v>0</v>
      </c>
      <c r="J41">
        <v>0</v>
      </c>
      <c r="K41">
        <v>0</v>
      </c>
    </row>
    <row r="42" spans="2:11">
      <c r="B42">
        <v>38</v>
      </c>
      <c r="C42">
        <v>3800</v>
      </c>
      <c r="D42">
        <v>1000</v>
      </c>
      <c r="E42">
        <v>100</v>
      </c>
      <c r="F42">
        <v>100</v>
      </c>
      <c r="G42">
        <v>100</v>
      </c>
      <c r="H42">
        <v>100</v>
      </c>
      <c r="I42">
        <v>0</v>
      </c>
      <c r="J42">
        <v>0</v>
      </c>
      <c r="K42">
        <v>0</v>
      </c>
    </row>
    <row r="43" spans="2:11">
      <c r="B43">
        <v>39</v>
      </c>
      <c r="C43">
        <v>3900</v>
      </c>
      <c r="D43">
        <v>1000</v>
      </c>
      <c r="E43">
        <v>100</v>
      </c>
      <c r="F43">
        <v>100</v>
      </c>
      <c r="G43">
        <v>100</v>
      </c>
      <c r="H43">
        <v>100</v>
      </c>
      <c r="I43">
        <v>0</v>
      </c>
      <c r="J43">
        <v>0</v>
      </c>
      <c r="K43">
        <v>0</v>
      </c>
    </row>
    <row r="44" spans="2:11">
      <c r="B44">
        <v>40</v>
      </c>
      <c r="C44">
        <v>9999999</v>
      </c>
      <c r="D44">
        <v>4952</v>
      </c>
      <c r="E44">
        <v>523</v>
      </c>
      <c r="F44">
        <v>436</v>
      </c>
      <c r="G44">
        <v>544</v>
      </c>
      <c r="H44">
        <v>622</v>
      </c>
      <c r="I44">
        <v>0</v>
      </c>
      <c r="J44">
        <v>300</v>
      </c>
      <c r="K44">
        <v>0</v>
      </c>
    </row>
    <row r="45" spans="2:11">
      <c r="B45">
        <v>41</v>
      </c>
      <c r="C45">
        <v>4100</v>
      </c>
      <c r="D45">
        <v>1000</v>
      </c>
      <c r="E45">
        <v>100</v>
      </c>
      <c r="F45">
        <v>100</v>
      </c>
      <c r="G45">
        <v>100</v>
      </c>
      <c r="H45">
        <v>100</v>
      </c>
      <c r="I45">
        <v>0</v>
      </c>
      <c r="J45">
        <v>0</v>
      </c>
      <c r="K45">
        <v>0</v>
      </c>
    </row>
    <row r="46" spans="2:11">
      <c r="B46">
        <v>42</v>
      </c>
      <c r="C46">
        <v>4200</v>
      </c>
      <c r="D46">
        <v>1000</v>
      </c>
      <c r="E46">
        <v>100</v>
      </c>
      <c r="F46">
        <v>100</v>
      </c>
      <c r="G46">
        <v>100</v>
      </c>
      <c r="H46">
        <v>100</v>
      </c>
      <c r="I46">
        <v>0</v>
      </c>
      <c r="J46">
        <v>0</v>
      </c>
      <c r="K46">
        <v>0</v>
      </c>
    </row>
    <row r="47" spans="2:11">
      <c r="B47">
        <v>43</v>
      </c>
      <c r="C47">
        <v>4300</v>
      </c>
      <c r="D47">
        <v>1000</v>
      </c>
      <c r="E47">
        <v>100</v>
      </c>
      <c r="F47">
        <v>100</v>
      </c>
      <c r="G47">
        <v>100</v>
      </c>
      <c r="H47">
        <v>100</v>
      </c>
      <c r="I47">
        <v>0</v>
      </c>
      <c r="J47">
        <v>0</v>
      </c>
      <c r="K47">
        <v>0</v>
      </c>
    </row>
    <row r="48" spans="2:11">
      <c r="B48">
        <v>44</v>
      </c>
      <c r="C48">
        <v>4400</v>
      </c>
      <c r="D48">
        <v>1000</v>
      </c>
      <c r="E48">
        <v>100</v>
      </c>
      <c r="F48">
        <v>100</v>
      </c>
      <c r="G48">
        <v>100</v>
      </c>
      <c r="H48">
        <v>100</v>
      </c>
      <c r="I48">
        <v>0</v>
      </c>
      <c r="J48">
        <v>0</v>
      </c>
      <c r="K48">
        <v>0</v>
      </c>
    </row>
    <row r="49" spans="2:11">
      <c r="B49">
        <v>45</v>
      </c>
      <c r="C49">
        <v>4500</v>
      </c>
      <c r="D49">
        <v>1000</v>
      </c>
      <c r="E49">
        <v>100</v>
      </c>
      <c r="F49">
        <v>100</v>
      </c>
      <c r="G49">
        <v>100</v>
      </c>
      <c r="H49">
        <v>100</v>
      </c>
      <c r="I49">
        <v>0</v>
      </c>
      <c r="J49">
        <v>0</v>
      </c>
      <c r="K49">
        <v>0</v>
      </c>
    </row>
    <row r="50" spans="2:11">
      <c r="B50">
        <v>46</v>
      </c>
      <c r="C50">
        <v>4600</v>
      </c>
      <c r="D50">
        <v>1000</v>
      </c>
      <c r="E50">
        <v>100</v>
      </c>
      <c r="F50">
        <v>100</v>
      </c>
      <c r="G50">
        <v>100</v>
      </c>
      <c r="H50">
        <v>100</v>
      </c>
      <c r="I50">
        <v>0</v>
      </c>
      <c r="J50">
        <v>0</v>
      </c>
      <c r="K50">
        <v>0</v>
      </c>
    </row>
    <row r="51" spans="2:11">
      <c r="B51">
        <v>47</v>
      </c>
      <c r="C51">
        <v>4700</v>
      </c>
      <c r="D51">
        <v>1000</v>
      </c>
      <c r="E51">
        <v>100</v>
      </c>
      <c r="F51">
        <v>100</v>
      </c>
      <c r="G51">
        <v>100</v>
      </c>
      <c r="H51">
        <v>100</v>
      </c>
      <c r="I51">
        <v>0</v>
      </c>
      <c r="J51">
        <v>0</v>
      </c>
      <c r="K51">
        <v>0</v>
      </c>
    </row>
    <row r="52" spans="2:11">
      <c r="B52">
        <v>48</v>
      </c>
      <c r="C52">
        <v>4800</v>
      </c>
      <c r="D52">
        <v>1000</v>
      </c>
      <c r="E52">
        <v>100</v>
      </c>
      <c r="F52">
        <v>100</v>
      </c>
      <c r="G52">
        <v>100</v>
      </c>
      <c r="H52">
        <v>100</v>
      </c>
      <c r="I52">
        <v>0</v>
      </c>
      <c r="J52">
        <v>0</v>
      </c>
      <c r="K52">
        <v>0</v>
      </c>
    </row>
    <row r="53" spans="2:11">
      <c r="B53">
        <v>49</v>
      </c>
      <c r="C53">
        <v>4900</v>
      </c>
      <c r="D53">
        <v>1000</v>
      </c>
      <c r="E53">
        <v>100</v>
      </c>
      <c r="F53">
        <v>100</v>
      </c>
      <c r="G53">
        <v>100</v>
      </c>
      <c r="H53">
        <v>100</v>
      </c>
      <c r="I53">
        <v>0</v>
      </c>
      <c r="J53">
        <v>0</v>
      </c>
      <c r="K53">
        <v>0</v>
      </c>
    </row>
    <row r="54" spans="2:11">
      <c r="B54">
        <v>50</v>
      </c>
      <c r="C54">
        <v>5000</v>
      </c>
      <c r="D54">
        <v>1000</v>
      </c>
      <c r="E54">
        <v>100</v>
      </c>
      <c r="F54">
        <v>100</v>
      </c>
      <c r="G54">
        <v>100</v>
      </c>
      <c r="H54">
        <v>100</v>
      </c>
      <c r="I54">
        <v>0</v>
      </c>
      <c r="J54">
        <v>0</v>
      </c>
      <c r="K54">
        <v>0</v>
      </c>
    </row>
    <row r="55" spans="2:11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v>0</v>
      </c>
      <c r="K55">
        <v>0</v>
      </c>
    </row>
    <row r="56" spans="2:11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v>0</v>
      </c>
      <c r="K56">
        <v>0</v>
      </c>
    </row>
    <row r="57" spans="2:11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v>0</v>
      </c>
      <c r="K57">
        <v>0</v>
      </c>
    </row>
    <row r="58" spans="2:11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v>0</v>
      </c>
      <c r="K58">
        <v>0</v>
      </c>
    </row>
    <row r="59" spans="2:11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v>0</v>
      </c>
      <c r="K59">
        <v>0</v>
      </c>
    </row>
    <row r="60" spans="2:11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v>0</v>
      </c>
      <c r="K60">
        <v>0</v>
      </c>
    </row>
    <row r="61" spans="2:11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v>0</v>
      </c>
      <c r="K61">
        <v>0</v>
      </c>
    </row>
    <row r="62" spans="2:11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v>0</v>
      </c>
      <c r="K62">
        <v>0</v>
      </c>
    </row>
    <row r="63" spans="2:11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v>0</v>
      </c>
      <c r="K63">
        <v>0</v>
      </c>
    </row>
    <row r="64" spans="2:11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v>0</v>
      </c>
      <c r="K64">
        <v>0</v>
      </c>
    </row>
    <row r="65" spans="2:11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v>0</v>
      </c>
      <c r="K65">
        <v>0</v>
      </c>
    </row>
    <row r="66" spans="2:11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v>0</v>
      </c>
      <c r="K66">
        <v>0</v>
      </c>
    </row>
    <row r="67" spans="2:11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v>0</v>
      </c>
      <c r="K67">
        <v>0</v>
      </c>
    </row>
    <row r="68" spans="2:11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v>0</v>
      </c>
      <c r="K68">
        <v>0</v>
      </c>
    </row>
    <row r="69" spans="2:11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v>0</v>
      </c>
      <c r="K69">
        <v>0</v>
      </c>
    </row>
    <row r="70" spans="2:11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v>0</v>
      </c>
      <c r="K70">
        <v>0</v>
      </c>
    </row>
    <row r="71" spans="2:11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v>0</v>
      </c>
      <c r="K71">
        <v>0</v>
      </c>
    </row>
    <row r="72" spans="2:11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v>0</v>
      </c>
      <c r="K72">
        <v>0</v>
      </c>
    </row>
    <row r="73" spans="2:11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v>0</v>
      </c>
      <c r="K73">
        <v>0</v>
      </c>
    </row>
    <row r="74" spans="2:11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v>0</v>
      </c>
      <c r="K74">
        <v>0</v>
      </c>
    </row>
    <row r="75" spans="2:11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v>0</v>
      </c>
      <c r="K75">
        <v>0</v>
      </c>
    </row>
    <row r="76" spans="2:11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v>0</v>
      </c>
      <c r="K76">
        <v>0</v>
      </c>
    </row>
    <row r="77" spans="2:11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v>0</v>
      </c>
      <c r="K77">
        <v>0</v>
      </c>
    </row>
    <row r="78" spans="2:11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v>0</v>
      </c>
      <c r="K78">
        <v>0</v>
      </c>
    </row>
    <row r="79" spans="2:11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v>0</v>
      </c>
      <c r="K79">
        <v>0</v>
      </c>
    </row>
    <row r="80" spans="2:11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v>0</v>
      </c>
      <c r="K80">
        <v>0</v>
      </c>
    </row>
    <row r="81" spans="2:11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v>0</v>
      </c>
      <c r="K81">
        <v>0</v>
      </c>
    </row>
    <row r="82" spans="2:11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v>0</v>
      </c>
      <c r="K82">
        <v>0</v>
      </c>
    </row>
    <row r="83" spans="2:11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v>0</v>
      </c>
      <c r="K83">
        <v>0</v>
      </c>
    </row>
    <row r="84" spans="2:11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v>0</v>
      </c>
      <c r="K84">
        <v>0</v>
      </c>
    </row>
    <row r="85" spans="2:11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v>0</v>
      </c>
      <c r="K85">
        <v>0</v>
      </c>
    </row>
    <row r="86" spans="2:11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v>0</v>
      </c>
      <c r="K86">
        <v>0</v>
      </c>
    </row>
    <row r="87" spans="2:11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v>0</v>
      </c>
      <c r="K87">
        <v>0</v>
      </c>
    </row>
    <row r="88" spans="2:11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v>0</v>
      </c>
      <c r="K88">
        <v>0</v>
      </c>
    </row>
    <row r="89" spans="2:11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v>0</v>
      </c>
      <c r="K89">
        <v>0</v>
      </c>
    </row>
    <row r="90" spans="2:11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v>0</v>
      </c>
      <c r="K90">
        <v>0</v>
      </c>
    </row>
    <row r="91" spans="2:11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v>0</v>
      </c>
      <c r="K91">
        <v>0</v>
      </c>
    </row>
    <row r="92" spans="2:11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v>0</v>
      </c>
      <c r="K92">
        <v>0</v>
      </c>
    </row>
    <row r="93" spans="2:11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v>0</v>
      </c>
      <c r="K93">
        <v>0</v>
      </c>
    </row>
    <row r="94" spans="2:11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v>0</v>
      </c>
      <c r="K94">
        <v>0</v>
      </c>
    </row>
    <row r="95" spans="2:11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v>0</v>
      </c>
      <c r="K95">
        <v>0</v>
      </c>
    </row>
    <row r="96" spans="2:11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v>0</v>
      </c>
      <c r="K96">
        <v>0</v>
      </c>
    </row>
    <row r="97" spans="2:11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v>0</v>
      </c>
      <c r="K97">
        <v>0</v>
      </c>
    </row>
    <row r="98" spans="2:11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v>0</v>
      </c>
      <c r="K98">
        <v>0</v>
      </c>
    </row>
    <row r="99" spans="2:11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v>0</v>
      </c>
      <c r="K99">
        <v>0</v>
      </c>
    </row>
    <row r="100" spans="2:11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v>0</v>
      </c>
      <c r="K100">
        <v>0</v>
      </c>
    </row>
    <row r="101" spans="2:11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v>0</v>
      </c>
      <c r="K101">
        <v>0</v>
      </c>
    </row>
    <row r="102" spans="2:11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v>0</v>
      </c>
      <c r="K102">
        <v>0</v>
      </c>
    </row>
    <row r="103" spans="2:11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v>0</v>
      </c>
      <c r="K103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I32" sqref="I32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文档说明</vt:lpstr>
      <vt:lpstr>职业调整模型</vt:lpstr>
      <vt:lpstr>属性拆分方式</vt:lpstr>
      <vt:lpstr>战斗验证</vt:lpstr>
      <vt:lpstr>属性能力生成表</vt:lpstr>
      <vt:lpstr>镶嵌宝石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2015-09-23T01:20:46Z</dcterms:modified>
</cp:coreProperties>
</file>