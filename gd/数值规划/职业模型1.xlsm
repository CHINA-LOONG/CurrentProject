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855" yWindow="-150" windowWidth="28350" windowHeight="12750" activeTab="6"/>
  </bookViews>
  <sheets>
    <sheet name="文档说明" sheetId="2" r:id="rId1"/>
    <sheet name="职业调整模型" sheetId="1" r:id="rId2"/>
    <sheet name="属性拆分方式" sheetId="3" r:id="rId3"/>
    <sheet name="战斗验证" sheetId="4" r:id="rId4"/>
    <sheet name="镶嵌宝石" sheetId="6" r:id="rId5"/>
    <sheet name="属性能力生成表" sheetId="5" r:id="rId6"/>
    <sheet name="宠物升阶生成表" sheetId="7" r:id="rId7"/>
  </sheets>
  <externalReferences>
    <externalReference r:id="rId8"/>
    <externalReference r:id="rId9"/>
  </externalReferences>
  <calcPr calcId="145621"/>
</workbook>
</file>

<file path=xl/calcChain.xml><?xml version="1.0" encoding="utf-8"?>
<calcChain xmlns="http://schemas.openxmlformats.org/spreadsheetml/2006/main">
  <c r="E4" i="3" l="1"/>
  <c r="E6" i="3"/>
  <c r="E7" i="3"/>
  <c r="R7" i="3"/>
  <c r="R8" i="3"/>
  <c r="R9" i="3"/>
  <c r="R10" i="3"/>
  <c r="R5" i="3"/>
  <c r="R6" i="3"/>
  <c r="R4" i="3"/>
  <c r="R3" i="3"/>
  <c r="R2" i="3"/>
  <c r="F9" i="3"/>
  <c r="H9" i="3"/>
  <c r="I9" i="3"/>
  <c r="J9" i="3"/>
  <c r="F10" i="3"/>
  <c r="H10" i="3"/>
  <c r="I10" i="3"/>
  <c r="J10" i="3"/>
  <c r="F11" i="3"/>
  <c r="F12" i="3" s="1"/>
  <c r="F13" i="3" s="1"/>
  <c r="H11" i="3"/>
  <c r="I11" i="3"/>
  <c r="J11" i="3"/>
  <c r="H12" i="3"/>
  <c r="I12" i="3"/>
  <c r="J12" i="3"/>
  <c r="H13" i="3"/>
  <c r="I13" i="3"/>
  <c r="J13" i="3"/>
  <c r="E5" i="3" l="1"/>
  <c r="E8" i="3"/>
  <c r="G16" i="7" l="1"/>
  <c r="G17" i="7"/>
  <c r="G18" i="7"/>
  <c r="G19" i="7"/>
  <c r="G20" i="7"/>
  <c r="G21" i="7"/>
  <c r="E16" i="7"/>
  <c r="E17" i="7"/>
  <c r="E18" i="7"/>
  <c r="E19" i="7"/>
  <c r="E20" i="7"/>
  <c r="E21" i="7"/>
  <c r="D16" i="7"/>
  <c r="D17" i="7"/>
  <c r="D18" i="7"/>
  <c r="D19" i="7"/>
  <c r="D20" i="7"/>
  <c r="D21" i="7"/>
  <c r="C16" i="7"/>
  <c r="C17" i="7"/>
  <c r="C18" i="7"/>
  <c r="C19" i="7"/>
  <c r="C20" i="7"/>
  <c r="C21" i="7"/>
  <c r="H6" i="3" l="1"/>
  <c r="H4" i="3"/>
  <c r="F4" i="3" l="1"/>
  <c r="F5" i="3" s="1"/>
  <c r="F6" i="3" s="1"/>
  <c r="F7" i="3" s="1"/>
  <c r="F8" i="3" s="1"/>
  <c r="E9" i="3"/>
  <c r="E10" i="3" l="1"/>
  <c r="E11" i="3" s="1"/>
  <c r="G9" i="3"/>
  <c r="K9" i="3" s="1"/>
  <c r="H8" i="3"/>
  <c r="I8" i="3"/>
  <c r="J8" i="3"/>
  <c r="G8" i="3"/>
  <c r="G10" i="3" l="1"/>
  <c r="K10" i="3" s="1"/>
  <c r="E12" i="3"/>
  <c r="G11" i="3"/>
  <c r="K11" i="3" s="1"/>
  <c r="K8" i="3"/>
  <c r="H7" i="3"/>
  <c r="E13" i="3" l="1"/>
  <c r="G12" i="3"/>
  <c r="K12" i="3" s="1"/>
  <c r="I7" i="3"/>
  <c r="I6" i="3"/>
  <c r="H5" i="3"/>
  <c r="I5" i="3"/>
  <c r="I4" i="3"/>
  <c r="G3" i="3"/>
  <c r="I3" i="3"/>
  <c r="L4" i="3" s="1"/>
  <c r="J7" i="3"/>
  <c r="J6" i="3"/>
  <c r="J5" i="3"/>
  <c r="J4" i="3"/>
  <c r="J3" i="3"/>
  <c r="E14" i="3" l="1"/>
  <c r="G13" i="3"/>
  <c r="K13" i="3" s="1"/>
  <c r="G7" i="3"/>
  <c r="K3" i="3"/>
  <c r="K7" i="3" l="1"/>
  <c r="G5" i="3" l="1"/>
  <c r="G6" i="3"/>
  <c r="G4" i="3"/>
  <c r="L5" i="3"/>
  <c r="K4" i="3" l="1"/>
  <c r="K6" i="3"/>
  <c r="K5" i="3"/>
  <c r="L6" i="3"/>
  <c r="D68" i="1" l="1"/>
  <c r="D32" i="1" l="1"/>
  <c r="S12" i="1" l="1"/>
  <c r="T12" i="1" s="1"/>
  <c r="S14" i="1"/>
  <c r="T14" i="1" s="1"/>
  <c r="S13" i="1"/>
  <c r="T13" i="1" s="1"/>
  <c r="O14" i="1"/>
  <c r="P14" i="1" s="1"/>
  <c r="O13" i="1"/>
  <c r="P13" i="1" s="1"/>
  <c r="O12" i="1"/>
  <c r="P12" i="1" s="1"/>
  <c r="K14" i="1"/>
  <c r="L14" i="1" s="1"/>
  <c r="K13" i="1"/>
  <c r="L13" i="1" s="1"/>
  <c r="K12" i="1"/>
  <c r="L12" i="1" s="1"/>
  <c r="G12" i="1"/>
  <c r="H12" i="1" s="1"/>
  <c r="G13" i="1"/>
  <c r="H13" i="1" s="1"/>
  <c r="H42" i="1" s="1"/>
  <c r="G14" i="1"/>
  <c r="H14" i="1" s="1"/>
  <c r="H38" i="1" s="1"/>
  <c r="H39" i="1" s="1"/>
  <c r="C14" i="1"/>
  <c r="D14" i="1" s="1"/>
  <c r="C38" i="1" s="1"/>
  <c r="C39" i="1" s="1"/>
  <c r="C12" i="1"/>
  <c r="D12" i="1" s="1"/>
  <c r="C13" i="1"/>
  <c r="D13" i="1" s="1"/>
  <c r="C42" i="1" s="1"/>
  <c r="S18" i="1" l="1"/>
  <c r="E28" i="1"/>
  <c r="I35" i="1" s="1"/>
  <c r="H41" i="1" s="1"/>
  <c r="H35" i="1" l="1"/>
  <c r="H40" i="1" s="1"/>
  <c r="C35" i="1"/>
  <c r="C40" i="1" s="1"/>
  <c r="D35" i="1"/>
  <c r="C41" i="1" s="1"/>
  <c r="R56" i="1"/>
  <c r="Q56" i="1"/>
  <c r="N56" i="1"/>
  <c r="M56" i="1"/>
  <c r="E50" i="1"/>
  <c r="C59" i="1" s="1"/>
  <c r="I56" i="1" l="1"/>
  <c r="H56" i="1"/>
  <c r="D56" i="1"/>
  <c r="C56" i="1"/>
  <c r="C25" i="1"/>
  <c r="Q57" i="1" s="1"/>
  <c r="C33" i="1" l="1"/>
  <c r="C36" i="1" s="1"/>
  <c r="I33" i="1"/>
  <c r="H36" i="1" s="1"/>
  <c r="D33" i="1"/>
  <c r="D36" i="1" s="1"/>
  <c r="H33" i="1"/>
  <c r="I36" i="1" s="1"/>
  <c r="C75" i="1"/>
  <c r="D75" i="1"/>
  <c r="I57" i="1"/>
  <c r="C57" i="1"/>
  <c r="C60" i="1" s="1"/>
  <c r="R57" i="1"/>
  <c r="N57" i="1"/>
  <c r="M57" i="1"/>
  <c r="D57" i="1"/>
  <c r="H57" i="1"/>
  <c r="E36" i="1" l="1"/>
  <c r="J36" i="1"/>
  <c r="O18" i="1"/>
  <c r="Q62" i="1" l="1"/>
  <c r="M62" i="1"/>
  <c r="C62" i="1"/>
  <c r="C63" i="1" s="1"/>
  <c r="H62" i="1"/>
  <c r="H63" i="1" s="1"/>
  <c r="M63" i="1" l="1"/>
  <c r="Q59" i="1"/>
  <c r="M59" i="1"/>
  <c r="N59" i="1"/>
  <c r="R59" i="1"/>
  <c r="I59" i="1"/>
  <c r="H65" i="1" s="1"/>
  <c r="H59" i="1"/>
  <c r="H64" i="1" s="1"/>
  <c r="K18" i="1"/>
  <c r="O17" i="1"/>
  <c r="K17" i="1"/>
  <c r="C64" i="1"/>
  <c r="D59" i="1"/>
  <c r="C65" i="1" s="1"/>
  <c r="C80" i="1"/>
  <c r="C81" i="1" s="1"/>
  <c r="H20" i="3" s="1"/>
  <c r="I20" i="3" s="1"/>
  <c r="C84" i="1"/>
  <c r="H23" i="3" s="1"/>
  <c r="I23" i="3" l="1"/>
  <c r="F23" i="3" s="1"/>
  <c r="L31" i="3" s="1"/>
  <c r="C23" i="3"/>
  <c r="Q63" i="1"/>
  <c r="R60" i="1"/>
  <c r="Q65" i="1"/>
  <c r="M65" i="1"/>
  <c r="N60" i="1"/>
  <c r="M64" i="1"/>
  <c r="M60" i="1"/>
  <c r="Q60" i="1"/>
  <c r="Q64" i="1"/>
  <c r="H60" i="1"/>
  <c r="I60" i="1"/>
  <c r="D60" i="1"/>
  <c r="G17" i="1"/>
  <c r="C17" i="1"/>
  <c r="L32" i="3" l="1"/>
  <c r="G8" i="7" s="1"/>
  <c r="L34" i="3"/>
  <c r="G10" i="7" s="1"/>
  <c r="L37" i="3"/>
  <c r="G13" i="7" s="1"/>
  <c r="L39" i="3"/>
  <c r="G15" i="7" s="1"/>
  <c r="G7" i="7"/>
  <c r="L33" i="3"/>
  <c r="G9" i="7" s="1"/>
  <c r="L38" i="3"/>
  <c r="G14" i="7" s="1"/>
  <c r="L35" i="3"/>
  <c r="G11" i="7" s="1"/>
  <c r="L36" i="3"/>
  <c r="G12" i="7" s="1"/>
  <c r="I31" i="3"/>
  <c r="D5" i="5"/>
  <c r="F52" i="3"/>
  <c r="H34" i="5" s="1"/>
  <c r="H5" i="5"/>
  <c r="F72" i="3"/>
  <c r="C72" i="3"/>
  <c r="D54" i="5" s="1"/>
  <c r="C42" i="3"/>
  <c r="D24" i="5" s="1"/>
  <c r="C32" i="3"/>
  <c r="C29" i="3" s="1"/>
  <c r="D11" i="5" s="1"/>
  <c r="C52" i="3"/>
  <c r="D34" i="5" s="1"/>
  <c r="C62" i="3"/>
  <c r="D44" i="5" s="1"/>
  <c r="F32" i="3"/>
  <c r="F30" i="3" s="1"/>
  <c r="H12" i="5" s="1"/>
  <c r="F62" i="3"/>
  <c r="F42" i="3"/>
  <c r="S60" i="1"/>
  <c r="E60" i="1"/>
  <c r="O60" i="1"/>
  <c r="J60" i="1"/>
  <c r="G18" i="1"/>
  <c r="C18" i="1"/>
  <c r="C7" i="7" l="1"/>
  <c r="I35" i="3"/>
  <c r="C11" i="7" s="1"/>
  <c r="I39" i="3"/>
  <c r="C15" i="7" s="1"/>
  <c r="I36" i="3"/>
  <c r="C12" i="7" s="1"/>
  <c r="I32" i="3"/>
  <c r="C8" i="7" s="1"/>
  <c r="I38" i="3"/>
  <c r="C14" i="7" s="1"/>
  <c r="I33" i="3"/>
  <c r="C9" i="7" s="1"/>
  <c r="I37" i="3"/>
  <c r="C13" i="7" s="1"/>
  <c r="I34" i="3"/>
  <c r="C10" i="7" s="1"/>
  <c r="C24" i="3"/>
  <c r="D6" i="5" s="1"/>
  <c r="F71" i="3"/>
  <c r="H53" i="5" s="1"/>
  <c r="C26" i="3"/>
  <c r="D8" i="5" s="1"/>
  <c r="C25" i="3"/>
  <c r="D7" i="5" s="1"/>
  <c r="C65" i="3"/>
  <c r="D47" i="5" s="1"/>
  <c r="F57" i="3"/>
  <c r="H39" i="5" s="1"/>
  <c r="F53" i="3"/>
  <c r="H35" i="5" s="1"/>
  <c r="F31" i="3"/>
  <c r="H13" i="5" s="1"/>
  <c r="C71" i="3"/>
  <c r="D53" i="5" s="1"/>
  <c r="F55" i="3"/>
  <c r="H37" i="5" s="1"/>
  <c r="C67" i="3"/>
  <c r="D49" i="5" s="1"/>
  <c r="F44" i="3"/>
  <c r="H26" i="5" s="1"/>
  <c r="H24" i="5"/>
  <c r="F64" i="3"/>
  <c r="H46" i="5" s="1"/>
  <c r="H54" i="5"/>
  <c r="C33" i="3"/>
  <c r="D15" i="5" s="1"/>
  <c r="C69" i="3"/>
  <c r="D51" i="5" s="1"/>
  <c r="F66" i="3"/>
  <c r="H48" i="5" s="1"/>
  <c r="H44" i="5"/>
  <c r="C30" i="3"/>
  <c r="D12" i="5" s="1"/>
  <c r="D14" i="5"/>
  <c r="F27" i="3"/>
  <c r="H9" i="5" s="1"/>
  <c r="H14" i="5"/>
  <c r="F51" i="3"/>
  <c r="H33" i="5" s="1"/>
  <c r="C31" i="3"/>
  <c r="D13" i="5" s="1"/>
  <c r="F56" i="3"/>
  <c r="H38" i="5" s="1"/>
  <c r="F58" i="3"/>
  <c r="H40" i="5" s="1"/>
  <c r="F68" i="3"/>
  <c r="H50" i="5" s="1"/>
  <c r="C45" i="3"/>
  <c r="D27" i="5" s="1"/>
  <c r="C27" i="3"/>
  <c r="D9" i="5" s="1"/>
  <c r="F60" i="3"/>
  <c r="H42" i="5" s="1"/>
  <c r="F59" i="3"/>
  <c r="H41" i="5" s="1"/>
  <c r="F70" i="3"/>
  <c r="H52" i="5" s="1"/>
  <c r="C56" i="3"/>
  <c r="D38" i="5" s="1"/>
  <c r="F63" i="3"/>
  <c r="H45" i="5" s="1"/>
  <c r="C39" i="3"/>
  <c r="D21" i="5" s="1"/>
  <c r="C34" i="3"/>
  <c r="D16" i="5" s="1"/>
  <c r="C50" i="3"/>
  <c r="D32" i="5" s="1"/>
  <c r="F29" i="3"/>
  <c r="H11" i="5" s="1"/>
  <c r="C66" i="3"/>
  <c r="D48" i="5" s="1"/>
  <c r="C41" i="3"/>
  <c r="D23" i="5" s="1"/>
  <c r="C40" i="3"/>
  <c r="D22" i="5" s="1"/>
  <c r="F35" i="3"/>
  <c r="H17" i="5" s="1"/>
  <c r="F28" i="3"/>
  <c r="H10" i="5" s="1"/>
  <c r="F25" i="3"/>
  <c r="H7" i="5" s="1"/>
  <c r="F34" i="3"/>
  <c r="H16" i="5" s="1"/>
  <c r="C37" i="3"/>
  <c r="D19" i="5" s="1"/>
  <c r="C36" i="3"/>
  <c r="D18" i="5" s="1"/>
  <c r="F40" i="3"/>
  <c r="H22" i="5" s="1"/>
  <c r="F26" i="3"/>
  <c r="H8" i="5" s="1"/>
  <c r="F24" i="3"/>
  <c r="H6" i="5" s="1"/>
  <c r="C68" i="3"/>
  <c r="D50" i="5" s="1"/>
  <c r="C64" i="3"/>
  <c r="D46" i="5" s="1"/>
  <c r="C57" i="3"/>
  <c r="D39" i="5" s="1"/>
  <c r="F65" i="3"/>
  <c r="H47" i="5" s="1"/>
  <c r="C70" i="3"/>
  <c r="D52" i="5" s="1"/>
  <c r="C59" i="3"/>
  <c r="D41" i="5" s="1"/>
  <c r="C61" i="3"/>
  <c r="D43" i="5" s="1"/>
  <c r="F47" i="3"/>
  <c r="H29" i="5" s="1"/>
  <c r="F49" i="3"/>
  <c r="H31" i="5" s="1"/>
  <c r="F41" i="3"/>
  <c r="H23" i="5" s="1"/>
  <c r="F36" i="3"/>
  <c r="H18" i="5" s="1"/>
  <c r="C48" i="3"/>
  <c r="D30" i="5" s="1"/>
  <c r="C46" i="3"/>
  <c r="D28" i="5" s="1"/>
  <c r="C53" i="3"/>
  <c r="D35" i="5" s="1"/>
  <c r="C60" i="3"/>
  <c r="D42" i="5" s="1"/>
  <c r="C35" i="3"/>
  <c r="D17" i="5" s="1"/>
  <c r="C38" i="3"/>
  <c r="D20" i="5" s="1"/>
  <c r="F50" i="3"/>
  <c r="H32" i="5" s="1"/>
  <c r="F43" i="3"/>
  <c r="H25" i="5" s="1"/>
  <c r="F45" i="3"/>
  <c r="H27" i="5" s="1"/>
  <c r="F37" i="3"/>
  <c r="H19" i="5" s="1"/>
  <c r="F38" i="3"/>
  <c r="H20" i="5" s="1"/>
  <c r="C28" i="3"/>
  <c r="D10" i="5" s="1"/>
  <c r="F61" i="3"/>
  <c r="H43" i="5" s="1"/>
  <c r="F54" i="3"/>
  <c r="H36" i="5" s="1"/>
  <c r="C44" i="3"/>
  <c r="D26" i="5" s="1"/>
  <c r="C51" i="3"/>
  <c r="D33" i="5" s="1"/>
  <c r="C63" i="3"/>
  <c r="D45" i="5" s="1"/>
  <c r="C55" i="3"/>
  <c r="D37" i="5" s="1"/>
  <c r="C58" i="3"/>
  <c r="D40" i="5" s="1"/>
  <c r="F67" i="3"/>
  <c r="H49" i="5" s="1"/>
  <c r="F69" i="3"/>
  <c r="H51" i="5" s="1"/>
  <c r="F46" i="3"/>
  <c r="H28" i="5" s="1"/>
  <c r="F48" i="3"/>
  <c r="H30" i="5" s="1"/>
  <c r="F39" i="3"/>
  <c r="H21" i="5" s="1"/>
  <c r="F33" i="3"/>
  <c r="H15" i="5" s="1"/>
  <c r="C47" i="3"/>
  <c r="D29" i="5" s="1"/>
  <c r="C49" i="3"/>
  <c r="D31" i="5" s="1"/>
  <c r="C54" i="3"/>
  <c r="D36" i="5" s="1"/>
  <c r="C77" i="1"/>
  <c r="D77" i="1"/>
  <c r="S17" i="1"/>
  <c r="C82" i="1" l="1"/>
  <c r="H21" i="3" s="1"/>
  <c r="C78" i="1"/>
  <c r="C83" i="1"/>
  <c r="H22" i="3" s="1"/>
  <c r="D78" i="1"/>
  <c r="I22" i="3" l="1"/>
  <c r="E23" i="3" s="1"/>
  <c r="K31" i="3" s="1"/>
  <c r="I21" i="3"/>
  <c r="D23" i="3" s="1"/>
  <c r="J31" i="3" s="1"/>
  <c r="E78" i="1"/>
  <c r="J34" i="3" l="1"/>
  <c r="D10" i="7" s="1"/>
  <c r="D7" i="7"/>
  <c r="J33" i="3"/>
  <c r="D9" i="7" s="1"/>
  <c r="J36" i="3"/>
  <c r="D12" i="7" s="1"/>
  <c r="J35" i="3"/>
  <c r="D11" i="7" s="1"/>
  <c r="J39" i="3"/>
  <c r="D15" i="7" s="1"/>
  <c r="J32" i="3"/>
  <c r="D8" i="7" s="1"/>
  <c r="J37" i="3"/>
  <c r="D13" i="7" s="1"/>
  <c r="J38" i="3"/>
  <c r="D14" i="7" s="1"/>
  <c r="K39" i="3"/>
  <c r="E15" i="7" s="1"/>
  <c r="E7" i="7"/>
  <c r="K33" i="3"/>
  <c r="E9" i="7" s="1"/>
  <c r="K36" i="3"/>
  <c r="E12" i="7" s="1"/>
  <c r="K38" i="3"/>
  <c r="E14" i="7" s="1"/>
  <c r="K34" i="3"/>
  <c r="E10" i="7" s="1"/>
  <c r="K35" i="3"/>
  <c r="E11" i="7" s="1"/>
  <c r="K32" i="3"/>
  <c r="E8" i="7" s="1"/>
  <c r="K37" i="3"/>
  <c r="E13" i="7" s="1"/>
  <c r="D52" i="3"/>
  <c r="E34" i="5" s="1"/>
  <c r="E5" i="5"/>
  <c r="E52" i="3"/>
  <c r="F34" i="5" s="1"/>
  <c r="F5" i="5"/>
  <c r="E72" i="3"/>
  <c r="F54" i="5" s="1"/>
  <c r="E42" i="3"/>
  <c r="E62" i="3"/>
  <c r="F44" i="5" s="1"/>
  <c r="E32" i="3"/>
  <c r="F14" i="5" s="1"/>
  <c r="D42" i="3"/>
  <c r="D72" i="3"/>
  <c r="E54" i="5" s="1"/>
  <c r="D62" i="3"/>
  <c r="E44" i="5" s="1"/>
  <c r="D32" i="3"/>
  <c r="E14" i="5" s="1"/>
  <c r="E48" i="3" l="1"/>
  <c r="F30" i="5" s="1"/>
  <c r="F24" i="5"/>
  <c r="D46" i="3"/>
  <c r="E28" i="5" s="1"/>
  <c r="E24" i="5"/>
  <c r="E51" i="3"/>
  <c r="F33" i="5" s="1"/>
  <c r="E44" i="3"/>
  <c r="F26" i="5" s="1"/>
  <c r="E47" i="3"/>
  <c r="F29" i="5" s="1"/>
  <c r="E45" i="3"/>
  <c r="F27" i="5" s="1"/>
  <c r="E43" i="3"/>
  <c r="F25" i="5" s="1"/>
  <c r="E49" i="3"/>
  <c r="F31" i="5" s="1"/>
  <c r="E64" i="3"/>
  <c r="F46" i="5" s="1"/>
  <c r="E68" i="3"/>
  <c r="F50" i="5" s="1"/>
  <c r="E65" i="3"/>
  <c r="F47" i="5" s="1"/>
  <c r="E69" i="3"/>
  <c r="F51" i="5" s="1"/>
  <c r="E63" i="3"/>
  <c r="F45" i="5" s="1"/>
  <c r="E67" i="3"/>
  <c r="F49" i="5" s="1"/>
  <c r="E71" i="3"/>
  <c r="F53" i="5" s="1"/>
  <c r="E66" i="3"/>
  <c r="F48" i="5" s="1"/>
  <c r="E70" i="3"/>
  <c r="F52" i="5" s="1"/>
  <c r="D49" i="3"/>
  <c r="E31" i="5" s="1"/>
  <c r="D51" i="3"/>
  <c r="E33" i="5" s="1"/>
  <c r="D27" i="3"/>
  <c r="E9" i="5" s="1"/>
  <c r="D31" i="3"/>
  <c r="E13" i="5" s="1"/>
  <c r="D29" i="3"/>
  <c r="E11" i="5" s="1"/>
  <c r="D26" i="3"/>
  <c r="E8" i="5" s="1"/>
  <c r="D30" i="3"/>
  <c r="E12" i="5" s="1"/>
  <c r="D25" i="3"/>
  <c r="E7" i="5" s="1"/>
  <c r="D24" i="3"/>
  <c r="E6" i="5" s="1"/>
  <c r="D28" i="3"/>
  <c r="E10" i="5" s="1"/>
  <c r="E24" i="3"/>
  <c r="F6" i="5" s="1"/>
  <c r="E28" i="3"/>
  <c r="F10" i="5" s="1"/>
  <c r="E26" i="3"/>
  <c r="F8" i="5" s="1"/>
  <c r="E27" i="3"/>
  <c r="F9" i="5" s="1"/>
  <c r="E31" i="3"/>
  <c r="F13" i="5" s="1"/>
  <c r="E30" i="3"/>
  <c r="F12" i="5" s="1"/>
  <c r="E29" i="3"/>
  <c r="F11" i="5" s="1"/>
  <c r="E25" i="3"/>
  <c r="F7" i="5" s="1"/>
  <c r="D45" i="3"/>
  <c r="E27" i="5" s="1"/>
  <c r="D47" i="3"/>
  <c r="E29" i="5" s="1"/>
  <c r="D53" i="3"/>
  <c r="E35" i="5" s="1"/>
  <c r="D57" i="3"/>
  <c r="E39" i="5" s="1"/>
  <c r="D61" i="3"/>
  <c r="E43" i="5" s="1"/>
  <c r="D56" i="3"/>
  <c r="E38" i="5" s="1"/>
  <c r="D60" i="3"/>
  <c r="E42" i="5" s="1"/>
  <c r="D55" i="3"/>
  <c r="E37" i="5" s="1"/>
  <c r="D59" i="3"/>
  <c r="E41" i="5" s="1"/>
  <c r="D58" i="3"/>
  <c r="E40" i="5" s="1"/>
  <c r="D54" i="3"/>
  <c r="E36" i="5" s="1"/>
  <c r="E54" i="3"/>
  <c r="F36" i="5" s="1"/>
  <c r="E58" i="3"/>
  <c r="F40" i="5" s="1"/>
  <c r="E53" i="3"/>
  <c r="F35" i="5" s="1"/>
  <c r="E57" i="3"/>
  <c r="F39" i="5" s="1"/>
  <c r="E61" i="3"/>
  <c r="F43" i="5" s="1"/>
  <c r="E56" i="3"/>
  <c r="F38" i="5" s="1"/>
  <c r="E60" i="3"/>
  <c r="F42" i="5" s="1"/>
  <c r="E59" i="3"/>
  <c r="F41" i="5" s="1"/>
  <c r="E55" i="3"/>
  <c r="F37" i="5" s="1"/>
  <c r="D44" i="3"/>
  <c r="E26" i="5" s="1"/>
  <c r="D50" i="3"/>
  <c r="E32" i="5" s="1"/>
  <c r="D43" i="3"/>
  <c r="E25" i="5" s="1"/>
  <c r="D63" i="3"/>
  <c r="E45" i="5" s="1"/>
  <c r="D67" i="3"/>
  <c r="E49" i="5" s="1"/>
  <c r="D71" i="3"/>
  <c r="E53" i="5" s="1"/>
  <c r="D66" i="3"/>
  <c r="E48" i="5" s="1"/>
  <c r="D70" i="3"/>
  <c r="E52" i="5" s="1"/>
  <c r="D65" i="3"/>
  <c r="E47" i="5" s="1"/>
  <c r="D69" i="3"/>
  <c r="E51" i="5" s="1"/>
  <c r="D64" i="3"/>
  <c r="E46" i="5" s="1"/>
  <c r="D68" i="3"/>
  <c r="E50" i="5" s="1"/>
  <c r="E33" i="3"/>
  <c r="F15" i="5" s="1"/>
  <c r="E37" i="3"/>
  <c r="F19" i="5" s="1"/>
  <c r="E41" i="3"/>
  <c r="F23" i="5" s="1"/>
  <c r="E39" i="3"/>
  <c r="F21" i="5" s="1"/>
  <c r="E36" i="3"/>
  <c r="F18" i="5" s="1"/>
  <c r="E40" i="3"/>
  <c r="F22" i="5" s="1"/>
  <c r="E35" i="3"/>
  <c r="F17" i="5" s="1"/>
  <c r="E38" i="3"/>
  <c r="F20" i="5" s="1"/>
  <c r="E34" i="3"/>
  <c r="F16" i="5" s="1"/>
  <c r="E46" i="3"/>
  <c r="F28" i="5" s="1"/>
  <c r="E50" i="3"/>
  <c r="F32" i="5" s="1"/>
  <c r="D48" i="3"/>
  <c r="E30" i="5" s="1"/>
  <c r="D36" i="3"/>
  <c r="E18" i="5" s="1"/>
  <c r="D40" i="3"/>
  <c r="E22" i="5" s="1"/>
  <c r="D35" i="3"/>
  <c r="E17" i="5" s="1"/>
  <c r="D39" i="3"/>
  <c r="E21" i="5" s="1"/>
  <c r="D34" i="3"/>
  <c r="E16" i="5" s="1"/>
  <c r="D38" i="3"/>
  <c r="E20" i="5" s="1"/>
  <c r="D41" i="3"/>
  <c r="E23" i="5" s="1"/>
  <c r="D37" i="3"/>
  <c r="E19" i="5" s="1"/>
  <c r="D33" i="3"/>
  <c r="E15" i="5" s="1"/>
  <c r="C43" i="3" l="1"/>
  <c r="D25" i="5" s="1"/>
</calcChain>
</file>

<file path=xl/sharedStrings.xml><?xml version="1.0" encoding="utf-8"?>
<sst xmlns="http://schemas.openxmlformats.org/spreadsheetml/2006/main" count="259" uniqueCount="145">
  <si>
    <t>总属性拆分</t>
    <phoneticPr fontId="1" type="noConversion"/>
  </si>
  <si>
    <t>目标模型</t>
    <phoneticPr fontId="1" type="noConversion"/>
  </si>
  <si>
    <t>简单战斗模拟</t>
    <phoneticPr fontId="1" type="noConversion"/>
  </si>
  <si>
    <t>T</t>
    <phoneticPr fontId="1" type="noConversion"/>
  </si>
  <si>
    <t>防T</t>
    <phoneticPr fontId="1" type="noConversion"/>
  </si>
  <si>
    <t>基本系数</t>
    <phoneticPr fontId="1" type="noConversion"/>
  </si>
  <si>
    <t>攻击战力系数</t>
    <phoneticPr fontId="1" type="noConversion"/>
  </si>
  <si>
    <t>防御系数</t>
    <phoneticPr fontId="1" type="noConversion"/>
  </si>
  <si>
    <t>血量系数</t>
    <phoneticPr fontId="1" type="noConversion"/>
  </si>
  <si>
    <t>回归1级属性</t>
    <phoneticPr fontId="1" type="noConversion"/>
  </si>
  <si>
    <t>技能系数</t>
    <phoneticPr fontId="1" type="noConversion"/>
  </si>
  <si>
    <t>比例</t>
    <phoneticPr fontId="1" type="noConversion"/>
  </si>
  <si>
    <t>技能等级参考</t>
    <phoneticPr fontId="1" type="noConversion"/>
  </si>
  <si>
    <t>力量系数</t>
    <phoneticPr fontId="1" type="noConversion"/>
  </si>
  <si>
    <t>攻击系数</t>
    <phoneticPr fontId="1" type="noConversion"/>
  </si>
  <si>
    <t>数量级</t>
    <phoneticPr fontId="1" type="noConversion"/>
  </si>
  <si>
    <t>等级提升数量级</t>
    <phoneticPr fontId="1" type="noConversion"/>
  </si>
  <si>
    <t>基础比值</t>
    <phoneticPr fontId="1" type="noConversion"/>
  </si>
  <si>
    <t>成长比值</t>
    <phoneticPr fontId="1" type="noConversion"/>
  </si>
  <si>
    <t>估算双属性占比</t>
    <phoneticPr fontId="1" type="noConversion"/>
  </si>
  <si>
    <t>物理法术能力拆分</t>
    <phoneticPr fontId="1" type="noConversion"/>
  </si>
  <si>
    <t>物理D</t>
    <phoneticPr fontId="1" type="noConversion"/>
  </si>
  <si>
    <t>法系D</t>
    <phoneticPr fontId="1" type="noConversion"/>
  </si>
  <si>
    <t>攻速D</t>
    <phoneticPr fontId="1" type="noConversion"/>
  </si>
  <si>
    <t>攻速</t>
    <phoneticPr fontId="1" type="noConversion"/>
  </si>
  <si>
    <t>DPS</t>
    <phoneticPr fontId="1" type="noConversion"/>
  </si>
  <si>
    <t>防御系数</t>
    <phoneticPr fontId="1" type="noConversion"/>
  </si>
  <si>
    <t>攻击D</t>
    <phoneticPr fontId="1" type="noConversion"/>
  </si>
  <si>
    <t>均衡S</t>
    <phoneticPr fontId="1" type="noConversion"/>
  </si>
  <si>
    <t>主属性比例</t>
    <phoneticPr fontId="1" type="noConversion"/>
  </si>
  <si>
    <t>攻击D</t>
    <phoneticPr fontId="1" type="noConversion"/>
  </si>
  <si>
    <t>攻速D</t>
    <phoneticPr fontId="1" type="noConversion"/>
  </si>
  <si>
    <t>力量属性</t>
    <phoneticPr fontId="1" type="noConversion"/>
  </si>
  <si>
    <t>法术属性</t>
    <phoneticPr fontId="1" type="noConversion"/>
  </si>
  <si>
    <t>极限</t>
    <phoneticPr fontId="1" type="noConversion"/>
  </si>
  <si>
    <t>力量属性</t>
    <phoneticPr fontId="1" type="noConversion"/>
  </si>
  <si>
    <t>智力属性</t>
    <phoneticPr fontId="1" type="noConversion"/>
  </si>
  <si>
    <t>智力属性</t>
    <phoneticPr fontId="1" type="noConversion"/>
  </si>
  <si>
    <t>力量属性</t>
    <phoneticPr fontId="1" type="noConversion"/>
  </si>
  <si>
    <t>T</t>
    <phoneticPr fontId="1" type="noConversion"/>
  </si>
  <si>
    <t>输出能力系数</t>
    <phoneticPr fontId="1" type="noConversion"/>
  </si>
  <si>
    <t>血量T模型</t>
    <phoneticPr fontId="1" type="noConversion"/>
  </si>
  <si>
    <t>T</t>
    <phoneticPr fontId="1" type="noConversion"/>
  </si>
  <si>
    <t>防T模型</t>
    <phoneticPr fontId="1" type="noConversion"/>
  </si>
  <si>
    <t>体力</t>
    <phoneticPr fontId="1" type="noConversion"/>
  </si>
  <si>
    <t>血量</t>
    <phoneticPr fontId="1" type="noConversion"/>
  </si>
  <si>
    <t>力量</t>
    <phoneticPr fontId="1" type="noConversion"/>
  </si>
  <si>
    <t>智力</t>
    <phoneticPr fontId="1" type="noConversion"/>
  </si>
  <si>
    <t>体力系数</t>
    <phoneticPr fontId="1" type="noConversion"/>
  </si>
  <si>
    <t>力量系数</t>
    <phoneticPr fontId="1" type="noConversion"/>
  </si>
  <si>
    <t>智力系数</t>
    <phoneticPr fontId="1" type="noConversion"/>
  </si>
  <si>
    <t>S辅助</t>
    <phoneticPr fontId="1" type="noConversion"/>
  </si>
  <si>
    <t>物理系数</t>
    <phoneticPr fontId="1" type="noConversion"/>
  </si>
  <si>
    <t>法术系数</t>
    <phoneticPr fontId="1" type="noConversion"/>
  </si>
  <si>
    <t>力量属性</t>
    <phoneticPr fontId="1" type="noConversion"/>
  </si>
  <si>
    <t>智力属性</t>
    <phoneticPr fontId="1" type="noConversion"/>
  </si>
  <si>
    <t>自身</t>
    <phoneticPr fontId="1" type="noConversion"/>
  </si>
  <si>
    <t>装备基础</t>
    <phoneticPr fontId="1" type="noConversion"/>
  </si>
  <si>
    <t>装备强化</t>
    <phoneticPr fontId="1" type="noConversion"/>
  </si>
  <si>
    <t>装备附加</t>
    <phoneticPr fontId="1" type="noConversion"/>
  </si>
  <si>
    <t>镶嵌</t>
    <phoneticPr fontId="1" type="noConversion"/>
  </si>
  <si>
    <t>宠物培养预留</t>
    <phoneticPr fontId="1" type="noConversion"/>
  </si>
  <si>
    <t>#NUM</t>
  </si>
  <si>
    <t>NUM</t>
  </si>
  <si>
    <t>level</t>
  </si>
  <si>
    <t>experience</t>
  </si>
  <si>
    <t>health</t>
  </si>
  <si>
    <t>strength</t>
  </si>
  <si>
    <t>intelligence</t>
  </si>
  <si>
    <t>speed</t>
  </si>
  <si>
    <t>defense</t>
  </si>
  <si>
    <t>endurance</t>
  </si>
  <si>
    <t>recovery</t>
  </si>
  <si>
    <t>#等级</t>
  </si>
  <si>
    <t>升级所需经验</t>
  </si>
  <si>
    <t>体力</t>
  </si>
  <si>
    <t>力量</t>
  </si>
  <si>
    <t>智力</t>
  </si>
  <si>
    <t>速度</t>
  </si>
  <si>
    <t>防御力</t>
  </si>
  <si>
    <t>耐力</t>
  </si>
  <si>
    <t>战后回血</t>
  </si>
  <si>
    <t>防御</t>
    <phoneticPr fontId="1" type="noConversion"/>
  </si>
  <si>
    <t>血量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</si>
  <si>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</si>
  <si>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</si>
  <si>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</si>
  <si>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</si>
  <si>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等级系数</t>
    <phoneticPr fontId="1" type="noConversion"/>
  </si>
  <si>
    <t>进阶层</t>
    <phoneticPr fontId="1" type="noConversion"/>
  </si>
  <si>
    <t>等级</t>
    <phoneticPr fontId="1" type="noConversion"/>
  </si>
  <si>
    <t>标准模型</t>
    <phoneticPr fontId="1" type="noConversion"/>
  </si>
  <si>
    <t>镶嵌数量</t>
    <phoneticPr fontId="1" type="noConversion"/>
  </si>
  <si>
    <t>总量</t>
    <phoneticPr fontId="1" type="noConversion"/>
  </si>
  <si>
    <t>宠物自身</t>
    <phoneticPr fontId="1" type="noConversion"/>
  </si>
  <si>
    <t>培养总数</t>
    <phoneticPr fontId="1" type="noConversion"/>
  </si>
  <si>
    <t>防御</t>
    <phoneticPr fontId="1" type="noConversion"/>
  </si>
  <si>
    <t>属性拆分</t>
    <phoneticPr fontId="1" type="noConversion"/>
  </si>
  <si>
    <t>进阶提升</t>
    <phoneticPr fontId="1" type="noConversion"/>
  </si>
  <si>
    <t>升星</t>
    <phoneticPr fontId="1" type="noConversion"/>
  </si>
  <si>
    <t>版本</t>
    <phoneticPr fontId="1" type="noConversion"/>
  </si>
  <si>
    <t>V0.0</t>
    <phoneticPr fontId="1" type="noConversion"/>
  </si>
  <si>
    <t>功能</t>
    <phoneticPr fontId="1" type="noConversion"/>
  </si>
  <si>
    <t>创建文档</t>
    <phoneticPr fontId="1" type="noConversion"/>
  </si>
  <si>
    <t>负责人</t>
    <phoneticPr fontId="1" type="noConversion"/>
  </si>
  <si>
    <t>李佳沛</t>
    <phoneticPr fontId="1" type="noConversion"/>
  </si>
  <si>
    <t>进阶等级</t>
    <phoneticPr fontId="1" type="noConversion"/>
  </si>
  <si>
    <t>自身极限</t>
    <phoneticPr fontId="1" type="noConversion"/>
  </si>
  <si>
    <t>自身初始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</si>
  <si>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</si>
  <si>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</si>
  <si>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</si>
  <si>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</si>
  <si>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S技能 需要衰减部分输出为治疗或持盾</t>
    <phoneticPr fontId="1" type="noConversion"/>
  </si>
  <si>
    <t>绿</t>
    <phoneticPr fontId="1" type="noConversion"/>
  </si>
  <si>
    <t>绿+1</t>
    <phoneticPr fontId="1" type="noConversion"/>
  </si>
  <si>
    <t>TEXT</t>
  </si>
  <si>
    <t>stage</t>
  </si>
  <si>
    <t>modifyRate</t>
  </si>
  <si>
    <t>demandLevel</t>
  </si>
  <si>
    <t>demandCoin</t>
  </si>
  <si>
    <t>demandItem</t>
  </si>
  <si>
    <t>demandMonster</t>
  </si>
  <si>
    <t>#品质</t>
  </si>
  <si>
    <t>品质系数K</t>
  </si>
  <si>
    <t>需求该宠物等级</t>
  </si>
  <si>
    <t>需求金币</t>
  </si>
  <si>
    <t>需求材料</t>
  </si>
  <si>
    <t>需求怪物</t>
  </si>
  <si>
    <t>3_10002_4,3_20001_3</t>
  </si>
  <si>
    <t>7_UnitDemoErshu_1_1,7_UnitDemoQingniao_1_1</t>
  </si>
  <si>
    <t>蓝</t>
    <phoneticPr fontId="1" type="noConversion"/>
  </si>
  <si>
    <t>蓝+1</t>
    <phoneticPr fontId="1" type="noConversion"/>
  </si>
  <si>
    <t>蓝+2</t>
    <phoneticPr fontId="1" type="noConversion"/>
  </si>
  <si>
    <t>紫</t>
    <phoneticPr fontId="1" type="noConversion"/>
  </si>
  <si>
    <t>紫+1</t>
    <phoneticPr fontId="1" type="noConversion"/>
  </si>
  <si>
    <t>紫+2</t>
    <phoneticPr fontId="1" type="noConversion"/>
  </si>
  <si>
    <t>紫+3</t>
    <phoneticPr fontId="1" type="noConversion"/>
  </si>
  <si>
    <t>橙</t>
    <phoneticPr fontId="1" type="noConversion"/>
  </si>
  <si>
    <t>橙+1</t>
    <phoneticPr fontId="1" type="noConversion"/>
  </si>
  <si>
    <t>橙+2</t>
    <phoneticPr fontId="1" type="noConversion"/>
  </si>
  <si>
    <t>橙+3</t>
    <phoneticPr fontId="1" type="noConversion"/>
  </si>
  <si>
    <t>橙+4</t>
    <phoneticPr fontId="1" type="noConversion"/>
  </si>
  <si>
    <t>红</t>
    <phoneticPr fontId="1" type="noConversion"/>
  </si>
  <si>
    <t>升星规划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</si>
</sst>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_ "/>
    <numFmt numFmtId="177" formatCode="0.000%"/>
  </numFmts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10" fontId="0" fillId="0" borderId="0" xfId="0" applyNumberFormat="1">
      <alignment vertical="center"/>
    </xf>
    <xf numFmtId="0" fontId="4" fillId="0" borderId="0" xfId="0" applyFont="1">
      <alignment vertical="center"/>
    </xf>
    <xf numFmtId="10" fontId="0" fillId="2" borderId="0" xfId="0" applyNumberFormat="1" applyFill="1">
      <alignment vertical="center"/>
    </xf>
    <xf numFmtId="10" fontId="2" fillId="0" borderId="0" xfId="0" applyNumberFormat="1" applyFont="1">
      <alignment vertical="center"/>
    </xf>
    <xf numFmtId="10" fontId="3" fillId="2" borderId="0" xfId="0" applyNumberFormat="1" applyFont="1" applyFill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0" fillId="3" borderId="0" xfId="0" applyFill="1">
      <alignment vertical="center"/>
    </xf>
    <xf numFmtId="10" fontId="0" fillId="0" borderId="0" xfId="0" applyNumberFormat="1" applyFill="1">
      <alignment vertical="center"/>
    </xf>
    <xf numFmtId="10" fontId="3" fillId="0" borderId="0" xfId="0" applyNumberFormat="1" applyFont="1" applyFill="1">
      <alignment vertical="center"/>
    </xf>
    <xf numFmtId="176" fontId="0" fillId="0" borderId="0" xfId="0" applyNumberFormat="1" applyFill="1">
      <alignment vertical="center"/>
    </xf>
    <xf numFmtId="176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NumberFormat="1" applyFill="1">
      <alignment vertical="center"/>
    </xf>
    <xf numFmtId="0" fontId="2" fillId="0" borderId="0" xfId="0" applyNumberFormat="1" applyFont="1" applyFill="1">
      <alignment vertical="center"/>
    </xf>
    <xf numFmtId="0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4" fillId="2" borderId="0" xfId="0" applyNumberFormat="1" applyFont="1" applyFill="1">
      <alignment vertical="center"/>
    </xf>
    <xf numFmtId="0" fontId="5" fillId="0" borderId="0" xfId="1">
      <alignment vertical="center"/>
    </xf>
    <xf numFmtId="10" fontId="4" fillId="2" borderId="0" xfId="0" applyNumberFormat="1" applyFont="1" applyFill="1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9" xfId="0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6" xfId="0" applyFill="1" applyBorder="1">
      <alignment vertical="center"/>
    </xf>
    <xf numFmtId="10" fontId="0" fillId="2" borderId="0" xfId="0" applyNumberFormat="1" applyFill="1" applyBorder="1">
      <alignment vertical="center"/>
    </xf>
    <xf numFmtId="10" fontId="3" fillId="2" borderId="0" xfId="0" applyNumberFormat="1" applyFont="1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>
      <alignment vertical="center"/>
    </xf>
    <xf numFmtId="176" fontId="0" fillId="5" borderId="0" xfId="0" applyNumberFormat="1" applyFill="1" applyBorder="1">
      <alignment vertical="center"/>
    </xf>
    <xf numFmtId="0" fontId="0" fillId="6" borderId="0" xfId="0" applyFill="1">
      <alignment vertical="center"/>
    </xf>
    <xf numFmtId="10" fontId="2" fillId="6" borderId="0" xfId="0" applyNumberFormat="1" applyFont="1" applyFill="1">
      <alignment vertical="center"/>
    </xf>
    <xf numFmtId="10" fontId="0" fillId="6" borderId="0" xfId="0" applyNumberFormat="1" applyFill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Scroll" dx="16" fmlaLink="$D$5" horiz="1" max="10000" page="10" val="62"/>
</file>

<file path=xl/ctrlProps/ctrlProp2.xml><?xml version="1.0" encoding="utf-8"?>
<formControlPr xmlns="http://schemas.microsoft.com/office/spreadsheetml/2009/9/main" objectType="Scroll" dx="16" fmlaLink="$D$7" horiz="1" max="10000" page="10" val="75"/>
</file>

<file path=xl/ctrlProps/ctrlProp3.xml><?xml version="1.0" encoding="utf-8"?>
<formControlPr xmlns="http://schemas.microsoft.com/office/spreadsheetml/2009/9/main" objectType="Scroll" dx="16" fmlaLink="$D$9" horiz="1" max="10000" page="10" val="829"/>
</file>

<file path=xl/ctrlProps/ctrlProp4.xml><?xml version="1.0" encoding="utf-8"?>
<formControlPr xmlns="http://schemas.microsoft.com/office/spreadsheetml/2009/9/main" objectType="Scroll" dx="16" fmlaLink="$H$5" horiz="1" max="10000" page="10" val="50"/>
</file>

<file path=xl/ctrlProps/ctrlProp5.xml><?xml version="1.0" encoding="utf-8"?>
<formControlPr xmlns="http://schemas.microsoft.com/office/spreadsheetml/2009/9/main" objectType="Scroll" dx="16" fmlaLink="$H$7" horiz="1" max="10000" page="10" val="236"/>
</file>

<file path=xl/ctrlProps/ctrlProp6.xml><?xml version="1.0" encoding="utf-8"?>
<formControlPr xmlns="http://schemas.microsoft.com/office/spreadsheetml/2009/9/main" objectType="Scroll" dx="16" fmlaLink="$H$9" horiz="1" max="10000" page="10" val="580"/>
</file>

<file path=xl/ctrlProps/ctrlProp7.xml><?xml version="1.0" encoding="utf-8"?>
<formControlPr xmlns="http://schemas.microsoft.com/office/spreadsheetml/2009/9/main" objectType="Scroll" dx="16" fmlaLink="$L$5" horiz="1" max="10000" page="10" val="488"/>
</file>

<file path=xl/ctrlProps/ctrlProp8.xml><?xml version="1.0" encoding="utf-8"?>
<formControlPr xmlns="http://schemas.microsoft.com/office/spreadsheetml/2009/9/main" objectType="Scroll" dx="16" fmlaLink="$L$7" horiz="1" max="10000" page="10" val="40"/>
</file>

<file path=xl/ctrlProps/ctrlProp9.xml><?xml version="1.0" encoding="utf-8"?>
<formControlPr xmlns="http://schemas.microsoft.com/office/spreadsheetml/2009/9/main" objectType="Scroll" dx="16" fmlaLink="$L$9" horiz="1" max="10000" page="10" val="248"/>
</file>

<file path=xl/ctrlProps/ctrlProp10.xml><?xml version="1.0" encoding="utf-8"?>
<formControlPr xmlns="http://schemas.microsoft.com/office/spreadsheetml/2009/9/main" objectType="Scroll" dx="16" fmlaLink="$P$5" horiz="1" max="10000" page="10" val="63"/>
</file>

<file path=xl/ctrlProps/ctrlProp11.xml><?xml version="1.0" encoding="utf-8"?>
<formControlPr xmlns="http://schemas.microsoft.com/office/spreadsheetml/2009/9/main" objectType="Scroll" dx="16" fmlaLink="$P$7" horiz="1" max="10000" page="10" val="52"/>
</file>

<file path=xl/ctrlProps/ctrlProp12.xml><?xml version="1.0" encoding="utf-8"?>
<formControlPr xmlns="http://schemas.microsoft.com/office/spreadsheetml/2009/9/main" objectType="Scroll" dx="16" fmlaLink="$P$9" horiz="1" max="10000" page="10" val="358"/>
</file>

<file path=xl/ctrlProps/ctrlProp13.xml><?xml version="1.0" encoding="utf-8"?>
<formControlPr xmlns="http://schemas.microsoft.com/office/spreadsheetml/2009/9/main" objectType="Scroll" dx="16" fmlaLink="$T$5" horiz="1" max="10000" page="10" val="394"/>
</file>

<file path=xl/ctrlProps/ctrlProp14.xml><?xml version="1.0" encoding="utf-8"?>
<formControlPr xmlns="http://schemas.microsoft.com/office/spreadsheetml/2009/9/main" objectType="Scroll" dx="16" fmlaLink="$T$7" horiz="1" max="10000" page="10" val="304"/>
</file>

<file path=xl/ctrlProps/ctrlProp15.xml><?xml version="1.0" encoding="utf-8"?>
<formControlPr xmlns="http://schemas.microsoft.com/office/spreadsheetml/2009/9/main" objectType="Scroll" dx="16" fmlaLink="$T$9" horiz="1" max="10000" page="10" val="409"/>
</file>

<file path=xl/ctrlProps/ctrlProp16.xml><?xml version="1.0" encoding="utf-8"?>
<formControlPr xmlns="http://schemas.microsoft.com/office/spreadsheetml/2009/9/main" objectType="Scroll" dx="16" fmlaLink="$B$25" horiz="1" max="1000" page="10" val="6"/>
</file>

<file path=xl/ctrlProps/ctrlProp17.xml><?xml version="1.0" encoding="utf-8"?>
<formControlPr xmlns="http://schemas.microsoft.com/office/spreadsheetml/2009/9/main" objectType="Scroll" dx="16" fmlaLink="$D$50" horiz="1" max="100" page="10" val="65"/>
</file>

<file path=xl/ctrlProps/ctrlProp18.xml><?xml version="1.0" encoding="utf-8"?>
<formControlPr xmlns="http://schemas.microsoft.com/office/spreadsheetml/2009/9/main" objectType="Scroll" dx="16" fmlaLink="$D$28" horiz="1" max="100" page="10" val="57"/>
</file>

<file path=xl/ctrlProps/ctrlProp19.xml><?xml version="1.0" encoding="utf-8"?>
<formControlPr xmlns="http://schemas.microsoft.com/office/spreadsheetml/2009/9/main" objectType="Scroll" dx="16" fmlaLink="$C$68" horiz="1" max="100" page="10" val="5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</xdr:row>
          <xdr:rowOff>0</xdr:rowOff>
        </xdr:from>
        <xdr:to>
          <xdr:col>2</xdr:col>
          <xdr:colOff>628650</xdr:colOff>
          <xdr:row>5</xdr:row>
          <xdr:rowOff>133350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</xdr:row>
          <xdr:rowOff>0</xdr:rowOff>
        </xdr:from>
        <xdr:to>
          <xdr:col>2</xdr:col>
          <xdr:colOff>628650</xdr:colOff>
          <xdr:row>7</xdr:row>
          <xdr:rowOff>133350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</xdr:row>
          <xdr:rowOff>0</xdr:rowOff>
        </xdr:from>
        <xdr:to>
          <xdr:col>2</xdr:col>
          <xdr:colOff>628650</xdr:colOff>
          <xdr:row>9</xdr:row>
          <xdr:rowOff>133350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</xdr:row>
          <xdr:rowOff>0</xdr:rowOff>
        </xdr:from>
        <xdr:to>
          <xdr:col>6</xdr:col>
          <xdr:colOff>628650</xdr:colOff>
          <xdr:row>5</xdr:row>
          <xdr:rowOff>133350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0</xdr:rowOff>
        </xdr:from>
        <xdr:to>
          <xdr:col>6</xdr:col>
          <xdr:colOff>628650</xdr:colOff>
          <xdr:row>7</xdr:row>
          <xdr:rowOff>133350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0</xdr:rowOff>
        </xdr:from>
        <xdr:to>
          <xdr:col>6</xdr:col>
          <xdr:colOff>628650</xdr:colOff>
          <xdr:row>9</xdr:row>
          <xdr:rowOff>133350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0</xdr:rowOff>
        </xdr:from>
        <xdr:to>
          <xdr:col>10</xdr:col>
          <xdr:colOff>628650</xdr:colOff>
          <xdr:row>5</xdr:row>
          <xdr:rowOff>133350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6</xdr:row>
          <xdr:rowOff>0</xdr:rowOff>
        </xdr:from>
        <xdr:to>
          <xdr:col>10</xdr:col>
          <xdr:colOff>628650</xdr:colOff>
          <xdr:row>7</xdr:row>
          <xdr:rowOff>133350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8</xdr:row>
          <xdr:rowOff>0</xdr:rowOff>
        </xdr:from>
        <xdr:to>
          <xdr:col>10</xdr:col>
          <xdr:colOff>628650</xdr:colOff>
          <xdr:row>9</xdr:row>
          <xdr:rowOff>133350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4</xdr:row>
          <xdr:rowOff>0</xdr:rowOff>
        </xdr:from>
        <xdr:to>
          <xdr:col>14</xdr:col>
          <xdr:colOff>628650</xdr:colOff>
          <xdr:row>5</xdr:row>
          <xdr:rowOff>133350</xdr:rowOff>
        </xdr:to>
        <xdr:sp macro="" textlink="">
          <xdr:nvSpPr>
            <xdr:cNvPr id="1034" name="Scroll Ba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6</xdr:row>
          <xdr:rowOff>0</xdr:rowOff>
        </xdr:from>
        <xdr:to>
          <xdr:col>14</xdr:col>
          <xdr:colOff>628650</xdr:colOff>
          <xdr:row>7</xdr:row>
          <xdr:rowOff>133350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8</xdr:row>
          <xdr:rowOff>0</xdr:rowOff>
        </xdr:from>
        <xdr:to>
          <xdr:col>14</xdr:col>
          <xdr:colOff>628650</xdr:colOff>
          <xdr:row>9</xdr:row>
          <xdr:rowOff>133350</xdr:rowOff>
        </xdr:to>
        <xdr:sp macro="" textlink="">
          <xdr:nvSpPr>
            <xdr:cNvPr id="1036" name="Scroll Bar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4</xdr:row>
          <xdr:rowOff>0</xdr:rowOff>
        </xdr:from>
        <xdr:to>
          <xdr:col>18</xdr:col>
          <xdr:colOff>628650</xdr:colOff>
          <xdr:row>5</xdr:row>
          <xdr:rowOff>133350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6</xdr:row>
          <xdr:rowOff>0</xdr:rowOff>
        </xdr:from>
        <xdr:to>
          <xdr:col>18</xdr:col>
          <xdr:colOff>628650</xdr:colOff>
          <xdr:row>7</xdr:row>
          <xdr:rowOff>133350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8</xdr:row>
          <xdr:rowOff>0</xdr:rowOff>
        </xdr:from>
        <xdr:to>
          <xdr:col>18</xdr:col>
          <xdr:colOff>628650</xdr:colOff>
          <xdr:row>9</xdr:row>
          <xdr:rowOff>133350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24</xdr:row>
          <xdr:rowOff>0</xdr:rowOff>
        </xdr:from>
        <xdr:to>
          <xdr:col>1</xdr:col>
          <xdr:colOff>723900</xdr:colOff>
          <xdr:row>24</xdr:row>
          <xdr:rowOff>276225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49</xdr:row>
          <xdr:rowOff>28575</xdr:rowOff>
        </xdr:from>
        <xdr:to>
          <xdr:col>3</xdr:col>
          <xdr:colOff>676275</xdr:colOff>
          <xdr:row>49</xdr:row>
          <xdr:rowOff>161925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27</xdr:row>
          <xdr:rowOff>19050</xdr:rowOff>
        </xdr:from>
        <xdr:to>
          <xdr:col>3</xdr:col>
          <xdr:colOff>676275</xdr:colOff>
          <xdr:row>27</xdr:row>
          <xdr:rowOff>152400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66</xdr:row>
          <xdr:rowOff>152400</xdr:rowOff>
        </xdr:from>
        <xdr:to>
          <xdr:col>3</xdr:col>
          <xdr:colOff>66675</xdr:colOff>
          <xdr:row>67</xdr:row>
          <xdr:rowOff>161925</xdr:rowOff>
        </xdr:to>
        <xdr:sp macro="" textlink="">
          <xdr:nvSpPr>
            <xdr:cNvPr id="1044" name="Scroll Bar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19994;&#24179;&#34913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3646;&#24615;&#25286;&#2099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定位属性配比"/>
      <sheetName val="AI"/>
      <sheetName val="技能实现"/>
    </sheetNames>
    <sheetDataSet>
      <sheetData sheetId="0">
        <row r="81">
          <cell r="C81">
            <v>1.1037073521029699</v>
          </cell>
          <cell r="D81">
            <v>0.98373875367592956</v>
          </cell>
          <cell r="E81">
            <v>1.4767427774562607</v>
          </cell>
        </row>
        <row r="82">
          <cell r="C82">
            <v>0.62328767123287665</v>
          </cell>
          <cell r="D82">
            <v>1.0133178922987838</v>
          </cell>
          <cell r="E82">
            <v>0.53030303030303039</v>
          </cell>
        </row>
        <row r="83">
          <cell r="C83">
            <v>6.4969062351261293</v>
          </cell>
          <cell r="D83">
            <v>1.9354838709677422</v>
          </cell>
          <cell r="E83">
            <v>4.361538461538462</v>
          </cell>
        </row>
      </sheetData>
      <sheetData sheetId="1">
        <row r="2">
          <cell r="B2">
            <v>16</v>
          </cell>
          <cell r="D2">
            <v>2</v>
          </cell>
        </row>
        <row r="3">
          <cell r="B3">
            <v>2</v>
          </cell>
          <cell r="D3">
            <v>16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系数"/>
      <sheetName val="总属性成长"/>
      <sheetName val="技能占比"/>
      <sheetName val="AI"/>
      <sheetName val="自用"/>
    </sheetNames>
    <sheetDataSet>
      <sheetData sheetId="0">
        <row r="47">
          <cell r="E47">
            <v>0.5</v>
          </cell>
          <cell r="F47">
            <v>0.75</v>
          </cell>
          <cell r="G47">
            <v>0.78750000000000009</v>
          </cell>
          <cell r="H47">
            <v>1.1812500000000001</v>
          </cell>
          <cell r="I47">
            <v>1.2403125000000002</v>
          </cell>
          <cell r="J47">
            <v>1.8604687500000003</v>
          </cell>
          <cell r="K47">
            <v>1.9534921875000004</v>
          </cell>
          <cell r="L47">
            <v>2.9302382812500007</v>
          </cell>
          <cell r="M47">
            <v>3.0767501953125009</v>
          </cell>
          <cell r="N47">
            <v>4.6151252929687514</v>
          </cell>
          <cell r="O47">
            <v>4.8458815576171892</v>
          </cell>
        </row>
        <row r="48">
          <cell r="F48">
            <v>1.75</v>
          </cell>
          <cell r="G48">
            <v>1.7875000000000001</v>
          </cell>
          <cell r="H48">
            <v>2.1812500000000004</v>
          </cell>
          <cell r="I48">
            <v>2.2403124999999999</v>
          </cell>
          <cell r="J48">
            <v>2.8604687500000003</v>
          </cell>
          <cell r="K48">
            <v>2.9534921875000002</v>
          </cell>
          <cell r="L48">
            <v>3.9302382812500007</v>
          </cell>
          <cell r="M48">
            <v>4.0767501953125009</v>
          </cell>
          <cell r="N48">
            <v>5.6151252929687514</v>
          </cell>
          <cell r="O48">
            <v>5.8458815576171892</v>
          </cell>
        </row>
        <row r="72">
          <cell r="D72">
            <v>0.5</v>
          </cell>
          <cell r="E72">
            <v>0.5555000000000001</v>
          </cell>
          <cell r="F72">
            <v>0.60550000000000015</v>
          </cell>
          <cell r="G72">
            <v>0.71961000000000019</v>
          </cell>
          <cell r="H72">
            <v>0.81961000000000017</v>
          </cell>
          <cell r="I72">
            <v>0.91961000000000015</v>
          </cell>
          <cell r="J72">
            <v>1.1016983000000002</v>
          </cell>
          <cell r="K72">
            <v>1.2516983000000002</v>
          </cell>
          <cell r="L72">
            <v>1.4016983000000001</v>
          </cell>
          <cell r="M72">
            <v>1.6016983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P30"/>
  <sheetViews>
    <sheetView workbookViewId="0">
      <selection activeCell="L5" sqref="L5:P5"/>
    </sheetView>
  </sheetViews>
  <sheetFormatPr defaultRowHeight="13.5" x14ac:dyDescent="0.15"/>
  <sheetData>
    <row r="4" spans="2:16" x14ac:dyDescent="0.15">
      <c r="B4" s="25" t="s">
        <v>100</v>
      </c>
      <c r="C4" s="51" t="s">
        <v>102</v>
      </c>
      <c r="D4" s="52"/>
      <c r="E4" s="52"/>
      <c r="F4" s="52"/>
      <c r="G4" s="52"/>
      <c r="H4" s="52"/>
      <c r="I4" s="52"/>
      <c r="J4" s="52"/>
      <c r="K4" s="53"/>
      <c r="L4" s="51" t="s">
        <v>104</v>
      </c>
      <c r="M4" s="52"/>
      <c r="N4" s="52"/>
      <c r="O4" s="52"/>
      <c r="P4" s="53"/>
    </row>
    <row r="5" spans="2:16" x14ac:dyDescent="0.15">
      <c r="B5" s="25" t="s">
        <v>101</v>
      </c>
      <c r="C5" s="51" t="s">
        <v>103</v>
      </c>
      <c r="D5" s="52"/>
      <c r="E5" s="52"/>
      <c r="F5" s="52"/>
      <c r="G5" s="52"/>
      <c r="H5" s="52"/>
      <c r="I5" s="52"/>
      <c r="J5" s="52"/>
      <c r="K5" s="53"/>
      <c r="L5" s="51" t="s">
        <v>105</v>
      </c>
      <c r="M5" s="52"/>
      <c r="N5" s="52"/>
      <c r="O5" s="52"/>
      <c r="P5" s="53"/>
    </row>
    <row r="6" spans="2:16" x14ac:dyDescent="0.15">
      <c r="B6" s="25"/>
      <c r="C6" s="51"/>
      <c r="D6" s="52"/>
      <c r="E6" s="52"/>
      <c r="F6" s="52"/>
      <c r="G6" s="52"/>
      <c r="H6" s="52"/>
      <c r="I6" s="52"/>
      <c r="J6" s="52"/>
      <c r="K6" s="53"/>
      <c r="L6" s="51"/>
      <c r="M6" s="52"/>
      <c r="N6" s="52"/>
      <c r="O6" s="52"/>
      <c r="P6" s="53"/>
    </row>
    <row r="7" spans="2:16" x14ac:dyDescent="0.15">
      <c r="B7" s="25"/>
      <c r="C7" s="51"/>
      <c r="D7" s="52"/>
      <c r="E7" s="52"/>
      <c r="F7" s="52"/>
      <c r="G7" s="52"/>
      <c r="H7" s="52"/>
      <c r="I7" s="52"/>
      <c r="J7" s="52"/>
      <c r="K7" s="53"/>
      <c r="L7" s="51"/>
      <c r="M7" s="52"/>
      <c r="N7" s="52"/>
      <c r="O7" s="52"/>
      <c r="P7" s="53"/>
    </row>
    <row r="8" spans="2:16" x14ac:dyDescent="0.15">
      <c r="B8" s="25"/>
      <c r="C8" s="51"/>
      <c r="D8" s="52"/>
      <c r="E8" s="52"/>
      <c r="F8" s="52"/>
      <c r="G8" s="52"/>
      <c r="H8" s="52"/>
      <c r="I8" s="52"/>
      <c r="J8" s="52"/>
      <c r="K8" s="53"/>
      <c r="L8" s="51"/>
      <c r="M8" s="52"/>
      <c r="N8" s="52"/>
      <c r="O8" s="52"/>
      <c r="P8" s="53"/>
    </row>
    <row r="9" spans="2:16" x14ac:dyDescent="0.15">
      <c r="B9" s="25"/>
      <c r="C9" s="51"/>
      <c r="D9" s="52"/>
      <c r="E9" s="52"/>
      <c r="F9" s="52"/>
      <c r="G9" s="52"/>
      <c r="H9" s="52"/>
      <c r="I9" s="52"/>
      <c r="J9" s="52"/>
      <c r="K9" s="53"/>
      <c r="L9" s="51"/>
      <c r="M9" s="52"/>
      <c r="N9" s="52"/>
      <c r="O9" s="52"/>
      <c r="P9" s="53"/>
    </row>
    <row r="10" spans="2:16" x14ac:dyDescent="0.15">
      <c r="B10" s="25"/>
      <c r="C10" s="51"/>
      <c r="D10" s="52"/>
      <c r="E10" s="52"/>
      <c r="F10" s="52"/>
      <c r="G10" s="52"/>
      <c r="H10" s="52"/>
      <c r="I10" s="52"/>
      <c r="J10" s="52"/>
      <c r="K10" s="53"/>
      <c r="L10" s="51"/>
      <c r="M10" s="52"/>
      <c r="N10" s="52"/>
      <c r="O10" s="52"/>
      <c r="P10" s="53"/>
    </row>
    <row r="11" spans="2:16" x14ac:dyDescent="0.15">
      <c r="B11" s="25"/>
      <c r="C11" s="51"/>
      <c r="D11" s="52"/>
      <c r="E11" s="52"/>
      <c r="F11" s="52"/>
      <c r="G11" s="52"/>
      <c r="H11" s="52"/>
      <c r="I11" s="52"/>
      <c r="J11" s="52"/>
      <c r="K11" s="53"/>
      <c r="L11" s="51"/>
      <c r="M11" s="52"/>
      <c r="N11" s="52"/>
      <c r="O11" s="52"/>
      <c r="P11" s="53"/>
    </row>
    <row r="12" spans="2:16" x14ac:dyDescent="0.15">
      <c r="B12" s="25"/>
      <c r="C12" s="51"/>
      <c r="D12" s="52"/>
      <c r="E12" s="52"/>
      <c r="F12" s="52"/>
      <c r="G12" s="52"/>
      <c r="H12" s="52"/>
      <c r="I12" s="52"/>
      <c r="J12" s="52"/>
      <c r="K12" s="53"/>
      <c r="L12" s="51"/>
      <c r="M12" s="52"/>
      <c r="N12" s="52"/>
      <c r="O12" s="52"/>
      <c r="P12" s="53"/>
    </row>
    <row r="13" spans="2:16" x14ac:dyDescent="0.15">
      <c r="B13" s="25"/>
      <c r="C13" s="51"/>
      <c r="D13" s="52"/>
      <c r="E13" s="52"/>
      <c r="F13" s="52"/>
      <c r="G13" s="52"/>
      <c r="H13" s="52"/>
      <c r="I13" s="52"/>
      <c r="J13" s="52"/>
      <c r="K13" s="53"/>
      <c r="L13" s="51"/>
      <c r="M13" s="52"/>
      <c r="N13" s="52"/>
      <c r="O13" s="52"/>
      <c r="P13" s="53"/>
    </row>
    <row r="14" spans="2:16" x14ac:dyDescent="0.15">
      <c r="B14" s="25"/>
      <c r="C14" s="51"/>
      <c r="D14" s="52"/>
      <c r="E14" s="52"/>
      <c r="F14" s="52"/>
      <c r="G14" s="52"/>
      <c r="H14" s="52"/>
      <c r="I14" s="52"/>
      <c r="J14" s="52"/>
      <c r="K14" s="53"/>
      <c r="L14" s="51"/>
      <c r="M14" s="52"/>
      <c r="N14" s="52"/>
      <c r="O14" s="52"/>
      <c r="P14" s="53"/>
    </row>
    <row r="15" spans="2:16" x14ac:dyDescent="0.15">
      <c r="B15" s="25"/>
      <c r="C15" s="51"/>
      <c r="D15" s="52"/>
      <c r="E15" s="52"/>
      <c r="F15" s="52"/>
      <c r="G15" s="52"/>
      <c r="H15" s="52"/>
      <c r="I15" s="52"/>
      <c r="J15" s="52"/>
      <c r="K15" s="53"/>
      <c r="L15" s="51"/>
      <c r="M15" s="52"/>
      <c r="N15" s="52"/>
      <c r="O15" s="52"/>
      <c r="P15" s="53"/>
    </row>
    <row r="16" spans="2:16" x14ac:dyDescent="0.15">
      <c r="B16" s="25"/>
      <c r="C16" s="51"/>
      <c r="D16" s="52"/>
      <c r="E16" s="52"/>
      <c r="F16" s="52"/>
      <c r="G16" s="52"/>
      <c r="H16" s="52"/>
      <c r="I16" s="52"/>
      <c r="J16" s="52"/>
      <c r="K16" s="53"/>
      <c r="L16" s="51"/>
      <c r="M16" s="52"/>
      <c r="N16" s="52"/>
      <c r="O16" s="52"/>
      <c r="P16" s="53"/>
    </row>
    <row r="17" spans="2:16" x14ac:dyDescent="0.15">
      <c r="B17" s="25"/>
      <c r="C17" s="51"/>
      <c r="D17" s="52"/>
      <c r="E17" s="52"/>
      <c r="F17" s="52"/>
      <c r="G17" s="52"/>
      <c r="H17" s="52"/>
      <c r="I17" s="52"/>
      <c r="J17" s="52"/>
      <c r="K17" s="53"/>
      <c r="L17" s="51"/>
      <c r="M17" s="52"/>
      <c r="N17" s="52"/>
      <c r="O17" s="52"/>
      <c r="P17" s="53"/>
    </row>
    <row r="18" spans="2:16" x14ac:dyDescent="0.15">
      <c r="B18" s="25"/>
      <c r="C18" s="51"/>
      <c r="D18" s="52"/>
      <c r="E18" s="52"/>
      <c r="F18" s="52"/>
      <c r="G18" s="52"/>
      <c r="H18" s="52"/>
      <c r="I18" s="52"/>
      <c r="J18" s="52"/>
      <c r="K18" s="53"/>
      <c r="L18" s="51"/>
      <c r="M18" s="52"/>
      <c r="N18" s="52"/>
      <c r="O18" s="52"/>
      <c r="P18" s="53"/>
    </row>
    <row r="19" spans="2:16" x14ac:dyDescent="0.15">
      <c r="B19" s="25"/>
      <c r="C19" s="51"/>
      <c r="D19" s="52"/>
      <c r="E19" s="52"/>
      <c r="F19" s="52"/>
      <c r="G19" s="52"/>
      <c r="H19" s="52"/>
      <c r="I19" s="52"/>
      <c r="J19" s="52"/>
      <c r="K19" s="53"/>
      <c r="L19" s="51"/>
      <c r="M19" s="52"/>
      <c r="N19" s="52"/>
      <c r="O19" s="52"/>
      <c r="P19" s="53"/>
    </row>
    <row r="20" spans="2:16" x14ac:dyDescent="0.15">
      <c r="B20" s="25"/>
      <c r="C20" s="51"/>
      <c r="D20" s="52"/>
      <c r="E20" s="52"/>
      <c r="F20" s="52"/>
      <c r="G20" s="52"/>
      <c r="H20" s="52"/>
      <c r="I20" s="52"/>
      <c r="J20" s="52"/>
      <c r="K20" s="53"/>
      <c r="L20" s="51"/>
      <c r="M20" s="52"/>
      <c r="N20" s="52"/>
      <c r="O20" s="52"/>
      <c r="P20" s="53"/>
    </row>
    <row r="21" spans="2:16" x14ac:dyDescent="0.15">
      <c r="B21" s="25"/>
      <c r="C21" s="51"/>
      <c r="D21" s="52"/>
      <c r="E21" s="52"/>
      <c r="F21" s="52"/>
      <c r="G21" s="52"/>
      <c r="H21" s="52"/>
      <c r="I21" s="52"/>
      <c r="J21" s="52"/>
      <c r="K21" s="53"/>
      <c r="L21" s="51"/>
      <c r="M21" s="52"/>
      <c r="N21" s="52"/>
      <c r="O21" s="52"/>
      <c r="P21" s="53"/>
    </row>
    <row r="22" spans="2:16" x14ac:dyDescent="0.15">
      <c r="B22" s="25"/>
      <c r="C22" s="51"/>
      <c r="D22" s="52"/>
      <c r="E22" s="52"/>
      <c r="F22" s="52"/>
      <c r="G22" s="52"/>
      <c r="H22" s="52"/>
      <c r="I22" s="52"/>
      <c r="J22" s="52"/>
      <c r="K22" s="53"/>
      <c r="L22" s="51"/>
      <c r="M22" s="52"/>
      <c r="N22" s="52"/>
      <c r="O22" s="52"/>
      <c r="P22" s="53"/>
    </row>
    <row r="23" spans="2:16" x14ac:dyDescent="0.15">
      <c r="B23" s="25"/>
      <c r="C23" s="51"/>
      <c r="D23" s="52"/>
      <c r="E23" s="52"/>
      <c r="F23" s="52"/>
      <c r="G23" s="52"/>
      <c r="H23" s="52"/>
      <c r="I23" s="52"/>
      <c r="J23" s="52"/>
      <c r="K23" s="53"/>
      <c r="L23" s="51"/>
      <c r="M23" s="52"/>
      <c r="N23" s="52"/>
      <c r="O23" s="52"/>
      <c r="P23" s="53"/>
    </row>
    <row r="24" spans="2:16" x14ac:dyDescent="0.15">
      <c r="B24" s="25"/>
      <c r="C24" s="51"/>
      <c r="D24" s="52"/>
      <c r="E24" s="52"/>
      <c r="F24" s="52"/>
      <c r="G24" s="52"/>
      <c r="H24" s="52"/>
      <c r="I24" s="52"/>
      <c r="J24" s="52"/>
      <c r="K24" s="53"/>
      <c r="L24" s="51"/>
      <c r="M24" s="52"/>
      <c r="N24" s="52"/>
      <c r="O24" s="52"/>
      <c r="P24" s="53"/>
    </row>
    <row r="25" spans="2:16" x14ac:dyDescent="0.15">
      <c r="B25" s="25"/>
      <c r="C25" s="51"/>
      <c r="D25" s="52"/>
      <c r="E25" s="52"/>
      <c r="F25" s="52"/>
      <c r="G25" s="52"/>
      <c r="H25" s="52"/>
      <c r="I25" s="52"/>
      <c r="J25" s="52"/>
      <c r="K25" s="53"/>
      <c r="L25" s="51"/>
      <c r="M25" s="52"/>
      <c r="N25" s="52"/>
      <c r="O25" s="52"/>
      <c r="P25" s="53"/>
    </row>
    <row r="26" spans="2:16" x14ac:dyDescent="0.15">
      <c r="B26" s="25"/>
      <c r="C26" s="51"/>
      <c r="D26" s="52"/>
      <c r="E26" s="52"/>
      <c r="F26" s="52"/>
      <c r="G26" s="52"/>
      <c r="H26" s="52"/>
      <c r="I26" s="52"/>
      <c r="J26" s="52"/>
      <c r="K26" s="53"/>
      <c r="L26" s="51"/>
      <c r="M26" s="52"/>
      <c r="N26" s="52"/>
      <c r="O26" s="52"/>
      <c r="P26" s="53"/>
    </row>
    <row r="27" spans="2:16" x14ac:dyDescent="0.15">
      <c r="B27" s="25"/>
      <c r="C27" s="51"/>
      <c r="D27" s="52"/>
      <c r="E27" s="52"/>
      <c r="F27" s="52"/>
      <c r="G27" s="52"/>
      <c r="H27" s="52"/>
      <c r="I27" s="52"/>
      <c r="J27" s="52"/>
      <c r="K27" s="53"/>
      <c r="L27" s="51"/>
      <c r="M27" s="52"/>
      <c r="N27" s="52"/>
      <c r="O27" s="52"/>
      <c r="P27" s="53"/>
    </row>
    <row r="28" spans="2:16" x14ac:dyDescent="0.15">
      <c r="B28" s="25"/>
      <c r="C28" s="51"/>
      <c r="D28" s="52"/>
      <c r="E28" s="52"/>
      <c r="F28" s="52"/>
      <c r="G28" s="52"/>
      <c r="H28" s="52"/>
      <c r="I28" s="52"/>
      <c r="J28" s="52"/>
      <c r="K28" s="53"/>
      <c r="L28" s="51"/>
      <c r="M28" s="52"/>
      <c r="N28" s="52"/>
      <c r="O28" s="52"/>
      <c r="P28" s="53"/>
    </row>
    <row r="29" spans="2:16" x14ac:dyDescent="0.15">
      <c r="B29" s="25"/>
      <c r="C29" s="51"/>
      <c r="D29" s="52"/>
      <c r="E29" s="52"/>
      <c r="F29" s="52"/>
      <c r="G29" s="52"/>
      <c r="H29" s="52"/>
      <c r="I29" s="52"/>
      <c r="J29" s="52"/>
      <c r="K29" s="53"/>
      <c r="L29" s="51"/>
      <c r="M29" s="52"/>
      <c r="N29" s="52"/>
      <c r="O29" s="52"/>
      <c r="P29" s="53"/>
    </row>
    <row r="30" spans="2:16" x14ac:dyDescent="0.15">
      <c r="B30" s="25"/>
      <c r="C30" s="51"/>
      <c r="D30" s="52"/>
      <c r="E30" s="52"/>
      <c r="F30" s="52"/>
      <c r="G30" s="52"/>
      <c r="H30" s="52"/>
      <c r="I30" s="52"/>
      <c r="J30" s="52"/>
      <c r="K30" s="53"/>
      <c r="L30" s="51"/>
      <c r="M30" s="52"/>
      <c r="N30" s="52"/>
      <c r="O30" s="52"/>
      <c r="P30" s="53"/>
    </row>
  </sheetData>
  <mergeCells count="54">
    <mergeCell ref="C8:K8"/>
    <mergeCell ref="C4:K4"/>
    <mergeCell ref="L4:P4"/>
    <mergeCell ref="C5:K5"/>
    <mergeCell ref="C6:K6"/>
    <mergeCell ref="C7:K7"/>
    <mergeCell ref="C20:K20"/>
    <mergeCell ref="C9:K9"/>
    <mergeCell ref="C10:K10"/>
    <mergeCell ref="C11:K11"/>
    <mergeCell ref="C12:K12"/>
    <mergeCell ref="C13:K13"/>
    <mergeCell ref="C14:K14"/>
    <mergeCell ref="C15:K15"/>
    <mergeCell ref="C16:K16"/>
    <mergeCell ref="C17:K17"/>
    <mergeCell ref="C18:K18"/>
    <mergeCell ref="C19:K19"/>
    <mergeCell ref="C27:K27"/>
    <mergeCell ref="C28:K28"/>
    <mergeCell ref="C29:K29"/>
    <mergeCell ref="C30:K30"/>
    <mergeCell ref="L5:P5"/>
    <mergeCell ref="L6:P6"/>
    <mergeCell ref="L7:P7"/>
    <mergeCell ref="L8:P8"/>
    <mergeCell ref="L9:P9"/>
    <mergeCell ref="L10:P10"/>
    <mergeCell ref="C21:K21"/>
    <mergeCell ref="C22:K22"/>
    <mergeCell ref="C23:K23"/>
    <mergeCell ref="C24:K24"/>
    <mergeCell ref="C25:K25"/>
    <mergeCell ref="C26:K26"/>
    <mergeCell ref="L22:P22"/>
    <mergeCell ref="L11:P11"/>
    <mergeCell ref="L12:P12"/>
    <mergeCell ref="L13:P13"/>
    <mergeCell ref="L14:P14"/>
    <mergeCell ref="L15:P15"/>
    <mergeCell ref="L16:P16"/>
    <mergeCell ref="L17:P17"/>
    <mergeCell ref="L18:P18"/>
    <mergeCell ref="L19:P19"/>
    <mergeCell ref="L20:P20"/>
    <mergeCell ref="L21:P21"/>
    <mergeCell ref="L29:P29"/>
    <mergeCell ref="L30:P30"/>
    <mergeCell ref="L23:P23"/>
    <mergeCell ref="L24:P24"/>
    <mergeCell ref="L25:P25"/>
    <mergeCell ref="L26:P26"/>
    <mergeCell ref="L27:P27"/>
    <mergeCell ref="L28:P28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197"/>
  <sheetViews>
    <sheetView workbookViewId="0">
      <selection activeCell="H82" sqref="H82"/>
    </sheetView>
  </sheetViews>
  <sheetFormatPr defaultRowHeight="13.5" x14ac:dyDescent="0.15"/>
  <cols>
    <col min="1" max="2" width="13" bestFit="1" customWidth="1"/>
    <col min="3" max="3" width="10.5" bestFit="1" customWidth="1"/>
    <col min="19" max="19" width="10.25" customWidth="1"/>
    <col min="20" max="32" width="9" customWidth="1"/>
  </cols>
  <sheetData>
    <row r="1" spans="1:35" x14ac:dyDescent="0.15">
      <c r="A1" t="s">
        <v>1</v>
      </c>
    </row>
    <row r="2" spans="1:35" ht="14.25" thickBot="1" x14ac:dyDescent="0.2"/>
    <row r="3" spans="1:35" x14ac:dyDescent="0.15">
      <c r="R3" s="26"/>
      <c r="S3" s="27"/>
      <c r="T3" s="27"/>
      <c r="U3" s="28"/>
    </row>
    <row r="4" spans="1:35" x14ac:dyDescent="0.15">
      <c r="C4" t="s">
        <v>3</v>
      </c>
      <c r="G4" t="s">
        <v>4</v>
      </c>
      <c r="K4" t="s">
        <v>27</v>
      </c>
      <c r="O4" t="s">
        <v>23</v>
      </c>
      <c r="R4" s="29"/>
      <c r="S4" s="30" t="s">
        <v>28</v>
      </c>
      <c r="T4" s="30"/>
      <c r="U4" s="31"/>
    </row>
    <row r="5" spans="1:35" x14ac:dyDescent="0.15">
      <c r="B5" t="s">
        <v>5</v>
      </c>
      <c r="D5" s="11">
        <v>62</v>
      </c>
      <c r="H5" s="11">
        <v>50</v>
      </c>
      <c r="L5" s="11">
        <v>488</v>
      </c>
      <c r="P5" s="11">
        <v>63</v>
      </c>
      <c r="R5" s="29"/>
      <c r="S5" s="30"/>
      <c r="T5" s="32">
        <v>394</v>
      </c>
      <c r="U5" s="31"/>
    </row>
    <row r="6" spans="1:35" x14ac:dyDescent="0.15">
      <c r="B6" s="2">
        <v>850</v>
      </c>
      <c r="D6" s="11"/>
      <c r="H6" s="11"/>
      <c r="L6" s="11"/>
      <c r="P6" s="11"/>
      <c r="R6" s="29"/>
      <c r="S6" s="30"/>
      <c r="T6" s="32"/>
      <c r="U6" s="31"/>
    </row>
    <row r="7" spans="1:35" x14ac:dyDescent="0.15">
      <c r="D7" s="11">
        <v>75</v>
      </c>
      <c r="H7" s="11">
        <v>236</v>
      </c>
      <c r="L7" s="11">
        <v>40</v>
      </c>
      <c r="P7" s="11">
        <v>52</v>
      </c>
      <c r="R7" s="29"/>
      <c r="S7" s="30"/>
      <c r="T7" s="32">
        <v>304</v>
      </c>
      <c r="U7" s="31"/>
    </row>
    <row r="8" spans="1:35" x14ac:dyDescent="0.15">
      <c r="D8" s="11"/>
      <c r="H8" s="11"/>
      <c r="L8" s="11"/>
      <c r="P8" s="11"/>
      <c r="R8" s="29"/>
      <c r="S8" s="30"/>
      <c r="T8" s="32"/>
      <c r="U8" s="31"/>
    </row>
    <row r="9" spans="1:35" x14ac:dyDescent="0.15">
      <c r="D9" s="11">
        <v>829</v>
      </c>
      <c r="H9" s="11">
        <v>580</v>
      </c>
      <c r="L9" s="11">
        <v>248</v>
      </c>
      <c r="P9" s="11">
        <v>358</v>
      </c>
      <c r="R9" s="29"/>
      <c r="S9" s="30"/>
      <c r="T9" s="32">
        <v>409</v>
      </c>
      <c r="U9" s="31"/>
    </row>
    <row r="10" spans="1:35" x14ac:dyDescent="0.15">
      <c r="D10" s="11"/>
      <c r="H10" s="11"/>
      <c r="L10" s="11"/>
      <c r="P10" s="11"/>
      <c r="R10" s="29"/>
      <c r="S10" s="30"/>
      <c r="T10" s="32"/>
      <c r="U10" s="31"/>
    </row>
    <row r="11" spans="1:35" x14ac:dyDescent="0.15">
      <c r="A11" s="11" t="s">
        <v>34</v>
      </c>
      <c r="H11" s="11"/>
      <c r="L11" s="11"/>
      <c r="P11" s="11"/>
      <c r="R11" s="29"/>
      <c r="S11" s="30"/>
      <c r="T11" s="32"/>
      <c r="U11" s="31"/>
    </row>
    <row r="12" spans="1:35" ht="15" customHeight="1" x14ac:dyDescent="0.15">
      <c r="B12" t="s">
        <v>6</v>
      </c>
      <c r="C12" s="3">
        <f>[1]职业定位属性配比!$C$82*$B$6</f>
        <v>529.79452054794513</v>
      </c>
      <c r="D12" s="3">
        <f>ROUND(C12+[1]职业定位属性配比!$C$82*$D$5,0)</f>
        <v>568</v>
      </c>
      <c r="G12" s="3">
        <f>[1]职业定位属性配比!$C82*$B$6</f>
        <v>529.79452054794513</v>
      </c>
      <c r="H12" s="3">
        <f>ROUND(G12+[1]职业定位属性配比!$C$82*H5,0)</f>
        <v>561</v>
      </c>
      <c r="K12" s="3">
        <f>[1]职业定位属性配比!$D$82*B6</f>
        <v>861.32020845396619</v>
      </c>
      <c r="L12" s="3">
        <f>ROUND(K12+[1]职业定位属性配比!$D$82*L5,0)</f>
        <v>1356</v>
      </c>
      <c r="O12" s="3">
        <f>[1]职业定位属性配比!$D$82*B6</f>
        <v>861.32020845396619</v>
      </c>
      <c r="P12" s="3">
        <f>ROUND(O12+[1]职业定位属性配比!$D$82*P5,0)</f>
        <v>925</v>
      </c>
      <c r="R12" s="29"/>
      <c r="S12" s="33">
        <f>[1]职业定位属性配比!$E$82*$B$6</f>
        <v>450.75757575757581</v>
      </c>
      <c r="T12" s="33">
        <f>ROUND(S12+[1]职业定位属性配比!$E$82*T5,0)</f>
        <v>660</v>
      </c>
      <c r="U12" s="31"/>
    </row>
    <row r="13" spans="1:35" x14ac:dyDescent="0.15">
      <c r="B13" t="s">
        <v>7</v>
      </c>
      <c r="C13" s="3">
        <f>[1]职业定位属性配比!$C$81*$B$6</f>
        <v>938.15124928752437</v>
      </c>
      <c r="D13" s="3">
        <f>ROUND(C13+[1]职业定位属性配比!$C$81*$D7,0)</f>
        <v>1021</v>
      </c>
      <c r="G13" s="3">
        <f>[1]职业定位属性配比!$C81*$B$6</f>
        <v>938.15124928752437</v>
      </c>
      <c r="H13" s="3">
        <f>ROUND(G13+[1]职业定位属性配比!$C$81*H7,0)</f>
        <v>1199</v>
      </c>
      <c r="K13" s="3">
        <f>[1]职业定位属性配比!$D$81*B6</f>
        <v>836.17794062454016</v>
      </c>
      <c r="L13" s="3">
        <f>ROUND(K13+[1]职业定位属性配比!$D$81*L7,0)</f>
        <v>876</v>
      </c>
      <c r="O13" s="3">
        <f>[1]职业定位属性配比!$D$81*B6</f>
        <v>836.17794062454016</v>
      </c>
      <c r="P13" s="3">
        <f>ROUND(O13+[1]职业定位属性配比!$D$81*P7,0)</f>
        <v>887</v>
      </c>
      <c r="R13" s="29"/>
      <c r="S13" s="33">
        <f>[1]职业定位属性配比!$E$81*$B$6</f>
        <v>1255.2313608378215</v>
      </c>
      <c r="T13" s="33">
        <f>ROUND(S13+[1]职业定位属性配比!$E$81*T7,0)</f>
        <v>1704</v>
      </c>
      <c r="U13" s="31"/>
    </row>
    <row r="14" spans="1:35" x14ac:dyDescent="0.15">
      <c r="B14" t="s">
        <v>8</v>
      </c>
      <c r="C14" s="3">
        <f>[1]职业定位属性配比!$C$83*B6</f>
        <v>5522.3702998572098</v>
      </c>
      <c r="D14" s="3">
        <f>ROUND(C14+[1]职业定位属性配比!$C$83*$D9,0)</f>
        <v>10908</v>
      </c>
      <c r="G14" s="3">
        <f>[1]职业定位属性配比!$C83*B6</f>
        <v>5522.3702998572098</v>
      </c>
      <c r="H14" s="3">
        <f>ROUND(G14+[1]职业定位属性配比!$C$83*H9,0)</f>
        <v>9291</v>
      </c>
      <c r="K14" s="3">
        <f>[1]职业定位属性配比!$D$83*B6</f>
        <v>1645.161290322581</v>
      </c>
      <c r="L14" s="3">
        <f>ROUND(K14+[1]职业定位属性配比!$D$83*L9,0)</f>
        <v>2125</v>
      </c>
      <c r="O14" s="3">
        <f>[1]职业定位属性配比!$D$83*B6</f>
        <v>1645.161290322581</v>
      </c>
      <c r="P14" s="3">
        <f>ROUND(O14+[1]职业定位属性配比!$D$83*P9,0)</f>
        <v>2338</v>
      </c>
      <c r="R14" s="29"/>
      <c r="S14" s="33">
        <f>[1]职业定位属性配比!$E$83*$B$6</f>
        <v>3707.3076923076928</v>
      </c>
      <c r="T14" s="33">
        <f>ROUND(S14+[1]职业定位属性配比!$E$83*T9,0)</f>
        <v>5491</v>
      </c>
      <c r="U14" s="31"/>
    </row>
    <row r="15" spans="1:35" x14ac:dyDescent="0.1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34"/>
      <c r="S15" s="35"/>
      <c r="T15" s="35"/>
      <c r="U15" s="36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</row>
    <row r="16" spans="1:35" x14ac:dyDescent="0.15">
      <c r="B16" s="9" t="s">
        <v>24</v>
      </c>
      <c r="C16" s="10">
        <v>0.9</v>
      </c>
      <c r="D16" s="10"/>
      <c r="E16" s="10"/>
      <c r="F16" s="10"/>
      <c r="G16" s="10">
        <v>0.85</v>
      </c>
      <c r="H16" s="10"/>
      <c r="I16" s="10"/>
      <c r="J16" s="10"/>
      <c r="K16" s="10">
        <v>1.2</v>
      </c>
      <c r="L16" s="10"/>
      <c r="M16" s="10"/>
      <c r="N16" s="10"/>
      <c r="O16" s="10">
        <v>1.6</v>
      </c>
      <c r="P16" s="10"/>
      <c r="Q16" s="10"/>
      <c r="R16" s="37"/>
      <c r="S16" s="38">
        <v>1</v>
      </c>
      <c r="T16" s="38"/>
      <c r="U16" s="36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</row>
    <row r="17" spans="1:36" x14ac:dyDescent="0.15">
      <c r="B17" s="9" t="s">
        <v>25</v>
      </c>
      <c r="C17" s="3">
        <f>D12*C16</f>
        <v>511.2</v>
      </c>
      <c r="D17" s="9"/>
      <c r="E17" s="9"/>
      <c r="F17" s="9"/>
      <c r="G17" s="3">
        <f>H12*G16</f>
        <v>476.84999999999997</v>
      </c>
      <c r="H17" s="9"/>
      <c r="I17" s="9"/>
      <c r="J17" s="9"/>
      <c r="K17" s="3">
        <f>L12*K16</f>
        <v>1627.2</v>
      </c>
      <c r="L17" s="9"/>
      <c r="M17" s="9"/>
      <c r="N17" s="9"/>
      <c r="O17" s="3">
        <f>P12*O16</f>
        <v>1480</v>
      </c>
      <c r="P17" s="9"/>
      <c r="Q17" s="9"/>
      <c r="R17" s="34"/>
      <c r="S17" s="33">
        <f>T12*S16</f>
        <v>660</v>
      </c>
      <c r="T17" s="30"/>
      <c r="U17" s="36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</row>
    <row r="18" spans="1:36" x14ac:dyDescent="0.15">
      <c r="B18" s="9" t="s">
        <v>26</v>
      </c>
      <c r="C18">
        <f>D13*D14/10000</f>
        <v>1113.7067999999999</v>
      </c>
      <c r="G18">
        <f>H13*H14/10000</f>
        <v>1113.9909</v>
      </c>
      <c r="K18">
        <f>L13*L14/10000</f>
        <v>186.15</v>
      </c>
      <c r="O18">
        <f>P13*P14/10000</f>
        <v>207.38059999999999</v>
      </c>
      <c r="R18" s="29"/>
      <c r="S18" s="30">
        <f>T13*T14/10000</f>
        <v>935.66639999999995</v>
      </c>
      <c r="T18" s="30"/>
      <c r="U18" s="31"/>
    </row>
    <row r="19" spans="1:36" ht="14.25" thickBot="1" x14ac:dyDescent="0.2">
      <c r="B19" s="9"/>
      <c r="L19" s="9"/>
      <c r="R19" s="39"/>
      <c r="S19" s="40"/>
      <c r="T19" s="40"/>
      <c r="U19" s="41"/>
    </row>
    <row r="20" spans="1:36" x14ac:dyDescent="0.15">
      <c r="B20" t="s">
        <v>9</v>
      </c>
    </row>
    <row r="21" spans="1:36" x14ac:dyDescent="0.15">
      <c r="B21" t="s">
        <v>10</v>
      </c>
    </row>
    <row r="22" spans="1:36" x14ac:dyDescent="0.15">
      <c r="F22" t="s">
        <v>20</v>
      </c>
    </row>
    <row r="24" spans="1:36" x14ac:dyDescent="0.15">
      <c r="A24" t="s">
        <v>11</v>
      </c>
      <c r="D24" t="s">
        <v>16</v>
      </c>
    </row>
    <row r="25" spans="1:36" ht="26.25" customHeight="1" x14ac:dyDescent="0.15">
      <c r="A25" s="2"/>
      <c r="B25" s="2">
        <v>6</v>
      </c>
      <c r="C25" s="7">
        <f>B25/1000</f>
        <v>6.0000000000000001E-3</v>
      </c>
      <c r="D25" t="s">
        <v>15</v>
      </c>
      <c r="F25" t="s">
        <v>48</v>
      </c>
      <c r="G25" s="2">
        <v>1</v>
      </c>
      <c r="I25" t="s">
        <v>49</v>
      </c>
      <c r="J25" s="2">
        <v>1</v>
      </c>
      <c r="L25" t="s">
        <v>50</v>
      </c>
      <c r="M25" s="2">
        <v>1</v>
      </c>
    </row>
    <row r="26" spans="1:36" ht="26.25" customHeight="1" x14ac:dyDescent="0.15">
      <c r="A26" s="5" t="s">
        <v>12</v>
      </c>
      <c r="B26" s="2">
        <v>50</v>
      </c>
      <c r="G26" s="4"/>
    </row>
    <row r="27" spans="1:36" ht="15" customHeight="1" x14ac:dyDescent="0.15">
      <c r="A27" s="2"/>
      <c r="B27" s="2"/>
      <c r="E27" t="s">
        <v>29</v>
      </c>
    </row>
    <row r="28" spans="1:36" x14ac:dyDescent="0.15">
      <c r="A28" t="s">
        <v>19</v>
      </c>
      <c r="D28">
        <v>57</v>
      </c>
      <c r="E28" s="7">
        <f>D28/100</f>
        <v>0.56999999999999995</v>
      </c>
    </row>
    <row r="29" spans="1:36" x14ac:dyDescent="0.15">
      <c r="A29" t="s">
        <v>39</v>
      </c>
      <c r="C29" s="4"/>
      <c r="H29" t="s">
        <v>42</v>
      </c>
    </row>
    <row r="30" spans="1:36" x14ac:dyDescent="0.15">
      <c r="A30" t="s">
        <v>41</v>
      </c>
      <c r="C30" s="4"/>
      <c r="H30" t="s">
        <v>43</v>
      </c>
    </row>
    <row r="31" spans="1:36" x14ac:dyDescent="0.15">
      <c r="C31" s="4"/>
    </row>
    <row r="32" spans="1:36" x14ac:dyDescent="0.15">
      <c r="A32" t="s">
        <v>17</v>
      </c>
      <c r="C32" s="3">
        <v>4</v>
      </c>
      <c r="D32" s="3">
        <f>[1]AI!$D$2</f>
        <v>2</v>
      </c>
      <c r="E32" s="9"/>
      <c r="H32" s="3">
        <v>2</v>
      </c>
      <c r="I32" s="3">
        <v>3</v>
      </c>
      <c r="J32" s="9"/>
    </row>
    <row r="33" spans="1:11" x14ac:dyDescent="0.15">
      <c r="A33" t="s">
        <v>18</v>
      </c>
      <c r="B33" s="2">
        <v>0.88</v>
      </c>
      <c r="C33" s="6">
        <f>($B$26-1)*$C$25+C32/100</f>
        <v>0.33399999999999996</v>
      </c>
      <c r="D33" s="6">
        <f>($B$26-1)*$C$25*(B33)+D32/100</f>
        <v>0.27872000000000002</v>
      </c>
      <c r="E33" s="13"/>
      <c r="G33" s="2">
        <v>0.8</v>
      </c>
      <c r="H33" s="6">
        <f>($B$26-1)*$C$25*(G33)+I32/100</f>
        <v>0.26519999999999999</v>
      </c>
      <c r="I33" s="6">
        <f>($B$26-1)*$C$25+H32/100</f>
        <v>0.314</v>
      </c>
      <c r="J33" s="13"/>
    </row>
    <row r="34" spans="1:11" x14ac:dyDescent="0.15">
      <c r="C34" t="s">
        <v>32</v>
      </c>
      <c r="D34" t="s">
        <v>33</v>
      </c>
      <c r="E34" s="9"/>
      <c r="H34" t="s">
        <v>32</v>
      </c>
      <c r="I34" t="s">
        <v>33</v>
      </c>
      <c r="J34" s="9"/>
    </row>
    <row r="35" spans="1:11" x14ac:dyDescent="0.15">
      <c r="C35" s="3">
        <f>ROUND(D12*E28,0)</f>
        <v>324</v>
      </c>
      <c r="D35" s="3">
        <f>ROUND(D12*(1-E28),0)</f>
        <v>244</v>
      </c>
      <c r="E35" s="9"/>
      <c r="H35" s="3">
        <f>ROUND(H12*(1-E28),0)</f>
        <v>241</v>
      </c>
      <c r="I35" s="3">
        <f>ROUND(H12*E28,0)</f>
        <v>320</v>
      </c>
      <c r="J35" s="9"/>
    </row>
    <row r="36" spans="1:11" x14ac:dyDescent="0.15">
      <c r="A36" t="s">
        <v>40</v>
      </c>
      <c r="C36" s="15">
        <f>C35/1000*C33</f>
        <v>0.10821599999999999</v>
      </c>
      <c r="D36" s="15">
        <f>D35/1000*D33</f>
        <v>6.8007680000000001E-2</v>
      </c>
      <c r="E36" s="16">
        <f>(C36+D36)*C16</f>
        <v>0.15860131199999999</v>
      </c>
      <c r="H36" s="15">
        <f>I35/1000*I33</f>
        <v>0.10048</v>
      </c>
      <c r="I36" s="15">
        <f>H35/1000*H33</f>
        <v>6.3913199999999989E-2</v>
      </c>
      <c r="J36" s="16">
        <f>(H36+I36)*G16</f>
        <v>0.13973421999999999</v>
      </c>
    </row>
    <row r="37" spans="1:11" x14ac:dyDescent="0.15">
      <c r="C37" s="18"/>
      <c r="D37" s="19"/>
      <c r="E37" s="19"/>
      <c r="F37" s="19"/>
      <c r="G37" s="19"/>
      <c r="H37" s="19"/>
      <c r="I37" s="19"/>
      <c r="J37" s="19"/>
      <c r="K37" s="10"/>
    </row>
    <row r="38" spans="1:11" x14ac:dyDescent="0.15">
      <c r="A38" t="s">
        <v>45</v>
      </c>
      <c r="C38" s="21">
        <f>D14</f>
        <v>10908</v>
      </c>
      <c r="D38" s="19"/>
      <c r="E38" s="19"/>
      <c r="F38" s="19"/>
      <c r="G38" t="s">
        <v>45</v>
      </c>
      <c r="H38" s="22">
        <f>H14</f>
        <v>9291</v>
      </c>
      <c r="I38" s="19"/>
      <c r="J38" s="19"/>
      <c r="K38" s="10"/>
    </row>
    <row r="39" spans="1:11" x14ac:dyDescent="0.15">
      <c r="A39" t="s">
        <v>44</v>
      </c>
      <c r="C39" s="21">
        <f>ROUND(C38*G25,0)</f>
        <v>10908</v>
      </c>
      <c r="D39" s="19"/>
      <c r="E39" s="19"/>
      <c r="F39" s="19"/>
      <c r="G39" t="s">
        <v>44</v>
      </c>
      <c r="H39" s="22">
        <f>ROUND(H38*G25,0)</f>
        <v>9291</v>
      </c>
      <c r="I39" s="19"/>
      <c r="J39" s="19"/>
      <c r="K39" s="10"/>
    </row>
    <row r="40" spans="1:11" x14ac:dyDescent="0.15">
      <c r="A40" t="s">
        <v>46</v>
      </c>
      <c r="C40" s="21">
        <f>C35</f>
        <v>324</v>
      </c>
      <c r="D40" s="19"/>
      <c r="E40" s="19"/>
      <c r="F40" s="19"/>
      <c r="G40" t="s">
        <v>46</v>
      </c>
      <c r="H40" s="22">
        <f>H35</f>
        <v>241</v>
      </c>
      <c r="I40" s="19"/>
      <c r="J40" s="19"/>
      <c r="K40" s="10"/>
    </row>
    <row r="41" spans="1:11" x14ac:dyDescent="0.15">
      <c r="A41" t="s">
        <v>47</v>
      </c>
      <c r="C41" s="21">
        <f>D35</f>
        <v>244</v>
      </c>
      <c r="D41" s="19"/>
      <c r="E41" s="19"/>
      <c r="F41" s="19"/>
      <c r="G41" t="s">
        <v>47</v>
      </c>
      <c r="H41" s="22">
        <f>I35</f>
        <v>320</v>
      </c>
      <c r="I41" s="19"/>
      <c r="J41" s="19"/>
      <c r="K41" s="10"/>
    </row>
    <row r="42" spans="1:11" x14ac:dyDescent="0.15">
      <c r="A42" t="s">
        <v>82</v>
      </c>
      <c r="C42" s="21">
        <f>D13</f>
        <v>1021</v>
      </c>
      <c r="D42" s="19"/>
      <c r="E42" s="19"/>
      <c r="F42" s="19"/>
      <c r="G42" t="s">
        <v>82</v>
      </c>
      <c r="H42" s="22">
        <f>H13</f>
        <v>1199</v>
      </c>
      <c r="I42" s="19"/>
      <c r="J42" s="19"/>
      <c r="K42" s="10"/>
    </row>
    <row r="43" spans="1:11" x14ac:dyDescent="0.15">
      <c r="C43" s="20"/>
      <c r="D43" s="20"/>
      <c r="E43" s="20"/>
      <c r="F43" s="20"/>
      <c r="G43" s="20"/>
      <c r="H43" s="20"/>
      <c r="I43" s="20"/>
      <c r="J43" s="20"/>
    </row>
    <row r="44" spans="1:11" x14ac:dyDescent="0.15">
      <c r="C44" s="20"/>
      <c r="D44" s="20"/>
      <c r="E44" s="20"/>
      <c r="F44" s="20"/>
      <c r="G44" s="20"/>
      <c r="H44" s="20"/>
      <c r="I44" s="20"/>
      <c r="J44" s="20"/>
    </row>
    <row r="45" spans="1:11" x14ac:dyDescent="0.15">
      <c r="E45" s="4"/>
    </row>
    <row r="46" spans="1:11" x14ac:dyDescent="0.15">
      <c r="E46" s="4"/>
    </row>
    <row r="47" spans="1:11" x14ac:dyDescent="0.15">
      <c r="E47" s="4"/>
    </row>
    <row r="48" spans="1:11" x14ac:dyDescent="0.15">
      <c r="E48" s="4"/>
    </row>
    <row r="49" spans="1:26" x14ac:dyDescent="0.15">
      <c r="A49" s="2"/>
      <c r="B49" s="2"/>
      <c r="E49" t="s">
        <v>29</v>
      </c>
    </row>
    <row r="50" spans="1:26" x14ac:dyDescent="0.15">
      <c r="A50" t="s">
        <v>19</v>
      </c>
      <c r="D50">
        <v>65</v>
      </c>
      <c r="E50" s="7">
        <f>D50/100</f>
        <v>0.65</v>
      </c>
    </row>
    <row r="51" spans="1:26" x14ac:dyDescent="0.15">
      <c r="E51" s="9"/>
      <c r="T51" s="9"/>
      <c r="U51" s="9"/>
      <c r="V51" s="9"/>
      <c r="W51" s="9"/>
      <c r="X51" s="9"/>
      <c r="Y51" s="9"/>
      <c r="Z51" s="9"/>
    </row>
    <row r="52" spans="1:26" x14ac:dyDescent="0.15">
      <c r="C52" s="12" t="s">
        <v>30</v>
      </c>
      <c r="E52" s="9"/>
      <c r="M52" s="12" t="s">
        <v>31</v>
      </c>
      <c r="T52" s="9"/>
      <c r="U52" s="9"/>
      <c r="V52" s="9"/>
      <c r="W52" s="9"/>
      <c r="X52" s="9"/>
      <c r="Y52" s="9"/>
      <c r="Z52" s="9"/>
    </row>
    <row r="53" spans="1:26" x14ac:dyDescent="0.15">
      <c r="E53" s="9"/>
      <c r="X53" s="9"/>
      <c r="Y53" s="9"/>
      <c r="Z53" s="9"/>
    </row>
    <row r="54" spans="1:26" x14ac:dyDescent="0.15">
      <c r="C54" t="s">
        <v>21</v>
      </c>
      <c r="E54" s="9"/>
      <c r="H54" t="s">
        <v>22</v>
      </c>
      <c r="M54" t="s">
        <v>21</v>
      </c>
      <c r="Q54" t="s">
        <v>22</v>
      </c>
      <c r="X54" s="9"/>
      <c r="Y54" s="9"/>
      <c r="Z54" s="9"/>
    </row>
    <row r="55" spans="1:26" x14ac:dyDescent="0.15">
      <c r="C55" t="s">
        <v>13</v>
      </c>
      <c r="D55" t="s">
        <v>14</v>
      </c>
      <c r="E55" s="9"/>
      <c r="H55" t="s">
        <v>13</v>
      </c>
      <c r="I55" t="s">
        <v>14</v>
      </c>
      <c r="M55" t="s">
        <v>13</v>
      </c>
      <c r="N55" t="s">
        <v>14</v>
      </c>
      <c r="Q55" t="s">
        <v>13</v>
      </c>
      <c r="R55" t="s">
        <v>14</v>
      </c>
      <c r="X55" s="9"/>
      <c r="Y55" s="9"/>
      <c r="Z55" s="9"/>
    </row>
    <row r="56" spans="1:26" x14ac:dyDescent="0.15">
      <c r="A56" t="s">
        <v>17</v>
      </c>
      <c r="C56" s="3">
        <f>[1]AI!$B$2</f>
        <v>16</v>
      </c>
      <c r="D56" s="3">
        <f>[1]AI!$D$2</f>
        <v>2</v>
      </c>
      <c r="E56" s="9"/>
      <c r="F56" t="s">
        <v>17</v>
      </c>
      <c r="H56" s="3">
        <f>[1]AI!$B$3</f>
        <v>2</v>
      </c>
      <c r="I56" s="3">
        <f>[1]AI!$D$3</f>
        <v>16</v>
      </c>
      <c r="M56" s="3">
        <f>[1]AI!$B$2</f>
        <v>16</v>
      </c>
      <c r="N56" s="3">
        <f>[1]AI!$D$2</f>
        <v>2</v>
      </c>
      <c r="O56" t="s">
        <v>17</v>
      </c>
      <c r="Q56" s="3">
        <f>[1]AI!$B$3</f>
        <v>2</v>
      </c>
      <c r="R56" s="3">
        <f>[1]AI!$D$3</f>
        <v>16</v>
      </c>
      <c r="X56" s="9"/>
      <c r="Y56" s="9"/>
      <c r="Z56" s="9"/>
    </row>
    <row r="57" spans="1:26" x14ac:dyDescent="0.15">
      <c r="A57" t="s">
        <v>18</v>
      </c>
      <c r="B57" s="2">
        <v>0.45</v>
      </c>
      <c r="C57" s="6">
        <f>($B$26-1)*$C$25+C56/100</f>
        <v>0.45399999999999996</v>
      </c>
      <c r="D57" s="6">
        <f>($B$26-1)*$C$25*(B57)+D56/100</f>
        <v>0.15229999999999999</v>
      </c>
      <c r="E57" s="13"/>
      <c r="F57" t="s">
        <v>18</v>
      </c>
      <c r="G57" s="2">
        <v>0.45</v>
      </c>
      <c r="H57" s="6">
        <f>($B$26-1)*$C$25*(G57)+H56/100</f>
        <v>0.15229999999999999</v>
      </c>
      <c r="I57" s="8">
        <f>($B$26-1)*$C$25+I56/100</f>
        <v>0.45399999999999996</v>
      </c>
      <c r="L57" s="2">
        <v>0.45</v>
      </c>
      <c r="M57" s="6">
        <f>($B$26-1)*$C$25+M56/100</f>
        <v>0.45399999999999996</v>
      </c>
      <c r="N57" s="6">
        <f>($B$26-1)*$C$25*(L57)+N56/100</f>
        <v>0.15229999999999999</v>
      </c>
      <c r="O57" t="s">
        <v>18</v>
      </c>
      <c r="P57" s="2">
        <v>0.45</v>
      </c>
      <c r="Q57" s="6">
        <f>($B$26-1)*$C$25*(P57)+Q56/100</f>
        <v>0.15229999999999999</v>
      </c>
      <c r="R57" s="8">
        <f>($B$26-1)*$C$25+R56/100</f>
        <v>0.45399999999999996</v>
      </c>
      <c r="X57" s="9"/>
      <c r="Y57" s="9"/>
      <c r="Z57" s="9"/>
    </row>
    <row r="58" spans="1:26" x14ac:dyDescent="0.15">
      <c r="C58" t="s">
        <v>32</v>
      </c>
      <c r="D58" t="s">
        <v>33</v>
      </c>
      <c r="E58" s="9"/>
      <c r="H58" t="s">
        <v>38</v>
      </c>
      <c r="I58" t="s">
        <v>37</v>
      </c>
      <c r="M58" t="s">
        <v>35</v>
      </c>
      <c r="N58" t="s">
        <v>36</v>
      </c>
      <c r="Q58" t="s">
        <v>35</v>
      </c>
      <c r="R58" t="s">
        <v>36</v>
      </c>
      <c r="X58" s="9"/>
      <c r="Y58" s="9"/>
      <c r="Z58" s="9"/>
    </row>
    <row r="59" spans="1:26" x14ac:dyDescent="0.15">
      <c r="C59" s="3">
        <f>ROUND(L12*E50,0)</f>
        <v>881</v>
      </c>
      <c r="D59" s="3">
        <f>ROUND(L12*(1-E50),0)</f>
        <v>475</v>
      </c>
      <c r="E59" s="9"/>
      <c r="H59" s="3">
        <f>ROUND(L12*(1-E50),0)</f>
        <v>475</v>
      </c>
      <c r="I59" s="3">
        <f>ROUND(L12*$E$50,0)</f>
        <v>881</v>
      </c>
      <c r="M59" s="3">
        <f>ROUND(P12*$E$50,0)</f>
        <v>601</v>
      </c>
      <c r="N59" s="3">
        <f>ROUND(P12*(1-$E$50),0)</f>
        <v>324</v>
      </c>
      <c r="Q59" s="3">
        <f>ROUND(P12*(1-$E$50),0)</f>
        <v>324</v>
      </c>
      <c r="R59" s="3">
        <f>ROUND(P12*$E$50,0)</f>
        <v>601</v>
      </c>
      <c r="X59" s="9"/>
      <c r="Y59" s="9"/>
      <c r="Z59" s="9"/>
    </row>
    <row r="60" spans="1:26" x14ac:dyDescent="0.15">
      <c r="A60" t="s">
        <v>40</v>
      </c>
      <c r="C60" s="15">
        <f>C59/1000*C57</f>
        <v>0.39997399999999994</v>
      </c>
      <c r="D60" s="15">
        <f>D59/1000*D57</f>
        <v>7.234249999999999E-2</v>
      </c>
      <c r="E60" s="16">
        <f>(C60+D60)*K16</f>
        <v>0.56677979999999983</v>
      </c>
      <c r="F60" s="9"/>
      <c r="G60" s="9"/>
      <c r="H60" s="15">
        <f>H59/1000*H57</f>
        <v>7.234249999999999E-2</v>
      </c>
      <c r="I60" s="15">
        <f>I59/1000*I57</f>
        <v>0.39997399999999994</v>
      </c>
      <c r="J60" s="16">
        <f>(I60+H60)*K16</f>
        <v>0.56677979999999983</v>
      </c>
      <c r="K60" s="9"/>
      <c r="L60" s="9"/>
      <c r="M60" s="15">
        <f>M59/1000*M57</f>
        <v>0.27285399999999999</v>
      </c>
      <c r="N60" s="15">
        <f>N59/1000*N57</f>
        <v>4.9345199999999999E-2</v>
      </c>
      <c r="O60" s="16">
        <f>(M60+N60)*O16</f>
        <v>0.51551871999999999</v>
      </c>
      <c r="P60" s="9"/>
      <c r="Q60" s="15">
        <f>Q59/1000*Q57</f>
        <v>4.9345199999999999E-2</v>
      </c>
      <c r="R60" s="15">
        <f>R59/1000*R57</f>
        <v>0.27285399999999999</v>
      </c>
      <c r="S60" s="16">
        <f>(R60+Q60)*O16</f>
        <v>0.51551871999999999</v>
      </c>
      <c r="X60" s="9"/>
      <c r="Y60" s="9"/>
      <c r="Z60" s="9"/>
    </row>
    <row r="61" spans="1:26" x14ac:dyDescent="0.15">
      <c r="E61" s="4"/>
      <c r="J61" s="9"/>
      <c r="K61" s="9"/>
      <c r="N61" s="9"/>
      <c r="O61" s="9"/>
      <c r="P61" s="9"/>
      <c r="Q61" s="9"/>
      <c r="R61" s="9"/>
      <c r="S61" s="9"/>
      <c r="X61" s="9"/>
      <c r="Y61" s="9"/>
      <c r="Z61" s="9"/>
    </row>
    <row r="62" spans="1:26" x14ac:dyDescent="0.15">
      <c r="A62" t="s">
        <v>45</v>
      </c>
      <c r="C62" s="17">
        <f>L14</f>
        <v>2125</v>
      </c>
      <c r="E62" s="4"/>
      <c r="G62" t="s">
        <v>45</v>
      </c>
      <c r="H62" s="17">
        <f>L14</f>
        <v>2125</v>
      </c>
      <c r="J62" s="9"/>
      <c r="K62" s="9"/>
      <c r="L62" t="s">
        <v>45</v>
      </c>
      <c r="M62" s="17">
        <f>P14</f>
        <v>2338</v>
      </c>
      <c r="N62" s="9"/>
      <c r="O62" s="9"/>
      <c r="P62" t="s">
        <v>45</v>
      </c>
      <c r="Q62" s="17">
        <f>P14</f>
        <v>2338</v>
      </c>
      <c r="R62" s="9"/>
      <c r="S62" s="9"/>
      <c r="X62" s="9"/>
      <c r="Y62" s="9"/>
      <c r="Z62" s="9"/>
    </row>
    <row r="63" spans="1:26" x14ac:dyDescent="0.15">
      <c r="A63" t="s">
        <v>44</v>
      </c>
      <c r="C63" s="17">
        <f>ROUND(C62*G25,0)</f>
        <v>2125</v>
      </c>
      <c r="E63" s="4"/>
      <c r="G63" t="s">
        <v>44</v>
      </c>
      <c r="H63" s="17">
        <f>ROUND(H62*G25,0)</f>
        <v>2125</v>
      </c>
      <c r="J63" s="9"/>
      <c r="K63" s="9"/>
      <c r="L63" t="s">
        <v>44</v>
      </c>
      <c r="M63" s="17">
        <f>ROUND(L14*G25,0)</f>
        <v>2125</v>
      </c>
      <c r="N63" s="9"/>
      <c r="O63" s="9"/>
      <c r="P63" t="s">
        <v>44</v>
      </c>
      <c r="Q63" s="17">
        <f>ROUND(T14*G25,0)</f>
        <v>5491</v>
      </c>
      <c r="R63" s="9"/>
      <c r="S63" s="9"/>
      <c r="X63" s="9"/>
      <c r="Y63" s="9"/>
      <c r="Z63" s="9"/>
    </row>
    <row r="64" spans="1:26" x14ac:dyDescent="0.15">
      <c r="A64" t="s">
        <v>46</v>
      </c>
      <c r="C64" s="17">
        <f>ROUND(C59*J25,0)</f>
        <v>881</v>
      </c>
      <c r="E64" s="4"/>
      <c r="G64" t="s">
        <v>46</v>
      </c>
      <c r="H64" s="17">
        <f>ROUND(H59*J25,0)</f>
        <v>475</v>
      </c>
      <c r="J64" s="9"/>
      <c r="K64" s="9"/>
      <c r="L64" t="s">
        <v>46</v>
      </c>
      <c r="M64" s="17">
        <f>ROUND(M59*J25,0)</f>
        <v>601</v>
      </c>
      <c r="N64" s="9"/>
      <c r="O64" s="9"/>
      <c r="P64" t="s">
        <v>46</v>
      </c>
      <c r="Q64" s="17">
        <f>ROUND(Q59*J25,0)</f>
        <v>324</v>
      </c>
      <c r="R64" s="9"/>
      <c r="S64" s="9"/>
      <c r="X64" s="9"/>
      <c r="Y64" s="9"/>
      <c r="Z64" s="9"/>
    </row>
    <row r="65" spans="1:44" x14ac:dyDescent="0.15">
      <c r="A65" t="s">
        <v>47</v>
      </c>
      <c r="C65" s="17">
        <f>ROUND(D59*M25,0)</f>
        <v>475</v>
      </c>
      <c r="E65" s="4"/>
      <c r="G65" t="s">
        <v>47</v>
      </c>
      <c r="H65" s="17">
        <f>ROUND(I59*M25,0)</f>
        <v>881</v>
      </c>
      <c r="J65" s="9"/>
      <c r="K65" s="9"/>
      <c r="L65" t="s">
        <v>47</v>
      </c>
      <c r="M65" s="17">
        <f>ROUND(N59*M25,0)</f>
        <v>324</v>
      </c>
      <c r="N65" s="9"/>
      <c r="O65" s="9"/>
      <c r="P65" t="s">
        <v>47</v>
      </c>
      <c r="Q65" s="17">
        <f>ROUND(R59*M25,0)</f>
        <v>601</v>
      </c>
      <c r="R65" s="9"/>
      <c r="S65" s="9"/>
      <c r="T65" s="9"/>
      <c r="U65" s="9"/>
      <c r="V65" s="9"/>
      <c r="W65" s="9"/>
      <c r="X65" s="9"/>
      <c r="Y65" s="9"/>
      <c r="Z65" s="9"/>
    </row>
    <row r="66" spans="1:44" x14ac:dyDescent="0.15">
      <c r="A66" t="s">
        <v>82</v>
      </c>
      <c r="E66" s="4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44" x14ac:dyDescent="0.15">
      <c r="B67" s="9"/>
      <c r="C67" s="9"/>
      <c r="D67" s="9"/>
      <c r="E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44" x14ac:dyDescent="0.15">
      <c r="C68">
        <v>50</v>
      </c>
      <c r="D68" s="7">
        <f>C68/100</f>
        <v>0.5</v>
      </c>
      <c r="E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44" x14ac:dyDescent="0.15">
      <c r="E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44" ht="14.25" thickBot="1" x14ac:dyDescent="0.2">
      <c r="E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44" x14ac:dyDescent="0.15">
      <c r="B71" s="26"/>
      <c r="C71" s="27"/>
      <c r="D71" s="27"/>
      <c r="E71" s="42"/>
      <c r="F71" s="28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44" x14ac:dyDescent="0.15">
      <c r="B72" s="29"/>
      <c r="C72" s="35" t="s">
        <v>51</v>
      </c>
      <c r="D72" s="35"/>
      <c r="E72" s="35"/>
      <c r="F72" s="31"/>
      <c r="J72" s="9"/>
      <c r="K72" s="9"/>
      <c r="L72" s="9"/>
      <c r="M72" s="9"/>
      <c r="N72" s="9"/>
      <c r="O72" s="9"/>
      <c r="P72" s="9"/>
      <c r="Q72" s="9"/>
      <c r="R72" s="9"/>
      <c r="S72" s="9"/>
    </row>
    <row r="73" spans="1:44" x14ac:dyDescent="0.15">
      <c r="B73" s="34"/>
      <c r="C73" s="35" t="s">
        <v>52</v>
      </c>
      <c r="D73" s="35" t="s">
        <v>53</v>
      </c>
      <c r="E73" s="35"/>
      <c r="F73" s="31"/>
      <c r="J73" s="9"/>
      <c r="K73" s="9"/>
      <c r="L73" s="9"/>
      <c r="M73" s="9"/>
      <c r="N73" s="9"/>
      <c r="O73" s="9"/>
      <c r="P73" s="9"/>
      <c r="Q73" s="9"/>
      <c r="R73" s="9"/>
      <c r="S73" s="9"/>
    </row>
    <row r="74" spans="1:44" x14ac:dyDescent="0.15">
      <c r="B74" s="34"/>
      <c r="C74" s="35">
        <v>8</v>
      </c>
      <c r="D74" s="35">
        <v>10</v>
      </c>
      <c r="E74" s="35"/>
      <c r="F74" s="31"/>
      <c r="J74" s="9"/>
      <c r="K74" s="9"/>
      <c r="L74" s="9"/>
      <c r="M74" s="9"/>
      <c r="N74" s="9"/>
      <c r="O74" s="9"/>
      <c r="P74" s="9"/>
      <c r="Q74" s="9"/>
      <c r="R74" s="9"/>
      <c r="S74" s="9"/>
    </row>
    <row r="75" spans="1:44" x14ac:dyDescent="0.15">
      <c r="B75" s="37">
        <v>0.5</v>
      </c>
      <c r="C75" s="43">
        <f>($B$26-1)*$C$25*(B75)+C74/100</f>
        <v>0.22699999999999998</v>
      </c>
      <c r="D75" s="44">
        <f>($B$26-1)*$C$25+D74/100</f>
        <v>0.39400000000000002</v>
      </c>
      <c r="E75" s="35"/>
      <c r="F75" s="31"/>
      <c r="J75" s="9"/>
      <c r="K75" s="9"/>
      <c r="L75" s="9"/>
      <c r="M75" s="9"/>
      <c r="N75" s="9"/>
      <c r="O75" s="9"/>
      <c r="P75" s="9"/>
      <c r="Q75" s="9"/>
      <c r="R75" s="9"/>
      <c r="S75" s="9"/>
    </row>
    <row r="76" spans="1:44" x14ac:dyDescent="0.15">
      <c r="B76" s="34"/>
      <c r="C76" s="35" t="s">
        <v>54</v>
      </c>
      <c r="D76" s="35" t="s">
        <v>55</v>
      </c>
      <c r="E76" s="35"/>
      <c r="F76" s="31"/>
      <c r="J76" s="9"/>
      <c r="K76" s="9"/>
      <c r="L76" s="9"/>
      <c r="M76" s="9"/>
      <c r="N76" s="9"/>
      <c r="O76" s="9"/>
      <c r="P76" s="9"/>
      <c r="Q76" s="9"/>
      <c r="R76" s="9"/>
      <c r="S76" s="9"/>
    </row>
    <row r="77" spans="1:44" x14ac:dyDescent="0.15">
      <c r="B77" s="34"/>
      <c r="C77" s="35">
        <f>ROUND(T12*D68,0)</f>
        <v>330</v>
      </c>
      <c r="D77" s="35">
        <f>ROUND((1-D68)*T12,0)</f>
        <v>330</v>
      </c>
      <c r="E77" s="35"/>
      <c r="F77" s="31"/>
      <c r="J77" s="9"/>
      <c r="K77" s="9"/>
      <c r="L77" s="9"/>
      <c r="M77" s="9"/>
      <c r="N77" s="9"/>
      <c r="O77" s="9"/>
      <c r="P77" s="9"/>
      <c r="Q77" s="9"/>
      <c r="R77" s="9"/>
      <c r="S77" s="9"/>
    </row>
    <row r="78" spans="1:44" x14ac:dyDescent="0.15">
      <c r="B78" s="34"/>
      <c r="C78" s="45">
        <f>C77/1000*C75</f>
        <v>7.490999999999999E-2</v>
      </c>
      <c r="D78" s="45">
        <f>D77/1000*D75</f>
        <v>0.13002000000000002</v>
      </c>
      <c r="E78" s="47">
        <f>C78+D78</f>
        <v>0.20493</v>
      </c>
      <c r="F78" s="31"/>
      <c r="G78" t="s">
        <v>113</v>
      </c>
      <c r="J78" s="9"/>
      <c r="K78" s="9"/>
      <c r="L78" s="9"/>
      <c r="M78" s="9"/>
      <c r="N78" s="9"/>
      <c r="O78" s="9"/>
      <c r="P78" s="9"/>
      <c r="Q78" s="9"/>
      <c r="R78" s="9"/>
      <c r="S78" s="9"/>
    </row>
    <row r="79" spans="1:44" x14ac:dyDescent="0.15">
      <c r="B79" s="34"/>
      <c r="C79" s="35"/>
      <c r="D79" s="35"/>
      <c r="E79" s="35"/>
      <c r="F79" s="31"/>
      <c r="J79" s="9"/>
      <c r="K79" s="9"/>
      <c r="L79" s="9"/>
      <c r="M79" s="9"/>
      <c r="N79" s="9"/>
      <c r="O79" s="9"/>
      <c r="P79" s="9"/>
      <c r="Q79" s="9"/>
      <c r="R79" s="9"/>
      <c r="S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</row>
    <row r="80" spans="1:44" x14ac:dyDescent="0.15">
      <c r="A80" t="s">
        <v>83</v>
      </c>
      <c r="B80" s="34"/>
      <c r="C80" s="33">
        <f>T14</f>
        <v>5491</v>
      </c>
      <c r="D80" s="35"/>
      <c r="E80" s="35"/>
      <c r="F80" s="31"/>
      <c r="J80" s="9"/>
      <c r="K80" s="9"/>
      <c r="L80" s="9"/>
      <c r="M80" s="9"/>
      <c r="N80" s="9"/>
      <c r="O80" s="9"/>
      <c r="P80" s="9"/>
      <c r="Q80" s="9"/>
      <c r="R80" s="9"/>
      <c r="S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</row>
    <row r="81" spans="1:44" x14ac:dyDescent="0.15">
      <c r="A81" t="s">
        <v>84</v>
      </c>
      <c r="B81" s="34"/>
      <c r="C81" s="33">
        <f>ROUND(C80*G25,0)</f>
        <v>5491</v>
      </c>
      <c r="D81" s="35"/>
      <c r="E81" s="35"/>
      <c r="F81" s="31"/>
      <c r="J81" s="9"/>
      <c r="K81" s="9"/>
      <c r="L81" s="9"/>
      <c r="M81" s="9"/>
      <c r="N81" s="9"/>
      <c r="O81" s="9"/>
      <c r="P81" s="9"/>
      <c r="Q81" s="9"/>
      <c r="R81" s="9"/>
      <c r="S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</row>
    <row r="82" spans="1:44" x14ac:dyDescent="0.15">
      <c r="A82" t="s">
        <v>85</v>
      </c>
      <c r="B82" s="34"/>
      <c r="C82" s="33">
        <f>C77</f>
        <v>330</v>
      </c>
      <c r="D82" s="35"/>
      <c r="E82" s="35"/>
      <c r="F82" s="31"/>
      <c r="J82" s="9"/>
      <c r="K82" s="9"/>
      <c r="L82" s="9"/>
      <c r="M82" s="9"/>
      <c r="N82" s="9"/>
      <c r="O82" s="9"/>
      <c r="P82" s="9"/>
      <c r="Q82" s="9"/>
      <c r="R82" s="9"/>
      <c r="S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</row>
    <row r="83" spans="1:44" x14ac:dyDescent="0.15">
      <c r="A83" t="s">
        <v>86</v>
      </c>
      <c r="B83" s="34"/>
      <c r="C83" s="33">
        <f>D77</f>
        <v>330</v>
      </c>
      <c r="D83" s="35"/>
      <c r="E83" s="35"/>
      <c r="F83" s="31"/>
      <c r="J83" s="9"/>
      <c r="K83" s="9"/>
      <c r="L83" s="9"/>
      <c r="M83" s="9"/>
      <c r="N83" s="9"/>
      <c r="O83" s="9"/>
      <c r="P83" s="9"/>
      <c r="Q83" s="9"/>
      <c r="R83" s="9"/>
      <c r="S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</row>
    <row r="84" spans="1:44" x14ac:dyDescent="0.15">
      <c r="A84" t="s">
        <v>87</v>
      </c>
      <c r="B84" s="29"/>
      <c r="C84" s="33">
        <f>T13</f>
        <v>1704</v>
      </c>
      <c r="D84" s="30"/>
      <c r="E84" s="30"/>
      <c r="F84" s="31"/>
      <c r="J84" s="9"/>
      <c r="K84" s="9"/>
      <c r="L84" s="9"/>
      <c r="M84" s="9"/>
      <c r="N84" s="9"/>
      <c r="O84" s="9"/>
      <c r="P84" s="9"/>
      <c r="Q84" s="9"/>
      <c r="R84" s="9"/>
      <c r="S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</row>
    <row r="85" spans="1:44" x14ac:dyDescent="0.15">
      <c r="B85" s="29"/>
      <c r="C85" s="30"/>
      <c r="D85" s="30"/>
      <c r="E85" s="30"/>
      <c r="F85" s="31"/>
      <c r="L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</row>
    <row r="86" spans="1:44" ht="14.25" thickBot="1" x14ac:dyDescent="0.2">
      <c r="B86" s="39"/>
      <c r="C86" s="40"/>
      <c r="D86" s="40"/>
      <c r="E86" s="40"/>
      <c r="F86" s="41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</row>
    <row r="87" spans="1:44" x14ac:dyDescent="0.15">
      <c r="K87" s="23" t="s">
        <v>97</v>
      </c>
      <c r="N87" s="23" t="s">
        <v>2</v>
      </c>
      <c r="Z87" s="9"/>
      <c r="AA87" s="10"/>
      <c r="AB87" s="13"/>
      <c r="AC87" s="13"/>
      <c r="AD87" s="13"/>
      <c r="AE87" s="9"/>
      <c r="AF87" s="10"/>
      <c r="AG87" s="13"/>
      <c r="AH87" s="14"/>
      <c r="AI87" s="9"/>
      <c r="AJ87" s="9"/>
      <c r="AK87" s="10"/>
      <c r="AL87" s="13"/>
      <c r="AM87" s="13"/>
      <c r="AN87" s="9"/>
      <c r="AO87" s="10"/>
      <c r="AP87" s="13"/>
      <c r="AQ87" s="14"/>
      <c r="AR87" s="9"/>
    </row>
    <row r="88" spans="1:44" x14ac:dyDescent="0.15"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</row>
    <row r="89" spans="1:44" x14ac:dyDescent="0.15"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</row>
    <row r="90" spans="1:44" x14ac:dyDescent="0.15"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</row>
    <row r="197" spans="3:3" x14ac:dyDescent="0.15">
      <c r="C197" s="1"/>
    </row>
  </sheetData>
  <phoneticPr fontId="1" type="noConversion"/>
  <hyperlinks>
    <hyperlink ref="N87" location="战斗验证!A1" display="简单战斗模拟"/>
    <hyperlink ref="K87" location="属性拆分方式!A1" display="属性拆分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47625</xdr:colOff>
                    <xdr:row>4</xdr:row>
                    <xdr:rowOff>0</xdr:rowOff>
                  </from>
                  <to>
                    <xdr:col>2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2</xdr:col>
                    <xdr:colOff>47625</xdr:colOff>
                    <xdr:row>6</xdr:row>
                    <xdr:rowOff>0</xdr:rowOff>
                  </from>
                  <to>
                    <xdr:col>2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>
                <anchor moveWithCells="1">
                  <from>
                    <xdr:col>2</xdr:col>
                    <xdr:colOff>47625</xdr:colOff>
                    <xdr:row>8</xdr:row>
                    <xdr:rowOff>0</xdr:rowOff>
                  </from>
                  <to>
                    <xdr:col>2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croll Bar 4">
              <controlPr defaultSize="0" autoPict="0">
                <anchor moveWithCells="1">
                  <from>
                    <xdr:col>6</xdr:col>
                    <xdr:colOff>47625</xdr:colOff>
                    <xdr:row>4</xdr:row>
                    <xdr:rowOff>0</xdr:rowOff>
                  </from>
                  <to>
                    <xdr:col>6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croll Bar 5">
              <controlPr defaultSize="0" autoPict="0">
                <anchor moveWithCells="1">
                  <from>
                    <xdr:col>6</xdr:col>
                    <xdr:colOff>47625</xdr:colOff>
                    <xdr:row>6</xdr:row>
                    <xdr:rowOff>0</xdr:rowOff>
                  </from>
                  <to>
                    <xdr:col>6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croll Bar 6">
              <controlPr defaultSize="0" autoPict="0">
                <anchor moveWithCells="1">
                  <from>
                    <xdr:col>6</xdr:col>
                    <xdr:colOff>47625</xdr:colOff>
                    <xdr:row>8</xdr:row>
                    <xdr:rowOff>0</xdr:rowOff>
                  </from>
                  <to>
                    <xdr:col>6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Scroll Bar 7">
              <controlPr defaultSize="0" autoPict="0">
                <anchor moveWithCells="1">
                  <from>
                    <xdr:col>10</xdr:col>
                    <xdr:colOff>47625</xdr:colOff>
                    <xdr:row>4</xdr:row>
                    <xdr:rowOff>0</xdr:rowOff>
                  </from>
                  <to>
                    <xdr:col>10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Scroll Bar 8">
              <controlPr defaultSize="0" autoPict="0">
                <anchor moveWithCells="1">
                  <from>
                    <xdr:col>10</xdr:col>
                    <xdr:colOff>47625</xdr:colOff>
                    <xdr:row>6</xdr:row>
                    <xdr:rowOff>0</xdr:rowOff>
                  </from>
                  <to>
                    <xdr:col>10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Scroll Bar 9">
              <controlPr defaultSize="0" autoPict="0">
                <anchor moveWithCells="1">
                  <from>
                    <xdr:col>10</xdr:col>
                    <xdr:colOff>47625</xdr:colOff>
                    <xdr:row>8</xdr:row>
                    <xdr:rowOff>0</xdr:rowOff>
                  </from>
                  <to>
                    <xdr:col>10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Scroll Bar 10">
              <controlPr defaultSize="0" autoPict="0">
                <anchor moveWithCells="1">
                  <from>
                    <xdr:col>14</xdr:col>
                    <xdr:colOff>47625</xdr:colOff>
                    <xdr:row>4</xdr:row>
                    <xdr:rowOff>0</xdr:rowOff>
                  </from>
                  <to>
                    <xdr:col>14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Scroll Bar 11">
              <controlPr defaultSize="0" autoPict="0">
                <anchor moveWithCells="1">
                  <from>
                    <xdr:col>14</xdr:col>
                    <xdr:colOff>47625</xdr:colOff>
                    <xdr:row>6</xdr:row>
                    <xdr:rowOff>0</xdr:rowOff>
                  </from>
                  <to>
                    <xdr:col>14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Scroll Bar 12">
              <controlPr defaultSize="0" autoPict="0">
                <anchor moveWithCells="1">
                  <from>
                    <xdr:col>14</xdr:col>
                    <xdr:colOff>47625</xdr:colOff>
                    <xdr:row>8</xdr:row>
                    <xdr:rowOff>0</xdr:rowOff>
                  </from>
                  <to>
                    <xdr:col>14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Scroll Bar 13">
              <controlPr defaultSize="0" autoPict="0">
                <anchor moveWithCells="1">
                  <from>
                    <xdr:col>18</xdr:col>
                    <xdr:colOff>47625</xdr:colOff>
                    <xdr:row>4</xdr:row>
                    <xdr:rowOff>0</xdr:rowOff>
                  </from>
                  <to>
                    <xdr:col>18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Scroll Bar 14">
              <controlPr defaultSize="0" autoPict="0">
                <anchor moveWithCells="1">
                  <from>
                    <xdr:col>18</xdr:col>
                    <xdr:colOff>47625</xdr:colOff>
                    <xdr:row>6</xdr:row>
                    <xdr:rowOff>0</xdr:rowOff>
                  </from>
                  <to>
                    <xdr:col>18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Scroll Bar 15">
              <controlPr defaultSize="0" autoPict="0">
                <anchor moveWithCells="1">
                  <from>
                    <xdr:col>18</xdr:col>
                    <xdr:colOff>47625</xdr:colOff>
                    <xdr:row>8</xdr:row>
                    <xdr:rowOff>0</xdr:rowOff>
                  </from>
                  <to>
                    <xdr:col>18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Scroll Bar 16">
              <controlPr defaultSize="0" autoPict="0">
                <anchor moveWithCells="1">
                  <from>
                    <xdr:col>0</xdr:col>
                    <xdr:colOff>47625</xdr:colOff>
                    <xdr:row>24</xdr:row>
                    <xdr:rowOff>0</xdr:rowOff>
                  </from>
                  <to>
                    <xdr:col>1</xdr:col>
                    <xdr:colOff>723900</xdr:colOff>
                    <xdr:row>24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Scroll Bar 17">
              <controlPr defaultSize="0" autoPict="0">
                <anchor moveWithCells="1">
                  <from>
                    <xdr:col>3</xdr:col>
                    <xdr:colOff>19050</xdr:colOff>
                    <xdr:row>49</xdr:row>
                    <xdr:rowOff>28575</xdr:rowOff>
                  </from>
                  <to>
                    <xdr:col>3</xdr:col>
                    <xdr:colOff>676275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Scroll Bar 19">
              <controlPr defaultSize="0" autoPict="0">
                <anchor moveWithCells="1">
                  <from>
                    <xdr:col>3</xdr:col>
                    <xdr:colOff>19050</xdr:colOff>
                    <xdr:row>27</xdr:row>
                    <xdr:rowOff>19050</xdr:rowOff>
                  </from>
                  <to>
                    <xdr:col>3</xdr:col>
                    <xdr:colOff>676275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Scroll Bar 20">
              <controlPr defaultSize="0" autoPict="0">
                <anchor moveWithCells="1">
                  <from>
                    <xdr:col>2</xdr:col>
                    <xdr:colOff>19050</xdr:colOff>
                    <xdr:row>66</xdr:row>
                    <xdr:rowOff>152400</xdr:rowOff>
                  </from>
                  <to>
                    <xdr:col>3</xdr:col>
                    <xdr:colOff>66675</xdr:colOff>
                    <xdr:row>67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72"/>
  <sheetViews>
    <sheetView zoomScale="85" zoomScaleNormal="85" workbookViewId="0">
      <selection activeCell="E5" sqref="E5"/>
    </sheetView>
  </sheetViews>
  <sheetFormatPr defaultRowHeight="13.5" x14ac:dyDescent="0.15"/>
  <cols>
    <col min="5" max="5" width="12.75" bestFit="1" customWidth="1"/>
    <col min="6" max="6" width="12" customWidth="1"/>
    <col min="7" max="7" width="13" customWidth="1"/>
    <col min="9" max="9" width="8.875" customWidth="1"/>
    <col min="10" max="11" width="10.125" customWidth="1"/>
    <col min="12" max="12" width="9.5" bestFit="1" customWidth="1"/>
  </cols>
  <sheetData>
    <row r="1" spans="2:24" x14ac:dyDescent="0.15">
      <c r="X1" s="55"/>
    </row>
    <row r="2" spans="2:24" x14ac:dyDescent="0.15">
      <c r="B2" t="s">
        <v>0</v>
      </c>
      <c r="D2" t="s">
        <v>56</v>
      </c>
      <c r="E2" t="s">
        <v>99</v>
      </c>
      <c r="F2" t="s">
        <v>61</v>
      </c>
      <c r="G2" t="s">
        <v>95</v>
      </c>
      <c r="H2" s="48" t="s">
        <v>57</v>
      </c>
      <c r="I2" s="48" t="s">
        <v>58</v>
      </c>
      <c r="J2" s="48" t="s">
        <v>59</v>
      </c>
      <c r="K2" s="48" t="s">
        <v>93</v>
      </c>
      <c r="L2" s="48" t="s">
        <v>60</v>
      </c>
      <c r="M2" s="48" t="s">
        <v>92</v>
      </c>
      <c r="O2" t="s">
        <v>144</v>
      </c>
      <c r="P2">
        <v>10</v>
      </c>
      <c r="Q2" t="s">
        <v>114</v>
      </c>
      <c r="R2">
        <f>[2]基础系数!$E$72/[2]基础系数!$D$72</f>
        <v>1.1110000000000002</v>
      </c>
    </row>
    <row r="3" spans="2:24" x14ac:dyDescent="0.15">
      <c r="C3">
        <v>1</v>
      </c>
      <c r="D3" s="7">
        <v>1</v>
      </c>
      <c r="F3" s="7">
        <v>0.05</v>
      </c>
      <c r="G3" s="24">
        <f>SUM(D3:F3)</f>
        <v>1.05</v>
      </c>
      <c r="H3" s="49">
        <v>0.5</v>
      </c>
      <c r="I3" s="50">
        <f>[2]基础系数!$F$47-[2]基础系数!$E$47</f>
        <v>0.25</v>
      </c>
      <c r="J3" s="50">
        <f>[2]基础系数!$G$48-[2]基础系数!$F$48</f>
        <v>3.7500000000000089E-2</v>
      </c>
      <c r="K3" s="50">
        <f>SUM(G3:J3)</f>
        <v>1.8375000000000001</v>
      </c>
      <c r="L3" s="50"/>
      <c r="M3" s="48"/>
      <c r="P3">
        <v>15</v>
      </c>
      <c r="Q3" t="s">
        <v>115</v>
      </c>
      <c r="R3">
        <f>[2]基础系数!$F$72/[2]基础系数!$D$72</f>
        <v>1.2110000000000003</v>
      </c>
    </row>
    <row r="4" spans="2:24" x14ac:dyDescent="0.15">
      <c r="C4">
        <v>10</v>
      </c>
      <c r="D4" s="7">
        <v>1.1399999999999999</v>
      </c>
      <c r="E4" s="7">
        <f>D4*([2]基础系数!$E$72-[2]基础系数!$D$72)</f>
        <v>6.3270000000000118E-2</v>
      </c>
      <c r="F4" s="4">
        <f>D4*$F$3+F3</f>
        <v>0.107</v>
      </c>
      <c r="G4" s="24">
        <f>SUM(D4:F4)</f>
        <v>1.31027</v>
      </c>
      <c r="H4" s="50">
        <f>[2]基础系数!$G$47*D4</f>
        <v>0.89775000000000005</v>
      </c>
      <c r="I4" s="50">
        <f>([2]基础系数!$H$47-[2]基础系数!$G$47)*D4</f>
        <v>0.44887500000000002</v>
      </c>
      <c r="J4" s="50">
        <f>[2]基础系数!$I$48-[2]基础系数!$H$48</f>
        <v>5.9062499999999574E-2</v>
      </c>
      <c r="K4" s="50">
        <f t="shared" ref="K4:K7" si="0">SUM(G4:J4)</f>
        <v>2.7159575</v>
      </c>
      <c r="L4" s="50">
        <f>I3</f>
        <v>0.25</v>
      </c>
      <c r="M4" s="48">
        <v>1</v>
      </c>
      <c r="P4">
        <v>20</v>
      </c>
      <c r="Q4" t="s">
        <v>131</v>
      </c>
      <c r="R4">
        <f>[2]基础系数!G$72/[2]基础系数!$D$72</f>
        <v>1.4392200000000004</v>
      </c>
    </row>
    <row r="5" spans="2:24" x14ac:dyDescent="0.15">
      <c r="C5">
        <v>20</v>
      </c>
      <c r="D5" s="7">
        <v>1.28</v>
      </c>
      <c r="E5" s="4">
        <f>$E$4*(R4/$R$2)</f>
        <v>8.1961700630063167E-2</v>
      </c>
      <c r="F5" s="4">
        <f>D5*$F$3+F4</f>
        <v>0.17099999999999999</v>
      </c>
      <c r="G5" s="24">
        <f>SUM(D5:F5)</f>
        <v>1.5329617006300633</v>
      </c>
      <c r="H5" s="50">
        <f>D5*[2]基础系数!$I$47</f>
        <v>1.5876000000000001</v>
      </c>
      <c r="I5" s="50">
        <f>D5*([2]基础系数!$J$47-[2]基础系数!$I$47)</f>
        <v>0.79380000000000028</v>
      </c>
      <c r="J5" s="50">
        <f>[2]基础系数!$K$48-[2]基础系数!$J$48</f>
        <v>9.3023437499999861E-2</v>
      </c>
      <c r="K5" s="50">
        <f t="shared" si="0"/>
        <v>4.0073851381300631</v>
      </c>
      <c r="L5" s="50">
        <f>H5*(I5+J5+L4*2)</f>
        <v>2.2017208893750002</v>
      </c>
      <c r="M5" s="48">
        <v>2</v>
      </c>
      <c r="P5">
        <v>25</v>
      </c>
      <c r="Q5" t="s">
        <v>132</v>
      </c>
      <c r="R5">
        <f>[2]基础系数!H$72/[2]基础系数!$D$72</f>
        <v>1.6392200000000003</v>
      </c>
    </row>
    <row r="6" spans="2:24" x14ac:dyDescent="0.15">
      <c r="C6">
        <v>30</v>
      </c>
      <c r="D6" s="7">
        <v>1.42</v>
      </c>
      <c r="E6" s="4">
        <f>(R6/$R$2)*$E$4</f>
        <v>0.10474117857785797</v>
      </c>
      <c r="F6" s="4">
        <f>D6*$F$3+F5</f>
        <v>0.24199999999999999</v>
      </c>
      <c r="G6" s="24">
        <f>SUM(D6:F6)</f>
        <v>1.766741178577858</v>
      </c>
      <c r="H6" s="50">
        <f>D6*([2]基础系数!$K$47)</f>
        <v>2.7739589062500003</v>
      </c>
      <c r="I6" s="50">
        <f>([2]基础系数!$L$47-[2]基础系数!$K$47)*D6</f>
        <v>1.3869794531250004</v>
      </c>
      <c r="J6" s="50">
        <f>[2]基础系数!$M$48-[2]基础系数!$L$48</f>
        <v>0.14651191406250019</v>
      </c>
      <c r="K6" s="50">
        <f t="shared" si="0"/>
        <v>6.0741914520153593</v>
      </c>
      <c r="L6" s="50">
        <f>H6*(I6+J6+L5*3)</f>
        <v>22.57629184614262</v>
      </c>
      <c r="M6" s="48">
        <v>3</v>
      </c>
      <c r="P6">
        <v>30</v>
      </c>
      <c r="Q6" t="s">
        <v>133</v>
      </c>
      <c r="R6">
        <f>[2]基础系数!I$72/[2]基础系数!$D$72</f>
        <v>1.8392200000000003</v>
      </c>
    </row>
    <row r="7" spans="2:24" x14ac:dyDescent="0.15">
      <c r="C7">
        <v>40</v>
      </c>
      <c r="D7" s="7">
        <v>1.56</v>
      </c>
      <c r="E7" s="4">
        <f>$E$4*(R8/$R$2)</f>
        <v>0.14256516911071132</v>
      </c>
      <c r="F7" s="4">
        <f>D7*$F$3+F6</f>
        <v>0.32</v>
      </c>
      <c r="G7" s="24">
        <f>SUM(D7:F7)</f>
        <v>2.0225651691107114</v>
      </c>
      <c r="H7" s="50">
        <f>D7*([2]基础系数!$M$47)</f>
        <v>4.7997303046875013</v>
      </c>
      <c r="I7" s="50">
        <f>([2]基础系数!$N$47-[2]基础系数!$M$47)*D7</f>
        <v>2.3998651523437506</v>
      </c>
      <c r="J7" s="50">
        <f>[2]基础系数!$O$48-[2]基础系数!$N$48</f>
        <v>0.23075626464843779</v>
      </c>
      <c r="K7" s="50">
        <f t="shared" si="0"/>
        <v>9.4529168907904015</v>
      </c>
      <c r="L7" s="50"/>
      <c r="M7" s="48">
        <v>4</v>
      </c>
      <c r="P7">
        <v>35</v>
      </c>
      <c r="Q7" t="s">
        <v>134</v>
      </c>
      <c r="R7">
        <f>[2]基础系数!J$72/[2]基础系数!$D$72</f>
        <v>2.2033966000000005</v>
      </c>
    </row>
    <row r="8" spans="2:24" x14ac:dyDescent="0.15">
      <c r="C8">
        <v>50</v>
      </c>
      <c r="D8" s="7">
        <v>1.7</v>
      </c>
      <c r="E8" s="4">
        <f>(R10/$R$2)*$E$4</f>
        <v>0.18242925551935224</v>
      </c>
      <c r="F8" s="4">
        <f>D8*$F$3+F7</f>
        <v>0.40500000000000003</v>
      </c>
      <c r="G8" s="24">
        <f>SUM(D8:F8)</f>
        <v>2.2874292555193523</v>
      </c>
      <c r="H8" s="50">
        <f>D8*([2]基础系数!$O$47)</f>
        <v>8.2379986479492207</v>
      </c>
      <c r="I8" s="50">
        <f>([2]基础系数!$L$47-[2]基础系数!$K$47)*D8</f>
        <v>1.6604683593750005</v>
      </c>
      <c r="J8" s="50">
        <f>[2]基础系数!$M$48-[2]基础系数!$L$48</f>
        <v>0.14651191406250019</v>
      </c>
      <c r="K8" s="50">
        <f t="shared" ref="K8" si="1">SUM(G8:J8)</f>
        <v>12.332408176906075</v>
      </c>
      <c r="L8" s="50"/>
      <c r="M8" s="48"/>
      <c r="P8">
        <v>40</v>
      </c>
      <c r="Q8" t="s">
        <v>135</v>
      </c>
      <c r="R8">
        <f>[2]基础系数!K$72/[2]基础系数!$D$72</f>
        <v>2.5033966000000003</v>
      </c>
    </row>
    <row r="9" spans="2:24" x14ac:dyDescent="0.15">
      <c r="C9">
        <v>60</v>
      </c>
      <c r="D9" s="7">
        <v>1.84</v>
      </c>
      <c r="E9" s="4">
        <f>D8*$E$4+E8</f>
        <v>0.28998825551935242</v>
      </c>
      <c r="F9" s="4">
        <f t="shared" ref="F9:F15" si="2">D9*$F$3+F8</f>
        <v>0.49700000000000005</v>
      </c>
      <c r="G9" s="24">
        <f t="shared" ref="G9:G15" si="3">SUM(D9:F9)</f>
        <v>2.6269882555193522</v>
      </c>
      <c r="H9" s="50">
        <f>D9*([2]基础系数!$M$47)</f>
        <v>5.6612203593750019</v>
      </c>
      <c r="I9" s="50">
        <f>([2]基础系数!$N$47-[2]基础系数!$M$47)*D9</f>
        <v>2.8306101796875009</v>
      </c>
      <c r="J9" s="50">
        <f>[2]基础系数!$O$48-[2]基础系数!$N$48</f>
        <v>0.23075626464843779</v>
      </c>
      <c r="K9" s="50">
        <f t="shared" ref="K9:K15" si="4">SUM(G9:J9)</f>
        <v>11.349575059230293</v>
      </c>
      <c r="L9" s="50"/>
      <c r="M9" s="48">
        <v>5</v>
      </c>
      <c r="P9">
        <v>45</v>
      </c>
      <c r="Q9" t="s">
        <v>136</v>
      </c>
      <c r="R9">
        <f>[2]基础系数!L$72/[2]基础系数!$D$72</f>
        <v>2.8033966000000001</v>
      </c>
    </row>
    <row r="10" spans="2:24" x14ac:dyDescent="0.15">
      <c r="C10">
        <v>70</v>
      </c>
      <c r="D10" s="7">
        <v>1.98</v>
      </c>
      <c r="E10" s="4">
        <f>D9*$E$4+E9</f>
        <v>0.40640505551935263</v>
      </c>
      <c r="F10" s="4">
        <f t="shared" si="2"/>
        <v>0.59600000000000009</v>
      </c>
      <c r="G10" s="24">
        <f t="shared" si="3"/>
        <v>2.9824050555193526</v>
      </c>
      <c r="H10" s="50">
        <f>D10*([2]基础系数!$O$47)</f>
        <v>9.5948454840820343</v>
      </c>
      <c r="I10" s="50">
        <f>([2]基础系数!$L$47-[2]基础系数!$K$47)*D10</f>
        <v>1.9339572656250006</v>
      </c>
      <c r="J10" s="50">
        <f>[2]基础系数!$M$48-[2]基础系数!$L$48</f>
        <v>0.14651191406250019</v>
      </c>
      <c r="K10" s="50">
        <f t="shared" ref="K10:K15" si="5">SUM(G10:J10)</f>
        <v>14.657719719288888</v>
      </c>
      <c r="L10" s="50"/>
      <c r="M10" s="48"/>
      <c r="P10">
        <v>50</v>
      </c>
      <c r="Q10" t="s">
        <v>137</v>
      </c>
      <c r="R10">
        <f>[2]基础系数!M$72/[2]基础系数!$D$72</f>
        <v>3.2033966</v>
      </c>
    </row>
    <row r="11" spans="2:24" x14ac:dyDescent="0.15">
      <c r="C11">
        <v>80</v>
      </c>
      <c r="D11" s="7">
        <v>2.12</v>
      </c>
      <c r="E11" s="4">
        <f>D10*$E$4+E10</f>
        <v>0.53167965551935281</v>
      </c>
      <c r="F11" s="4">
        <f t="shared" si="2"/>
        <v>0.70200000000000007</v>
      </c>
      <c r="G11" s="24">
        <f t="shared" si="3"/>
        <v>3.3536796555193531</v>
      </c>
      <c r="H11" s="50">
        <f>D11*([2]基础系数!$M$47)</f>
        <v>6.5227104140625025</v>
      </c>
      <c r="I11" s="50">
        <f>([2]基础系数!$N$47-[2]基础系数!$M$47)*D11</f>
        <v>3.2613552070312513</v>
      </c>
      <c r="J11" s="50">
        <f>[2]基础系数!$O$48-[2]基础系数!$N$48</f>
        <v>0.23075626464843779</v>
      </c>
      <c r="K11" s="50">
        <f t="shared" ref="K11:K15" si="6">SUM(G11:J11)</f>
        <v>13.368501541261544</v>
      </c>
      <c r="L11" s="50"/>
      <c r="M11" s="48">
        <v>6</v>
      </c>
      <c r="P11" s="54">
        <v>55</v>
      </c>
      <c r="Q11" s="54" t="s">
        <v>138</v>
      </c>
    </row>
    <row r="12" spans="2:24" x14ac:dyDescent="0.15">
      <c r="C12">
        <v>90</v>
      </c>
      <c r="D12" s="7">
        <v>2.2599999999999998</v>
      </c>
      <c r="E12" s="4">
        <f>D11*$E$4+E11</f>
        <v>0.66581205551935307</v>
      </c>
      <c r="F12" s="4">
        <f t="shared" si="2"/>
        <v>0.81500000000000006</v>
      </c>
      <c r="G12" s="24">
        <f t="shared" si="3"/>
        <v>3.7408120555193527</v>
      </c>
      <c r="H12" s="50">
        <f>D12*([2]基础系数!$O$47)</f>
        <v>10.951692320214846</v>
      </c>
      <c r="I12" s="50">
        <f>([2]基础系数!$L$47-[2]基础系数!$K$47)*D12</f>
        <v>2.2074461718750005</v>
      </c>
      <c r="J12" s="50">
        <f>[2]基础系数!$M$48-[2]基础系数!$L$48</f>
        <v>0.14651191406250019</v>
      </c>
      <c r="K12" s="50">
        <f t="shared" ref="K12:K15" si="7">SUM(G12:J12)</f>
        <v>17.046462461671702</v>
      </c>
      <c r="L12" s="50"/>
      <c r="M12" s="48"/>
      <c r="P12" s="54">
        <v>60</v>
      </c>
      <c r="Q12" s="54" t="s">
        <v>139</v>
      </c>
    </row>
    <row r="13" spans="2:24" x14ac:dyDescent="0.15">
      <c r="C13">
        <v>100</v>
      </c>
      <c r="D13" s="7">
        <v>2.4</v>
      </c>
      <c r="E13" s="4">
        <f>D12*$E$4+E12</f>
        <v>0.80880225551935336</v>
      </c>
      <c r="F13" s="4">
        <f t="shared" si="2"/>
        <v>0.93500000000000005</v>
      </c>
      <c r="G13" s="24">
        <f t="shared" si="3"/>
        <v>4.1438022555193532</v>
      </c>
      <c r="H13" s="50">
        <f>D13*([2]基础系数!$M$47)</f>
        <v>7.3842004687500022</v>
      </c>
      <c r="I13" s="50">
        <f>([2]基础系数!$N$47-[2]基础系数!$M$47)*D13</f>
        <v>3.6921002343750011</v>
      </c>
      <c r="J13" s="50">
        <f>[2]基础系数!$O$48-[2]基础系数!$N$48</f>
        <v>0.23075626464843779</v>
      </c>
      <c r="K13" s="50">
        <f t="shared" ref="K13:K15" si="8">SUM(G13:J13)</f>
        <v>15.450859223292795</v>
      </c>
      <c r="L13" s="50"/>
      <c r="M13" s="48">
        <v>7</v>
      </c>
      <c r="P13" s="54">
        <v>65</v>
      </c>
      <c r="Q13" s="54" t="s">
        <v>140</v>
      </c>
    </row>
    <row r="14" spans="2:24" x14ac:dyDescent="0.15">
      <c r="D14" s="7"/>
      <c r="E14" s="4">
        <f>D13*$E$4+E13</f>
        <v>0.96065025551935368</v>
      </c>
      <c r="F14" s="46"/>
      <c r="G14" s="24"/>
      <c r="H14" s="50"/>
      <c r="I14" s="50"/>
      <c r="J14" s="50"/>
      <c r="K14" s="50"/>
      <c r="L14" s="50"/>
      <c r="M14" s="48"/>
      <c r="P14" s="54">
        <v>70</v>
      </c>
      <c r="Q14" s="54" t="s">
        <v>141</v>
      </c>
    </row>
    <row r="15" spans="2:24" x14ac:dyDescent="0.15">
      <c r="D15" s="7"/>
      <c r="E15" s="46"/>
      <c r="F15" s="46"/>
      <c r="G15" s="24"/>
      <c r="H15" s="50"/>
      <c r="I15" s="50"/>
      <c r="J15" s="50"/>
      <c r="K15" s="50"/>
      <c r="L15" s="50"/>
      <c r="M15" s="48"/>
      <c r="P15" s="54">
        <v>75</v>
      </c>
      <c r="Q15" s="54" t="s">
        <v>142</v>
      </c>
    </row>
    <row r="16" spans="2:24" x14ac:dyDescent="0.15">
      <c r="D16" s="1"/>
      <c r="E16" s="1"/>
      <c r="F16" s="1"/>
      <c r="G16" s="1"/>
      <c r="H16" s="1"/>
      <c r="I16" s="4"/>
      <c r="L16" s="4"/>
      <c r="P16" s="54">
        <v>80</v>
      </c>
      <c r="Q16" s="54" t="s">
        <v>143</v>
      </c>
    </row>
    <row r="17" spans="1:17" x14ac:dyDescent="0.15">
      <c r="D17" s="1"/>
      <c r="E17" s="1"/>
      <c r="F17" s="1"/>
      <c r="G17" s="1"/>
      <c r="H17" s="1"/>
      <c r="I17" s="4"/>
      <c r="L17" s="4"/>
      <c r="P17" s="54"/>
      <c r="Q17" s="54"/>
    </row>
    <row r="18" spans="1:17" x14ac:dyDescent="0.15">
      <c r="D18" s="1"/>
      <c r="E18" s="1"/>
      <c r="F18" s="1"/>
      <c r="G18" s="1"/>
      <c r="H18" s="1"/>
      <c r="I18" s="4"/>
      <c r="L18" s="4"/>
    </row>
    <row r="19" spans="1:17" x14ac:dyDescent="0.15">
      <c r="B19" t="s">
        <v>94</v>
      </c>
      <c r="C19" s="23" t="s">
        <v>91</v>
      </c>
      <c r="H19" t="s">
        <v>107</v>
      </c>
      <c r="I19" s="4" t="s">
        <v>108</v>
      </c>
    </row>
    <row r="20" spans="1:17" x14ac:dyDescent="0.15">
      <c r="A20" t="s">
        <v>88</v>
      </c>
      <c r="H20" s="3">
        <f>职业调整模型!C81</f>
        <v>5491</v>
      </c>
      <c r="I20" s="3">
        <f>ROUND($D$3/$G$8*H20,0)</f>
        <v>2401</v>
      </c>
    </row>
    <row r="21" spans="1:17" x14ac:dyDescent="0.15">
      <c r="H21" s="3">
        <f>职业调整模型!C82</f>
        <v>330</v>
      </c>
      <c r="I21" s="3">
        <f>ROUND($D$3/$G$8*H21,0)</f>
        <v>144</v>
      </c>
    </row>
    <row r="22" spans="1:17" x14ac:dyDescent="0.15">
      <c r="A22" t="s">
        <v>89</v>
      </c>
      <c r="B22" t="s">
        <v>90</v>
      </c>
      <c r="C22" t="s">
        <v>84</v>
      </c>
      <c r="D22" t="s">
        <v>85</v>
      </c>
      <c r="E22" t="s">
        <v>86</v>
      </c>
      <c r="F22" t="s">
        <v>96</v>
      </c>
      <c r="H22" s="3">
        <f>职业调整模型!C83</f>
        <v>330</v>
      </c>
      <c r="I22" s="3">
        <f>ROUND($D$3/$G$8*H22,0)</f>
        <v>144</v>
      </c>
    </row>
    <row r="23" spans="1:17" x14ac:dyDescent="0.15">
      <c r="B23">
        <v>1</v>
      </c>
      <c r="C23" s="3">
        <f>I20</f>
        <v>2401</v>
      </c>
      <c r="D23" s="3">
        <f>I21</f>
        <v>144</v>
      </c>
      <c r="E23" s="3">
        <f>I22</f>
        <v>144</v>
      </c>
      <c r="F23" s="3">
        <f>I23</f>
        <v>745</v>
      </c>
      <c r="H23" s="3">
        <f>职业调整模型!C84</f>
        <v>1704</v>
      </c>
      <c r="I23" s="3">
        <f>ROUND($D$3/$G$8*H23,0)</f>
        <v>745</v>
      </c>
    </row>
    <row r="24" spans="1:17" x14ac:dyDescent="0.15">
      <c r="B24">
        <v>2</v>
      </c>
      <c r="C24" s="3">
        <f>ROUND((C$32-C$23)/9*($B24-1)+C$23,0)</f>
        <v>2438</v>
      </c>
      <c r="D24" s="3">
        <f t="shared" ref="D24:F24" si="9">ROUND((D$32-D$23)/9*($B24-1)+D$23,0)</f>
        <v>146</v>
      </c>
      <c r="E24" s="3">
        <f t="shared" si="9"/>
        <v>146</v>
      </c>
      <c r="F24" s="3">
        <f t="shared" si="9"/>
        <v>757</v>
      </c>
    </row>
    <row r="25" spans="1:17" x14ac:dyDescent="0.15">
      <c r="B25">
        <v>3</v>
      </c>
      <c r="C25" s="3">
        <f t="shared" ref="C25:F31" si="10">ROUND((C$32-C$23)/9*($B25-1)+C$23,0)</f>
        <v>2476</v>
      </c>
      <c r="D25" s="3">
        <f t="shared" si="10"/>
        <v>148</v>
      </c>
      <c r="E25" s="3">
        <f t="shared" si="10"/>
        <v>148</v>
      </c>
      <c r="F25" s="3">
        <f t="shared" si="10"/>
        <v>768</v>
      </c>
    </row>
    <row r="26" spans="1:17" x14ac:dyDescent="0.15">
      <c r="B26">
        <v>4</v>
      </c>
      <c r="C26" s="3">
        <f t="shared" si="10"/>
        <v>2513</v>
      </c>
      <c r="D26" s="3">
        <f t="shared" si="10"/>
        <v>151</v>
      </c>
      <c r="E26" s="3">
        <f t="shared" si="10"/>
        <v>151</v>
      </c>
      <c r="F26" s="3">
        <f t="shared" si="10"/>
        <v>780</v>
      </c>
    </row>
    <row r="27" spans="1:17" x14ac:dyDescent="0.15">
      <c r="B27">
        <v>5</v>
      </c>
      <c r="C27" s="3">
        <f t="shared" si="10"/>
        <v>2550</v>
      </c>
      <c r="D27" s="3">
        <f t="shared" si="10"/>
        <v>153</v>
      </c>
      <c r="E27" s="3">
        <f t="shared" si="10"/>
        <v>153</v>
      </c>
      <c r="F27" s="3">
        <f t="shared" si="10"/>
        <v>791</v>
      </c>
    </row>
    <row r="28" spans="1:17" x14ac:dyDescent="0.15">
      <c r="B28">
        <v>6</v>
      </c>
      <c r="C28" s="3">
        <f t="shared" si="10"/>
        <v>2588</v>
      </c>
      <c r="D28" s="3">
        <f t="shared" si="10"/>
        <v>155</v>
      </c>
      <c r="E28" s="3">
        <f t="shared" si="10"/>
        <v>155</v>
      </c>
      <c r="F28" s="3">
        <f t="shared" si="10"/>
        <v>803</v>
      </c>
    </row>
    <row r="29" spans="1:17" x14ac:dyDescent="0.15">
      <c r="B29">
        <v>7</v>
      </c>
      <c r="C29" s="3">
        <f t="shared" si="10"/>
        <v>2625</v>
      </c>
      <c r="D29" s="3">
        <f t="shared" si="10"/>
        <v>157</v>
      </c>
      <c r="E29" s="3">
        <f t="shared" si="10"/>
        <v>157</v>
      </c>
      <c r="F29" s="3">
        <f t="shared" si="10"/>
        <v>814</v>
      </c>
      <c r="H29" t="s">
        <v>106</v>
      </c>
      <c r="I29" t="s">
        <v>109</v>
      </c>
      <c r="J29" t="s">
        <v>110</v>
      </c>
      <c r="K29" t="s">
        <v>111</v>
      </c>
      <c r="L29" t="s">
        <v>112</v>
      </c>
    </row>
    <row r="30" spans="1:17" x14ac:dyDescent="0.15">
      <c r="B30">
        <v>8</v>
      </c>
      <c r="C30" s="3">
        <f t="shared" si="10"/>
        <v>2662</v>
      </c>
      <c r="D30" s="3">
        <f t="shared" si="10"/>
        <v>160</v>
      </c>
      <c r="E30" s="3">
        <f t="shared" si="10"/>
        <v>160</v>
      </c>
      <c r="F30" s="3">
        <f t="shared" si="10"/>
        <v>826</v>
      </c>
    </row>
    <row r="31" spans="1:17" x14ac:dyDescent="0.15">
      <c r="B31" s="9">
        <v>9</v>
      </c>
      <c r="C31" s="3">
        <f t="shared" si="10"/>
        <v>2700</v>
      </c>
      <c r="D31" s="3">
        <f t="shared" si="10"/>
        <v>162</v>
      </c>
      <c r="E31" s="3">
        <f t="shared" si="10"/>
        <v>162</v>
      </c>
      <c r="F31" s="3">
        <f t="shared" si="10"/>
        <v>837</v>
      </c>
      <c r="G31" t="s">
        <v>98</v>
      </c>
      <c r="H31">
        <v>1</v>
      </c>
      <c r="I31" s="3">
        <f>ROUNDDOWN($E4*C$23,0)</f>
        <v>151</v>
      </c>
      <c r="J31" s="3">
        <f t="shared" ref="J31:L31" si="11">ROUNDDOWN($E4*D$23,0)</f>
        <v>9</v>
      </c>
      <c r="K31" s="3">
        <f t="shared" si="11"/>
        <v>9</v>
      </c>
      <c r="L31" s="3">
        <f t="shared" si="11"/>
        <v>47</v>
      </c>
      <c r="M31" t="s">
        <v>114</v>
      </c>
    </row>
    <row r="32" spans="1:17" x14ac:dyDescent="0.15">
      <c r="B32" s="9">
        <v>10</v>
      </c>
      <c r="C32" s="3">
        <f>ROUND(C23*$D$4,0)</f>
        <v>2737</v>
      </c>
      <c r="D32" s="3">
        <f t="shared" ref="D32:F32" si="12">ROUND(D23*$D$4,0)</f>
        <v>164</v>
      </c>
      <c r="E32" s="3">
        <f t="shared" si="12"/>
        <v>164</v>
      </c>
      <c r="F32" s="3">
        <f t="shared" si="12"/>
        <v>849</v>
      </c>
      <c r="H32">
        <v>2</v>
      </c>
      <c r="I32">
        <f>ROUND($R3/$R$2*I$31,0)</f>
        <v>165</v>
      </c>
      <c r="J32">
        <f t="shared" ref="J32:L32" si="13">ROUND($R3/$R$2*J$31,0)</f>
        <v>10</v>
      </c>
      <c r="K32">
        <f t="shared" si="13"/>
        <v>10</v>
      </c>
      <c r="L32">
        <f t="shared" si="13"/>
        <v>51</v>
      </c>
      <c r="M32" t="s">
        <v>115</v>
      </c>
    </row>
    <row r="33" spans="2:13" x14ac:dyDescent="0.15">
      <c r="B33" s="9">
        <v>11</v>
      </c>
      <c r="C33" s="3">
        <f>ROUND((C$42-C$32)/10*($B33-10)+C$32,0)</f>
        <v>2771</v>
      </c>
      <c r="D33" s="3">
        <f t="shared" ref="D33:F33" si="14">ROUND((D$42-D$32)/10*($B33-10)+D$32,0)</f>
        <v>166</v>
      </c>
      <c r="E33" s="3">
        <f t="shared" si="14"/>
        <v>166</v>
      </c>
      <c r="F33" s="3">
        <f t="shared" si="14"/>
        <v>860</v>
      </c>
      <c r="H33">
        <v>3</v>
      </c>
      <c r="I33">
        <f t="shared" ref="I33:L39" si="15">ROUND($R4/$R$2*I$31,0)</f>
        <v>196</v>
      </c>
      <c r="J33">
        <f t="shared" si="15"/>
        <v>12</v>
      </c>
      <c r="K33">
        <f t="shared" si="15"/>
        <v>12</v>
      </c>
      <c r="L33">
        <f t="shared" si="15"/>
        <v>61</v>
      </c>
      <c r="M33" t="s">
        <v>131</v>
      </c>
    </row>
    <row r="34" spans="2:13" x14ac:dyDescent="0.15">
      <c r="B34" s="9">
        <v>12</v>
      </c>
      <c r="C34" s="3">
        <f t="shared" ref="C34:F41" si="16">ROUND((C$42-C$32)/10*($B34-10)+C$32,0)</f>
        <v>2804</v>
      </c>
      <c r="D34" s="3">
        <f t="shared" si="16"/>
        <v>168</v>
      </c>
      <c r="E34" s="3">
        <f t="shared" si="16"/>
        <v>168</v>
      </c>
      <c r="F34" s="3">
        <f t="shared" si="16"/>
        <v>870</v>
      </c>
      <c r="H34">
        <v>4</v>
      </c>
      <c r="I34">
        <f t="shared" si="15"/>
        <v>223</v>
      </c>
      <c r="J34">
        <f t="shared" si="15"/>
        <v>13</v>
      </c>
      <c r="K34">
        <f t="shared" si="15"/>
        <v>13</v>
      </c>
      <c r="L34">
        <f t="shared" si="15"/>
        <v>69</v>
      </c>
      <c r="M34" t="s">
        <v>132</v>
      </c>
    </row>
    <row r="35" spans="2:13" x14ac:dyDescent="0.15">
      <c r="B35" s="9">
        <v>13</v>
      </c>
      <c r="C35" s="3">
        <f t="shared" si="16"/>
        <v>2838</v>
      </c>
      <c r="D35" s="3">
        <f t="shared" si="16"/>
        <v>170</v>
      </c>
      <c r="E35" s="3">
        <f t="shared" si="16"/>
        <v>170</v>
      </c>
      <c r="F35" s="3">
        <f t="shared" si="16"/>
        <v>881</v>
      </c>
      <c r="H35">
        <v>5</v>
      </c>
      <c r="I35">
        <f t="shared" si="15"/>
        <v>250</v>
      </c>
      <c r="J35">
        <f t="shared" si="15"/>
        <v>15</v>
      </c>
      <c r="K35">
        <f t="shared" si="15"/>
        <v>15</v>
      </c>
      <c r="L35">
        <f t="shared" si="15"/>
        <v>78</v>
      </c>
      <c r="M35" t="s">
        <v>133</v>
      </c>
    </row>
    <row r="36" spans="2:13" x14ac:dyDescent="0.15">
      <c r="B36" s="9">
        <v>14</v>
      </c>
      <c r="C36" s="3">
        <f t="shared" si="16"/>
        <v>2871</v>
      </c>
      <c r="D36" s="3">
        <f t="shared" si="16"/>
        <v>172</v>
      </c>
      <c r="E36" s="3">
        <f t="shared" si="16"/>
        <v>172</v>
      </c>
      <c r="F36" s="3">
        <f t="shared" si="16"/>
        <v>891</v>
      </c>
      <c r="H36">
        <v>6</v>
      </c>
      <c r="I36">
        <f t="shared" si="15"/>
        <v>299</v>
      </c>
      <c r="J36">
        <f t="shared" si="15"/>
        <v>18</v>
      </c>
      <c r="K36">
        <f t="shared" si="15"/>
        <v>18</v>
      </c>
      <c r="L36">
        <f t="shared" si="15"/>
        <v>93</v>
      </c>
      <c r="M36" t="s">
        <v>134</v>
      </c>
    </row>
    <row r="37" spans="2:13" x14ac:dyDescent="0.15">
      <c r="B37" s="9">
        <v>15</v>
      </c>
      <c r="C37" s="3">
        <f t="shared" si="16"/>
        <v>2905</v>
      </c>
      <c r="D37" s="3">
        <f t="shared" si="16"/>
        <v>174</v>
      </c>
      <c r="E37" s="3">
        <f t="shared" si="16"/>
        <v>174</v>
      </c>
      <c r="F37" s="3">
        <f t="shared" si="16"/>
        <v>902</v>
      </c>
      <c r="H37">
        <v>7</v>
      </c>
      <c r="I37">
        <f t="shared" si="15"/>
        <v>340</v>
      </c>
      <c r="J37">
        <f t="shared" si="15"/>
        <v>20</v>
      </c>
      <c r="K37">
        <f t="shared" si="15"/>
        <v>20</v>
      </c>
      <c r="L37">
        <f t="shared" si="15"/>
        <v>106</v>
      </c>
      <c r="M37" t="s">
        <v>135</v>
      </c>
    </row>
    <row r="38" spans="2:13" x14ac:dyDescent="0.15">
      <c r="B38" s="9">
        <v>16</v>
      </c>
      <c r="C38" s="3">
        <f t="shared" si="16"/>
        <v>2939</v>
      </c>
      <c r="D38" s="3">
        <f t="shared" si="16"/>
        <v>176</v>
      </c>
      <c r="E38" s="3">
        <f t="shared" si="16"/>
        <v>176</v>
      </c>
      <c r="F38" s="3">
        <f t="shared" si="16"/>
        <v>912</v>
      </c>
      <c r="H38">
        <v>8</v>
      </c>
      <c r="I38">
        <f t="shared" si="15"/>
        <v>381</v>
      </c>
      <c r="J38">
        <f t="shared" si="15"/>
        <v>23</v>
      </c>
      <c r="K38">
        <f t="shared" si="15"/>
        <v>23</v>
      </c>
      <c r="L38">
        <f t="shared" si="15"/>
        <v>119</v>
      </c>
      <c r="M38" t="s">
        <v>136</v>
      </c>
    </row>
    <row r="39" spans="2:13" x14ac:dyDescent="0.15">
      <c r="B39" s="9">
        <v>17</v>
      </c>
      <c r="C39" s="3">
        <f t="shared" si="16"/>
        <v>2972</v>
      </c>
      <c r="D39" s="3">
        <f t="shared" si="16"/>
        <v>178</v>
      </c>
      <c r="E39" s="3">
        <f t="shared" si="16"/>
        <v>178</v>
      </c>
      <c r="F39" s="3">
        <f t="shared" si="16"/>
        <v>923</v>
      </c>
      <c r="H39">
        <v>9</v>
      </c>
      <c r="I39">
        <f t="shared" si="15"/>
        <v>435</v>
      </c>
      <c r="J39">
        <f t="shared" si="15"/>
        <v>26</v>
      </c>
      <c r="K39">
        <f t="shared" si="15"/>
        <v>26</v>
      </c>
      <c r="L39">
        <f t="shared" si="15"/>
        <v>136</v>
      </c>
      <c r="M39" t="s">
        <v>137</v>
      </c>
    </row>
    <row r="40" spans="2:13" x14ac:dyDescent="0.15">
      <c r="B40" s="9">
        <v>18</v>
      </c>
      <c r="C40" s="3">
        <f t="shared" si="16"/>
        <v>3006</v>
      </c>
      <c r="D40" s="3">
        <f t="shared" si="16"/>
        <v>180</v>
      </c>
      <c r="E40" s="3">
        <f t="shared" si="16"/>
        <v>180</v>
      </c>
      <c r="F40" s="3">
        <f t="shared" si="16"/>
        <v>933</v>
      </c>
      <c r="H40" s="54">
        <v>10</v>
      </c>
      <c r="I40" s="54"/>
      <c r="J40" s="54"/>
      <c r="K40" s="54"/>
      <c r="L40" s="54"/>
      <c r="M40" s="54" t="s">
        <v>138</v>
      </c>
    </row>
    <row r="41" spans="2:13" x14ac:dyDescent="0.15">
      <c r="B41" s="9">
        <v>19</v>
      </c>
      <c r="C41" s="3">
        <f t="shared" si="16"/>
        <v>3039</v>
      </c>
      <c r="D41" s="3">
        <f t="shared" si="16"/>
        <v>182</v>
      </c>
      <c r="E41" s="3">
        <f t="shared" si="16"/>
        <v>182</v>
      </c>
      <c r="F41" s="3">
        <f t="shared" si="16"/>
        <v>944</v>
      </c>
      <c r="H41" s="54">
        <v>11</v>
      </c>
      <c r="I41" s="54"/>
      <c r="J41" s="54"/>
      <c r="K41" s="54"/>
      <c r="L41" s="54"/>
      <c r="M41" s="54" t="s">
        <v>139</v>
      </c>
    </row>
    <row r="42" spans="2:13" x14ac:dyDescent="0.15">
      <c r="B42" s="9">
        <v>20</v>
      </c>
      <c r="C42" s="3">
        <f>ROUND($D$5*C23,0)</f>
        <v>3073</v>
      </c>
      <c r="D42" s="3">
        <f t="shared" ref="D42:F42" si="17">ROUND($D$5*D23,0)</f>
        <v>184</v>
      </c>
      <c r="E42" s="3">
        <f t="shared" si="17"/>
        <v>184</v>
      </c>
      <c r="F42" s="3">
        <f t="shared" si="17"/>
        <v>954</v>
      </c>
      <c r="H42" s="54">
        <v>12</v>
      </c>
      <c r="I42" s="54"/>
      <c r="J42" s="54"/>
      <c r="K42" s="54"/>
      <c r="L42" s="54"/>
      <c r="M42" s="54" t="s">
        <v>140</v>
      </c>
    </row>
    <row r="43" spans="2:13" x14ac:dyDescent="0.15">
      <c r="B43" s="9">
        <v>21</v>
      </c>
      <c r="C43" s="3">
        <f>ROUND((C$52-C$42)/10*($B43-20)+C$42,0)</f>
        <v>3107</v>
      </c>
      <c r="D43" s="3">
        <f t="shared" ref="D43:F43" si="18">ROUND((D$52-D$42)/10*($B43-20)+D$42,0)</f>
        <v>186</v>
      </c>
      <c r="E43" s="3">
        <f t="shared" si="18"/>
        <v>186</v>
      </c>
      <c r="F43" s="3">
        <f t="shared" si="18"/>
        <v>964</v>
      </c>
      <c r="H43" s="54">
        <v>13</v>
      </c>
      <c r="I43" s="54"/>
      <c r="J43" s="54"/>
      <c r="K43" s="54"/>
      <c r="L43" s="54"/>
      <c r="M43" s="54" t="s">
        <v>141</v>
      </c>
    </row>
    <row r="44" spans="2:13" x14ac:dyDescent="0.15">
      <c r="B44">
        <v>22</v>
      </c>
      <c r="C44" s="3">
        <f t="shared" ref="C44:F51" si="19">ROUND((C$52-C$42)/10*($B44-20)+C$42,0)</f>
        <v>3140</v>
      </c>
      <c r="D44" s="3">
        <f t="shared" si="19"/>
        <v>188</v>
      </c>
      <c r="E44" s="3">
        <f t="shared" si="19"/>
        <v>188</v>
      </c>
      <c r="F44" s="3">
        <f t="shared" si="19"/>
        <v>975</v>
      </c>
      <c r="H44" s="54">
        <v>14</v>
      </c>
      <c r="I44" s="54"/>
      <c r="J44" s="54"/>
      <c r="K44" s="54"/>
      <c r="L44" s="54"/>
      <c r="M44" s="54" t="s">
        <v>142</v>
      </c>
    </row>
    <row r="45" spans="2:13" x14ac:dyDescent="0.15">
      <c r="B45">
        <v>23</v>
      </c>
      <c r="C45" s="3">
        <f t="shared" si="19"/>
        <v>3174</v>
      </c>
      <c r="D45" s="3">
        <f t="shared" si="19"/>
        <v>190</v>
      </c>
      <c r="E45" s="3">
        <f t="shared" si="19"/>
        <v>190</v>
      </c>
      <c r="F45" s="3">
        <f t="shared" si="19"/>
        <v>985</v>
      </c>
      <c r="H45" s="54">
        <v>15</v>
      </c>
      <c r="I45" s="54"/>
      <c r="J45" s="54"/>
      <c r="K45" s="54"/>
      <c r="L45" s="54"/>
      <c r="M45" s="54" t="s">
        <v>143</v>
      </c>
    </row>
    <row r="46" spans="2:13" x14ac:dyDescent="0.15">
      <c r="B46">
        <v>24</v>
      </c>
      <c r="C46" s="3">
        <f t="shared" si="19"/>
        <v>3207</v>
      </c>
      <c r="D46" s="3">
        <f t="shared" si="19"/>
        <v>192</v>
      </c>
      <c r="E46" s="3">
        <f t="shared" si="19"/>
        <v>192</v>
      </c>
      <c r="F46" s="3">
        <f t="shared" si="19"/>
        <v>996</v>
      </c>
      <c r="H46" s="54"/>
      <c r="I46" s="54"/>
      <c r="J46" s="54"/>
      <c r="K46" s="54"/>
      <c r="L46" s="54"/>
      <c r="M46" s="54"/>
    </row>
    <row r="47" spans="2:13" x14ac:dyDescent="0.15">
      <c r="B47">
        <v>25</v>
      </c>
      <c r="C47" s="3">
        <f t="shared" si="19"/>
        <v>3241</v>
      </c>
      <c r="D47" s="3">
        <f t="shared" si="19"/>
        <v>194</v>
      </c>
      <c r="E47" s="3">
        <f t="shared" si="19"/>
        <v>194</v>
      </c>
      <c r="F47" s="3">
        <f t="shared" si="19"/>
        <v>1006</v>
      </c>
      <c r="H47" s="54"/>
      <c r="I47" s="54"/>
      <c r="J47" s="54"/>
      <c r="K47" s="54"/>
      <c r="L47" s="54"/>
      <c r="M47" s="54"/>
    </row>
    <row r="48" spans="2:13" x14ac:dyDescent="0.15">
      <c r="B48">
        <v>26</v>
      </c>
      <c r="C48" s="3">
        <f t="shared" si="19"/>
        <v>3275</v>
      </c>
      <c r="D48" s="3">
        <f t="shared" si="19"/>
        <v>196</v>
      </c>
      <c r="E48" s="3">
        <f t="shared" si="19"/>
        <v>196</v>
      </c>
      <c r="F48" s="3">
        <f t="shared" si="19"/>
        <v>1016</v>
      </c>
    </row>
    <row r="49" spans="2:6" x14ac:dyDescent="0.15">
      <c r="B49">
        <v>27</v>
      </c>
      <c r="C49" s="3">
        <f t="shared" si="19"/>
        <v>3308</v>
      </c>
      <c r="D49" s="3">
        <f t="shared" si="19"/>
        <v>198</v>
      </c>
      <c r="E49" s="3">
        <f t="shared" si="19"/>
        <v>198</v>
      </c>
      <c r="F49" s="3">
        <f t="shared" si="19"/>
        <v>1027</v>
      </c>
    </row>
    <row r="50" spans="2:6" x14ac:dyDescent="0.15">
      <c r="B50">
        <v>28</v>
      </c>
      <c r="C50" s="3">
        <f t="shared" si="19"/>
        <v>3342</v>
      </c>
      <c r="D50" s="3">
        <f t="shared" si="19"/>
        <v>200</v>
      </c>
      <c r="E50" s="3">
        <f t="shared" si="19"/>
        <v>200</v>
      </c>
      <c r="F50" s="3">
        <f t="shared" si="19"/>
        <v>1037</v>
      </c>
    </row>
    <row r="51" spans="2:6" x14ac:dyDescent="0.15">
      <c r="B51">
        <v>29</v>
      </c>
      <c r="C51" s="3">
        <f t="shared" si="19"/>
        <v>3375</v>
      </c>
      <c r="D51" s="3">
        <f t="shared" si="19"/>
        <v>202</v>
      </c>
      <c r="E51" s="3">
        <f t="shared" si="19"/>
        <v>202</v>
      </c>
      <c r="F51" s="3">
        <f t="shared" si="19"/>
        <v>1048</v>
      </c>
    </row>
    <row r="52" spans="2:6" x14ac:dyDescent="0.15">
      <c r="B52">
        <v>30</v>
      </c>
      <c r="C52" s="3">
        <f>ROUND(C23*$D$6,0)</f>
        <v>3409</v>
      </c>
      <c r="D52" s="3">
        <f t="shared" ref="D52:F52" si="20">ROUND(D23*$D$6,0)</f>
        <v>204</v>
      </c>
      <c r="E52" s="3">
        <f t="shared" si="20"/>
        <v>204</v>
      </c>
      <c r="F52" s="3">
        <f t="shared" si="20"/>
        <v>1058</v>
      </c>
    </row>
    <row r="53" spans="2:6" x14ac:dyDescent="0.15">
      <c r="B53">
        <v>31</v>
      </c>
      <c r="C53" s="3">
        <f>ROUND((C$62-C$52)/10*($B53-30)+C$52,0)</f>
        <v>3443</v>
      </c>
      <c r="D53" s="3">
        <f t="shared" ref="D53:F54" si="21">ROUND((D$62-D$52)/10*($B53-30)+D$52,0)</f>
        <v>206</v>
      </c>
      <c r="E53" s="3">
        <f t="shared" si="21"/>
        <v>206</v>
      </c>
      <c r="F53" s="3">
        <f t="shared" si="21"/>
        <v>1068</v>
      </c>
    </row>
    <row r="54" spans="2:6" x14ac:dyDescent="0.15">
      <c r="B54">
        <v>32</v>
      </c>
      <c r="C54" s="3">
        <f>ROUND((C$62-C$52)/10*($B54-30)+C$52,0)</f>
        <v>3476</v>
      </c>
      <c r="D54" s="3">
        <f t="shared" si="21"/>
        <v>208</v>
      </c>
      <c r="E54" s="3">
        <f t="shared" si="21"/>
        <v>208</v>
      </c>
      <c r="F54" s="3">
        <f t="shared" si="21"/>
        <v>1079</v>
      </c>
    </row>
    <row r="55" spans="2:6" x14ac:dyDescent="0.15">
      <c r="B55">
        <v>33</v>
      </c>
      <c r="C55" s="3">
        <f t="shared" ref="C55:F61" si="22">ROUND((C$62-C$52)/10*($B55-30)+C$52,0)</f>
        <v>3510</v>
      </c>
      <c r="D55" s="3">
        <f t="shared" si="22"/>
        <v>210</v>
      </c>
      <c r="E55" s="3">
        <f t="shared" si="22"/>
        <v>210</v>
      </c>
      <c r="F55" s="3">
        <f t="shared" si="22"/>
        <v>1089</v>
      </c>
    </row>
    <row r="56" spans="2:6" x14ac:dyDescent="0.15">
      <c r="B56">
        <v>34</v>
      </c>
      <c r="C56" s="3">
        <f t="shared" si="22"/>
        <v>3544</v>
      </c>
      <c r="D56" s="3">
        <f t="shared" si="22"/>
        <v>212</v>
      </c>
      <c r="E56" s="3">
        <f t="shared" si="22"/>
        <v>212</v>
      </c>
      <c r="F56" s="3">
        <f t="shared" si="22"/>
        <v>1100</v>
      </c>
    </row>
    <row r="57" spans="2:6" x14ac:dyDescent="0.15">
      <c r="B57">
        <v>35</v>
      </c>
      <c r="C57" s="3">
        <f t="shared" si="22"/>
        <v>3578</v>
      </c>
      <c r="D57" s="3">
        <f t="shared" si="22"/>
        <v>215</v>
      </c>
      <c r="E57" s="3">
        <f t="shared" si="22"/>
        <v>215</v>
      </c>
      <c r="F57" s="3">
        <f t="shared" si="22"/>
        <v>1110</v>
      </c>
    </row>
    <row r="58" spans="2:6" x14ac:dyDescent="0.15">
      <c r="B58">
        <v>36</v>
      </c>
      <c r="C58" s="3">
        <f t="shared" si="22"/>
        <v>3611</v>
      </c>
      <c r="D58" s="3">
        <f t="shared" si="22"/>
        <v>217</v>
      </c>
      <c r="E58" s="3">
        <f t="shared" si="22"/>
        <v>217</v>
      </c>
      <c r="F58" s="3">
        <f t="shared" si="22"/>
        <v>1120</v>
      </c>
    </row>
    <row r="59" spans="2:6" x14ac:dyDescent="0.15">
      <c r="B59">
        <v>37</v>
      </c>
      <c r="C59" s="3">
        <f t="shared" si="22"/>
        <v>3645</v>
      </c>
      <c r="D59" s="3">
        <f t="shared" si="22"/>
        <v>219</v>
      </c>
      <c r="E59" s="3">
        <f t="shared" si="22"/>
        <v>219</v>
      </c>
      <c r="F59" s="3">
        <f t="shared" si="22"/>
        <v>1131</v>
      </c>
    </row>
    <row r="60" spans="2:6" x14ac:dyDescent="0.15">
      <c r="B60">
        <v>38</v>
      </c>
      <c r="C60" s="3">
        <f t="shared" si="22"/>
        <v>3679</v>
      </c>
      <c r="D60" s="3">
        <f t="shared" si="22"/>
        <v>221</v>
      </c>
      <c r="E60" s="3">
        <f t="shared" si="22"/>
        <v>221</v>
      </c>
      <c r="F60" s="3">
        <f t="shared" si="22"/>
        <v>1141</v>
      </c>
    </row>
    <row r="61" spans="2:6" x14ac:dyDescent="0.15">
      <c r="B61">
        <v>39</v>
      </c>
      <c r="C61" s="3">
        <f t="shared" si="22"/>
        <v>3712</v>
      </c>
      <c r="D61" s="3">
        <f t="shared" si="22"/>
        <v>223</v>
      </c>
      <c r="E61" s="3">
        <f t="shared" si="22"/>
        <v>223</v>
      </c>
      <c r="F61" s="3">
        <f t="shared" si="22"/>
        <v>1152</v>
      </c>
    </row>
    <row r="62" spans="2:6" x14ac:dyDescent="0.15">
      <c r="B62">
        <v>40</v>
      </c>
      <c r="C62" s="3">
        <f>ROUND(C23*$D$7,0)</f>
        <v>3746</v>
      </c>
      <c r="D62" s="3">
        <f t="shared" ref="D62:F62" si="23">ROUND(D23*$D$7,0)</f>
        <v>225</v>
      </c>
      <c r="E62" s="3">
        <f t="shared" si="23"/>
        <v>225</v>
      </c>
      <c r="F62" s="3">
        <f t="shared" si="23"/>
        <v>1162</v>
      </c>
    </row>
    <row r="63" spans="2:6" x14ac:dyDescent="0.15">
      <c r="B63">
        <v>41</v>
      </c>
      <c r="C63" s="3">
        <f>ROUND((C$72-C$62)/10*($B63-40)+C$62,0)</f>
        <v>3780</v>
      </c>
      <c r="D63" s="3">
        <f t="shared" ref="D63:F63" si="24">ROUND((D$72-D$62)/10*($B63-40)+D$62,0)</f>
        <v>227</v>
      </c>
      <c r="E63" s="3">
        <f t="shared" si="24"/>
        <v>227</v>
      </c>
      <c r="F63" s="3">
        <f t="shared" si="24"/>
        <v>1173</v>
      </c>
    </row>
    <row r="64" spans="2:6" x14ac:dyDescent="0.15">
      <c r="B64">
        <v>42</v>
      </c>
      <c r="C64" s="3">
        <f t="shared" ref="C64:F71" si="25">ROUND((C$72-C$62)/10*($B64-40)+C$62,0)</f>
        <v>3813</v>
      </c>
      <c r="D64" s="3">
        <f t="shared" si="25"/>
        <v>229</v>
      </c>
      <c r="E64" s="3">
        <f t="shared" si="25"/>
        <v>229</v>
      </c>
      <c r="F64" s="3">
        <f t="shared" si="25"/>
        <v>1183</v>
      </c>
    </row>
    <row r="65" spans="2:6" x14ac:dyDescent="0.15">
      <c r="B65">
        <v>43</v>
      </c>
      <c r="C65" s="3">
        <f t="shared" si="25"/>
        <v>3847</v>
      </c>
      <c r="D65" s="3">
        <f t="shared" si="25"/>
        <v>231</v>
      </c>
      <c r="E65" s="3">
        <f t="shared" si="25"/>
        <v>231</v>
      </c>
      <c r="F65" s="3">
        <f t="shared" si="25"/>
        <v>1194</v>
      </c>
    </row>
    <row r="66" spans="2:6" x14ac:dyDescent="0.15">
      <c r="B66">
        <v>44</v>
      </c>
      <c r="C66" s="3">
        <f t="shared" si="25"/>
        <v>3880</v>
      </c>
      <c r="D66" s="3">
        <f t="shared" si="25"/>
        <v>233</v>
      </c>
      <c r="E66" s="3">
        <f t="shared" si="25"/>
        <v>233</v>
      </c>
      <c r="F66" s="3">
        <f t="shared" si="25"/>
        <v>1204</v>
      </c>
    </row>
    <row r="67" spans="2:6" x14ac:dyDescent="0.15">
      <c r="B67">
        <v>45</v>
      </c>
      <c r="C67" s="3">
        <f t="shared" si="25"/>
        <v>3914</v>
      </c>
      <c r="D67" s="3">
        <f t="shared" si="25"/>
        <v>235</v>
      </c>
      <c r="E67" s="3">
        <f t="shared" si="25"/>
        <v>235</v>
      </c>
      <c r="F67" s="3">
        <f t="shared" si="25"/>
        <v>1215</v>
      </c>
    </row>
    <row r="68" spans="2:6" x14ac:dyDescent="0.15">
      <c r="B68">
        <v>46</v>
      </c>
      <c r="C68" s="3">
        <f t="shared" si="25"/>
        <v>3948</v>
      </c>
      <c r="D68" s="3">
        <f t="shared" si="25"/>
        <v>237</v>
      </c>
      <c r="E68" s="3">
        <f t="shared" si="25"/>
        <v>237</v>
      </c>
      <c r="F68" s="3">
        <f t="shared" si="25"/>
        <v>1225</v>
      </c>
    </row>
    <row r="69" spans="2:6" x14ac:dyDescent="0.15">
      <c r="B69">
        <v>47</v>
      </c>
      <c r="C69" s="3">
        <f t="shared" si="25"/>
        <v>3981</v>
      </c>
      <c r="D69" s="3">
        <f t="shared" si="25"/>
        <v>239</v>
      </c>
      <c r="E69" s="3">
        <f t="shared" si="25"/>
        <v>239</v>
      </c>
      <c r="F69" s="3">
        <f t="shared" si="25"/>
        <v>1236</v>
      </c>
    </row>
    <row r="70" spans="2:6" x14ac:dyDescent="0.15">
      <c r="B70">
        <v>48</v>
      </c>
      <c r="C70" s="3">
        <f t="shared" si="25"/>
        <v>4015</v>
      </c>
      <c r="D70" s="3">
        <f t="shared" si="25"/>
        <v>241</v>
      </c>
      <c r="E70" s="3">
        <f t="shared" si="25"/>
        <v>241</v>
      </c>
      <c r="F70" s="3">
        <f t="shared" si="25"/>
        <v>1246</v>
      </c>
    </row>
    <row r="71" spans="2:6" x14ac:dyDescent="0.15">
      <c r="B71">
        <v>49</v>
      </c>
      <c r="C71" s="3">
        <f t="shared" si="25"/>
        <v>4048</v>
      </c>
      <c r="D71" s="3">
        <f t="shared" si="25"/>
        <v>243</v>
      </c>
      <c r="E71" s="3">
        <f t="shared" si="25"/>
        <v>243</v>
      </c>
      <c r="F71" s="3">
        <f t="shared" si="25"/>
        <v>1257</v>
      </c>
    </row>
    <row r="72" spans="2:6" x14ac:dyDescent="0.15">
      <c r="B72">
        <v>50</v>
      </c>
      <c r="C72" s="3">
        <f>ROUND(C23*$D$8,0)</f>
        <v>4082</v>
      </c>
      <c r="D72" s="3">
        <f t="shared" ref="D72:F72" si="26">ROUND(D23*$D$8,0)</f>
        <v>245</v>
      </c>
      <c r="E72" s="3">
        <f t="shared" si="26"/>
        <v>245</v>
      </c>
      <c r="F72" s="3">
        <f t="shared" si="26"/>
        <v>1267</v>
      </c>
    </row>
  </sheetData>
  <phoneticPr fontId="1" type="noConversion"/>
  <hyperlinks>
    <hyperlink ref="C19" location="职业调整模型!A1" display="标准模型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D43" sqref="D43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I32" sqref="I32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J103"/>
  <sheetViews>
    <sheetView workbookViewId="0">
      <selection activeCell="C7" sqref="C7:C21"/>
    </sheetView>
  </sheetViews>
  <sheetFormatPr defaultRowHeight="13.5" x14ac:dyDescent="0.15"/>
  <sheetData>
    <row r="2" spans="2:10" x14ac:dyDescent="0.15">
      <c r="B2" t="s">
        <v>62</v>
      </c>
      <c r="C2" t="s">
        <v>63</v>
      </c>
      <c r="D2" t="s">
        <v>63</v>
      </c>
      <c r="E2" t="s">
        <v>63</v>
      </c>
      <c r="F2" t="s">
        <v>63</v>
      </c>
      <c r="G2" t="s">
        <v>63</v>
      </c>
      <c r="H2" t="s">
        <v>63</v>
      </c>
      <c r="I2" t="s">
        <v>63</v>
      </c>
      <c r="J2" t="s">
        <v>63</v>
      </c>
    </row>
    <row r="3" spans="2:10" x14ac:dyDescent="0.15">
      <c r="B3" t="s">
        <v>64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</row>
    <row r="4" spans="2:10" x14ac:dyDescent="0.15">
      <c r="B4" t="s">
        <v>73</v>
      </c>
      <c r="C4" t="s">
        <v>74</v>
      </c>
      <c r="D4" t="s">
        <v>75</v>
      </c>
      <c r="E4" t="s">
        <v>76</v>
      </c>
      <c r="F4" t="s">
        <v>77</v>
      </c>
      <c r="G4" t="s">
        <v>78</v>
      </c>
      <c r="H4" t="s">
        <v>79</v>
      </c>
      <c r="I4" t="s">
        <v>80</v>
      </c>
      <c r="J4" t="s">
        <v>81</v>
      </c>
    </row>
    <row r="5" spans="2:10" x14ac:dyDescent="0.15">
      <c r="B5">
        <v>1</v>
      </c>
      <c r="C5">
        <v>100</v>
      </c>
      <c r="D5">
        <f>属性拆分方式!C23</f>
        <v>2401</v>
      </c>
      <c r="E5">
        <f>属性拆分方式!D23</f>
        <v>144</v>
      </c>
      <c r="F5">
        <f>属性拆分方式!E23</f>
        <v>144</v>
      </c>
      <c r="G5">
        <v>100</v>
      </c>
      <c r="H5">
        <f>属性拆分方式!F23</f>
        <v>745</v>
      </c>
      <c r="I5">
        <v>0</v>
      </c>
      <c r="J5">
        <v>0</v>
      </c>
    </row>
    <row r="6" spans="2:10" x14ac:dyDescent="0.15">
      <c r="B6">
        <v>2</v>
      </c>
      <c r="C6">
        <v>200</v>
      </c>
      <c r="D6">
        <f>属性拆分方式!C24</f>
        <v>2438</v>
      </c>
      <c r="E6">
        <f>属性拆分方式!D24</f>
        <v>146</v>
      </c>
      <c r="F6">
        <f>属性拆分方式!E24</f>
        <v>146</v>
      </c>
      <c r="G6">
        <v>100</v>
      </c>
      <c r="H6">
        <f>属性拆分方式!F24</f>
        <v>757</v>
      </c>
      <c r="I6">
        <v>0</v>
      </c>
      <c r="J6">
        <v>0</v>
      </c>
    </row>
    <row r="7" spans="2:10" x14ac:dyDescent="0.15">
      <c r="B7">
        <v>3</v>
      </c>
      <c r="C7">
        <v>300</v>
      </c>
      <c r="D7">
        <f>属性拆分方式!C25</f>
        <v>2476</v>
      </c>
      <c r="E7">
        <f>属性拆分方式!D25</f>
        <v>148</v>
      </c>
      <c r="F7">
        <f>属性拆分方式!E25</f>
        <v>148</v>
      </c>
      <c r="G7">
        <v>100</v>
      </c>
      <c r="H7">
        <f>属性拆分方式!F25</f>
        <v>768</v>
      </c>
      <c r="I7">
        <v>0</v>
      </c>
      <c r="J7">
        <v>0</v>
      </c>
    </row>
    <row r="8" spans="2:10" x14ac:dyDescent="0.15">
      <c r="B8">
        <v>4</v>
      </c>
      <c r="C8">
        <v>400</v>
      </c>
      <c r="D8">
        <f>属性拆分方式!C26</f>
        <v>2513</v>
      </c>
      <c r="E8">
        <f>属性拆分方式!D26</f>
        <v>151</v>
      </c>
      <c r="F8">
        <f>属性拆分方式!E26</f>
        <v>151</v>
      </c>
      <c r="G8">
        <v>100</v>
      </c>
      <c r="H8">
        <f>属性拆分方式!F26</f>
        <v>780</v>
      </c>
      <c r="I8">
        <v>0</v>
      </c>
      <c r="J8">
        <v>0</v>
      </c>
    </row>
    <row r="9" spans="2:10" x14ac:dyDescent="0.15">
      <c r="B9">
        <v>5</v>
      </c>
      <c r="C9">
        <v>500</v>
      </c>
      <c r="D9">
        <f>属性拆分方式!C27</f>
        <v>2550</v>
      </c>
      <c r="E9">
        <f>属性拆分方式!D27</f>
        <v>153</v>
      </c>
      <c r="F9">
        <f>属性拆分方式!E27</f>
        <v>153</v>
      </c>
      <c r="G9">
        <v>100</v>
      </c>
      <c r="H9">
        <f>属性拆分方式!F27</f>
        <v>791</v>
      </c>
      <c r="I9">
        <v>0</v>
      </c>
      <c r="J9">
        <v>0</v>
      </c>
    </row>
    <row r="10" spans="2:10" x14ac:dyDescent="0.15">
      <c r="B10">
        <v>6</v>
      </c>
      <c r="C10">
        <v>600</v>
      </c>
      <c r="D10">
        <f>属性拆分方式!C28</f>
        <v>2588</v>
      </c>
      <c r="E10">
        <f>属性拆分方式!D28</f>
        <v>155</v>
      </c>
      <c r="F10">
        <f>属性拆分方式!E28</f>
        <v>155</v>
      </c>
      <c r="G10">
        <v>100</v>
      </c>
      <c r="H10">
        <f>属性拆分方式!F28</f>
        <v>803</v>
      </c>
      <c r="I10">
        <v>0</v>
      </c>
      <c r="J10">
        <v>0</v>
      </c>
    </row>
    <row r="11" spans="2:10" x14ac:dyDescent="0.15">
      <c r="B11">
        <v>7</v>
      </c>
      <c r="C11">
        <v>700</v>
      </c>
      <c r="D11">
        <f>属性拆分方式!C29</f>
        <v>2625</v>
      </c>
      <c r="E11">
        <f>属性拆分方式!D29</f>
        <v>157</v>
      </c>
      <c r="F11">
        <f>属性拆分方式!E29</f>
        <v>157</v>
      </c>
      <c r="G11">
        <v>100</v>
      </c>
      <c r="H11">
        <f>属性拆分方式!F29</f>
        <v>814</v>
      </c>
      <c r="I11">
        <v>0</v>
      </c>
      <c r="J11">
        <v>0</v>
      </c>
    </row>
    <row r="12" spans="2:10" x14ac:dyDescent="0.15">
      <c r="B12">
        <v>8</v>
      </c>
      <c r="C12">
        <v>800</v>
      </c>
      <c r="D12">
        <f>属性拆分方式!C30</f>
        <v>2662</v>
      </c>
      <c r="E12">
        <f>属性拆分方式!D30</f>
        <v>160</v>
      </c>
      <c r="F12">
        <f>属性拆分方式!E30</f>
        <v>160</v>
      </c>
      <c r="G12">
        <v>100</v>
      </c>
      <c r="H12">
        <f>属性拆分方式!F30</f>
        <v>826</v>
      </c>
      <c r="I12">
        <v>0</v>
      </c>
      <c r="J12">
        <v>0</v>
      </c>
    </row>
    <row r="13" spans="2:10" x14ac:dyDescent="0.15">
      <c r="B13">
        <v>9</v>
      </c>
      <c r="C13">
        <v>900</v>
      </c>
      <c r="D13">
        <f>属性拆分方式!C31</f>
        <v>2700</v>
      </c>
      <c r="E13">
        <f>属性拆分方式!D31</f>
        <v>162</v>
      </c>
      <c r="F13">
        <f>属性拆分方式!E31</f>
        <v>162</v>
      </c>
      <c r="G13">
        <v>100</v>
      </c>
      <c r="H13">
        <f>属性拆分方式!F31</f>
        <v>837</v>
      </c>
      <c r="I13">
        <v>0</v>
      </c>
      <c r="J13">
        <v>0</v>
      </c>
    </row>
    <row r="14" spans="2:10" x14ac:dyDescent="0.15">
      <c r="B14">
        <v>10</v>
      </c>
      <c r="C14">
        <v>1000</v>
      </c>
      <c r="D14">
        <f>属性拆分方式!C32</f>
        <v>2737</v>
      </c>
      <c r="E14">
        <f>属性拆分方式!D32</f>
        <v>164</v>
      </c>
      <c r="F14">
        <f>属性拆分方式!E32</f>
        <v>164</v>
      </c>
      <c r="G14">
        <v>100</v>
      </c>
      <c r="H14">
        <f>属性拆分方式!F32</f>
        <v>849</v>
      </c>
      <c r="I14">
        <v>0</v>
      </c>
      <c r="J14">
        <v>0</v>
      </c>
    </row>
    <row r="15" spans="2:10" x14ac:dyDescent="0.15">
      <c r="B15">
        <v>11</v>
      </c>
      <c r="C15">
        <v>1100</v>
      </c>
      <c r="D15">
        <f>属性拆分方式!C33</f>
        <v>2771</v>
      </c>
      <c r="E15">
        <f>属性拆分方式!D33</f>
        <v>166</v>
      </c>
      <c r="F15">
        <f>属性拆分方式!E33</f>
        <v>166</v>
      </c>
      <c r="G15">
        <v>100</v>
      </c>
      <c r="H15">
        <f>属性拆分方式!F33</f>
        <v>860</v>
      </c>
      <c r="I15">
        <v>0</v>
      </c>
      <c r="J15">
        <v>0</v>
      </c>
    </row>
    <row r="16" spans="2:10" x14ac:dyDescent="0.15">
      <c r="B16">
        <v>12</v>
      </c>
      <c r="C16">
        <v>1200</v>
      </c>
      <c r="D16">
        <f>属性拆分方式!C34</f>
        <v>2804</v>
      </c>
      <c r="E16">
        <f>属性拆分方式!D34</f>
        <v>168</v>
      </c>
      <c r="F16">
        <f>属性拆分方式!E34</f>
        <v>168</v>
      </c>
      <c r="G16">
        <v>100</v>
      </c>
      <c r="H16">
        <f>属性拆分方式!F34</f>
        <v>870</v>
      </c>
      <c r="I16">
        <v>0</v>
      </c>
      <c r="J16">
        <v>0</v>
      </c>
    </row>
    <row r="17" spans="2:10" x14ac:dyDescent="0.15">
      <c r="B17">
        <v>13</v>
      </c>
      <c r="C17">
        <v>1300</v>
      </c>
      <c r="D17">
        <f>属性拆分方式!C35</f>
        <v>2838</v>
      </c>
      <c r="E17">
        <f>属性拆分方式!D35</f>
        <v>170</v>
      </c>
      <c r="F17">
        <f>属性拆分方式!E35</f>
        <v>170</v>
      </c>
      <c r="G17">
        <v>100</v>
      </c>
      <c r="H17">
        <f>属性拆分方式!F35</f>
        <v>881</v>
      </c>
      <c r="I17">
        <v>0</v>
      </c>
      <c r="J17">
        <v>0</v>
      </c>
    </row>
    <row r="18" spans="2:10" x14ac:dyDescent="0.15">
      <c r="B18">
        <v>14</v>
      </c>
      <c r="C18">
        <v>1400</v>
      </c>
      <c r="D18">
        <f>属性拆分方式!C36</f>
        <v>2871</v>
      </c>
      <c r="E18">
        <f>属性拆分方式!D36</f>
        <v>172</v>
      </c>
      <c r="F18">
        <f>属性拆分方式!E36</f>
        <v>172</v>
      </c>
      <c r="G18">
        <v>100</v>
      </c>
      <c r="H18">
        <f>属性拆分方式!F36</f>
        <v>891</v>
      </c>
      <c r="I18">
        <v>0</v>
      </c>
      <c r="J18">
        <v>0</v>
      </c>
    </row>
    <row r="19" spans="2:10" x14ac:dyDescent="0.15">
      <c r="B19">
        <v>15</v>
      </c>
      <c r="C19">
        <v>9999999</v>
      </c>
      <c r="D19">
        <f>属性拆分方式!C37</f>
        <v>2905</v>
      </c>
      <c r="E19">
        <f>属性拆分方式!D37</f>
        <v>174</v>
      </c>
      <c r="F19">
        <f>属性拆分方式!E37</f>
        <v>174</v>
      </c>
      <c r="G19">
        <v>71</v>
      </c>
      <c r="H19">
        <f>属性拆分方式!F37</f>
        <v>902</v>
      </c>
      <c r="I19">
        <v>0</v>
      </c>
      <c r="J19">
        <v>50</v>
      </c>
    </row>
    <row r="20" spans="2:10" x14ac:dyDescent="0.15">
      <c r="B20">
        <v>16</v>
      </c>
      <c r="C20">
        <v>1600</v>
      </c>
      <c r="D20">
        <f>属性拆分方式!C38</f>
        <v>2939</v>
      </c>
      <c r="E20">
        <f>属性拆分方式!D38</f>
        <v>176</v>
      </c>
      <c r="F20">
        <f>属性拆分方式!E38</f>
        <v>176</v>
      </c>
      <c r="G20">
        <v>100</v>
      </c>
      <c r="H20">
        <f>属性拆分方式!F38</f>
        <v>912</v>
      </c>
      <c r="I20">
        <v>0</v>
      </c>
      <c r="J20">
        <v>0</v>
      </c>
    </row>
    <row r="21" spans="2:10" x14ac:dyDescent="0.15">
      <c r="B21">
        <v>17</v>
      </c>
      <c r="C21">
        <v>1700</v>
      </c>
      <c r="D21">
        <f>属性拆分方式!C39</f>
        <v>2972</v>
      </c>
      <c r="E21">
        <f>属性拆分方式!D39</f>
        <v>178</v>
      </c>
      <c r="F21">
        <f>属性拆分方式!E39</f>
        <v>178</v>
      </c>
      <c r="G21">
        <v>100</v>
      </c>
      <c r="H21">
        <f>属性拆分方式!F39</f>
        <v>923</v>
      </c>
      <c r="I21">
        <v>0</v>
      </c>
      <c r="J21">
        <v>0</v>
      </c>
    </row>
    <row r="22" spans="2:10" x14ac:dyDescent="0.15">
      <c r="B22">
        <v>18</v>
      </c>
      <c r="C22">
        <v>1800</v>
      </c>
      <c r="D22">
        <f>属性拆分方式!C40</f>
        <v>3006</v>
      </c>
      <c r="E22">
        <f>属性拆分方式!D40</f>
        <v>180</v>
      </c>
      <c r="F22">
        <f>属性拆分方式!E40</f>
        <v>180</v>
      </c>
      <c r="G22">
        <v>100</v>
      </c>
      <c r="H22">
        <f>属性拆分方式!F40</f>
        <v>933</v>
      </c>
      <c r="I22">
        <v>0</v>
      </c>
      <c r="J22">
        <v>0</v>
      </c>
    </row>
    <row r="23" spans="2:10" x14ac:dyDescent="0.15">
      <c r="B23">
        <v>19</v>
      </c>
      <c r="C23">
        <v>1900</v>
      </c>
      <c r="D23">
        <f>属性拆分方式!C41</f>
        <v>3039</v>
      </c>
      <c r="E23">
        <f>属性拆分方式!D41</f>
        <v>182</v>
      </c>
      <c r="F23">
        <f>属性拆分方式!E41</f>
        <v>182</v>
      </c>
      <c r="G23">
        <v>100</v>
      </c>
      <c r="H23">
        <f>属性拆分方式!F41</f>
        <v>944</v>
      </c>
      <c r="I23">
        <v>0</v>
      </c>
      <c r="J23">
        <v>0</v>
      </c>
    </row>
    <row r="24" spans="2:10" x14ac:dyDescent="0.15">
      <c r="B24">
        <v>20</v>
      </c>
      <c r="C24">
        <v>2000</v>
      </c>
      <c r="D24">
        <f>属性拆分方式!C42</f>
        <v>3073</v>
      </c>
      <c r="E24">
        <f>属性拆分方式!D42</f>
        <v>184</v>
      </c>
      <c r="F24">
        <f>属性拆分方式!E42</f>
        <v>184</v>
      </c>
      <c r="G24">
        <v>100</v>
      </c>
      <c r="H24">
        <f>属性拆分方式!F42</f>
        <v>954</v>
      </c>
      <c r="I24">
        <v>0</v>
      </c>
      <c r="J24">
        <v>0</v>
      </c>
    </row>
    <row r="25" spans="2:10" x14ac:dyDescent="0.15">
      <c r="B25">
        <v>21</v>
      </c>
      <c r="C25">
        <v>2100</v>
      </c>
      <c r="D25">
        <f>属性拆分方式!C43</f>
        <v>3107</v>
      </c>
      <c r="E25">
        <f>属性拆分方式!D43</f>
        <v>186</v>
      </c>
      <c r="F25">
        <f>属性拆分方式!E43</f>
        <v>186</v>
      </c>
      <c r="G25">
        <v>100</v>
      </c>
      <c r="H25">
        <f>属性拆分方式!F43</f>
        <v>964</v>
      </c>
      <c r="I25">
        <v>0</v>
      </c>
      <c r="J25">
        <v>0</v>
      </c>
    </row>
    <row r="26" spans="2:10" x14ac:dyDescent="0.15">
      <c r="B26">
        <v>22</v>
      </c>
      <c r="C26">
        <v>2200</v>
      </c>
      <c r="D26">
        <f>属性拆分方式!C44</f>
        <v>3140</v>
      </c>
      <c r="E26">
        <f>属性拆分方式!D44</f>
        <v>188</v>
      </c>
      <c r="F26">
        <f>属性拆分方式!E44</f>
        <v>188</v>
      </c>
      <c r="G26">
        <v>100</v>
      </c>
      <c r="H26">
        <f>属性拆分方式!F44</f>
        <v>975</v>
      </c>
      <c r="I26">
        <v>0</v>
      </c>
      <c r="J26">
        <v>0</v>
      </c>
    </row>
    <row r="27" spans="2:10" x14ac:dyDescent="0.15">
      <c r="B27">
        <v>23</v>
      </c>
      <c r="C27">
        <v>2300</v>
      </c>
      <c r="D27">
        <f>属性拆分方式!C45</f>
        <v>3174</v>
      </c>
      <c r="E27">
        <f>属性拆分方式!D45</f>
        <v>190</v>
      </c>
      <c r="F27">
        <f>属性拆分方式!E45</f>
        <v>190</v>
      </c>
      <c r="G27">
        <v>100</v>
      </c>
      <c r="H27">
        <f>属性拆分方式!F45</f>
        <v>985</v>
      </c>
      <c r="I27">
        <v>0</v>
      </c>
      <c r="J27">
        <v>0</v>
      </c>
    </row>
    <row r="28" spans="2:10" x14ac:dyDescent="0.15">
      <c r="B28">
        <v>24</v>
      </c>
      <c r="C28">
        <v>2400</v>
      </c>
      <c r="D28">
        <f>属性拆分方式!C46</f>
        <v>3207</v>
      </c>
      <c r="E28">
        <f>属性拆分方式!D46</f>
        <v>192</v>
      </c>
      <c r="F28">
        <f>属性拆分方式!E46</f>
        <v>192</v>
      </c>
      <c r="G28">
        <v>100</v>
      </c>
      <c r="H28">
        <f>属性拆分方式!F46</f>
        <v>996</v>
      </c>
      <c r="I28">
        <v>0</v>
      </c>
      <c r="J28">
        <v>0</v>
      </c>
    </row>
    <row r="29" spans="2:10" x14ac:dyDescent="0.15">
      <c r="B29">
        <v>25</v>
      </c>
      <c r="C29">
        <v>2500</v>
      </c>
      <c r="D29">
        <f>属性拆分方式!C47</f>
        <v>3241</v>
      </c>
      <c r="E29">
        <f>属性拆分方式!D47</f>
        <v>194</v>
      </c>
      <c r="F29">
        <f>属性拆分方式!E47</f>
        <v>194</v>
      </c>
      <c r="G29">
        <v>100</v>
      </c>
      <c r="H29">
        <f>属性拆分方式!F47</f>
        <v>1006</v>
      </c>
      <c r="I29">
        <v>0</v>
      </c>
      <c r="J29">
        <v>0</v>
      </c>
    </row>
    <row r="30" spans="2:10" x14ac:dyDescent="0.15">
      <c r="B30">
        <v>26</v>
      </c>
      <c r="C30">
        <v>2600</v>
      </c>
      <c r="D30">
        <f>属性拆分方式!C48</f>
        <v>3275</v>
      </c>
      <c r="E30">
        <f>属性拆分方式!D48</f>
        <v>196</v>
      </c>
      <c r="F30">
        <f>属性拆分方式!E48</f>
        <v>196</v>
      </c>
      <c r="G30">
        <v>100</v>
      </c>
      <c r="H30">
        <f>属性拆分方式!F48</f>
        <v>1016</v>
      </c>
      <c r="I30">
        <v>0</v>
      </c>
      <c r="J30">
        <v>0</v>
      </c>
    </row>
    <row r="31" spans="2:10" x14ac:dyDescent="0.15">
      <c r="B31">
        <v>27</v>
      </c>
      <c r="C31">
        <v>2700</v>
      </c>
      <c r="D31">
        <f>属性拆分方式!C49</f>
        <v>3308</v>
      </c>
      <c r="E31">
        <f>属性拆分方式!D49</f>
        <v>198</v>
      </c>
      <c r="F31">
        <f>属性拆分方式!E49</f>
        <v>198</v>
      </c>
      <c r="G31">
        <v>100</v>
      </c>
      <c r="H31">
        <f>属性拆分方式!F49</f>
        <v>1027</v>
      </c>
      <c r="I31">
        <v>0</v>
      </c>
      <c r="J31">
        <v>0</v>
      </c>
    </row>
    <row r="32" spans="2:10" x14ac:dyDescent="0.15">
      <c r="B32">
        <v>28</v>
      </c>
      <c r="C32">
        <v>2800</v>
      </c>
      <c r="D32">
        <f>属性拆分方式!C50</f>
        <v>3342</v>
      </c>
      <c r="E32">
        <f>属性拆分方式!D50</f>
        <v>200</v>
      </c>
      <c r="F32">
        <f>属性拆分方式!E50</f>
        <v>200</v>
      </c>
      <c r="G32">
        <v>100</v>
      </c>
      <c r="H32">
        <f>属性拆分方式!F50</f>
        <v>1037</v>
      </c>
      <c r="I32">
        <v>0</v>
      </c>
      <c r="J32">
        <v>0</v>
      </c>
    </row>
    <row r="33" spans="2:10" x14ac:dyDescent="0.15">
      <c r="B33">
        <v>29</v>
      </c>
      <c r="C33">
        <v>2900</v>
      </c>
      <c r="D33">
        <f>属性拆分方式!C51</f>
        <v>3375</v>
      </c>
      <c r="E33">
        <f>属性拆分方式!D51</f>
        <v>202</v>
      </c>
      <c r="F33">
        <f>属性拆分方式!E51</f>
        <v>202</v>
      </c>
      <c r="G33">
        <v>100</v>
      </c>
      <c r="H33">
        <f>属性拆分方式!F51</f>
        <v>1048</v>
      </c>
      <c r="I33">
        <v>0</v>
      </c>
      <c r="J33">
        <v>0</v>
      </c>
    </row>
    <row r="34" spans="2:10" x14ac:dyDescent="0.15">
      <c r="B34">
        <v>30</v>
      </c>
      <c r="C34">
        <v>3000</v>
      </c>
      <c r="D34">
        <f>属性拆分方式!C52</f>
        <v>3409</v>
      </c>
      <c r="E34">
        <f>属性拆分方式!D52</f>
        <v>204</v>
      </c>
      <c r="F34">
        <f>属性拆分方式!E52</f>
        <v>204</v>
      </c>
      <c r="G34">
        <v>100</v>
      </c>
      <c r="H34">
        <f>属性拆分方式!F52</f>
        <v>1058</v>
      </c>
      <c r="I34">
        <v>0</v>
      </c>
      <c r="J34">
        <v>0</v>
      </c>
    </row>
    <row r="35" spans="2:10" x14ac:dyDescent="0.15">
      <c r="B35">
        <v>31</v>
      </c>
      <c r="C35">
        <v>3100</v>
      </c>
      <c r="D35">
        <f>属性拆分方式!C53</f>
        <v>3443</v>
      </c>
      <c r="E35">
        <f>属性拆分方式!D53</f>
        <v>206</v>
      </c>
      <c r="F35">
        <f>属性拆分方式!E53</f>
        <v>206</v>
      </c>
      <c r="G35">
        <v>100</v>
      </c>
      <c r="H35">
        <f>属性拆分方式!F53</f>
        <v>1068</v>
      </c>
      <c r="I35">
        <v>0</v>
      </c>
      <c r="J35">
        <v>0</v>
      </c>
    </row>
    <row r="36" spans="2:10" x14ac:dyDescent="0.15">
      <c r="B36">
        <v>32</v>
      </c>
      <c r="C36">
        <v>3200</v>
      </c>
      <c r="D36">
        <f>属性拆分方式!C54</f>
        <v>3476</v>
      </c>
      <c r="E36">
        <f>属性拆分方式!D54</f>
        <v>208</v>
      </c>
      <c r="F36">
        <f>属性拆分方式!E54</f>
        <v>208</v>
      </c>
      <c r="G36">
        <v>100</v>
      </c>
      <c r="H36">
        <f>属性拆分方式!F54</f>
        <v>1079</v>
      </c>
      <c r="I36">
        <v>0</v>
      </c>
      <c r="J36">
        <v>0</v>
      </c>
    </row>
    <row r="37" spans="2:10" x14ac:dyDescent="0.15">
      <c r="B37">
        <v>33</v>
      </c>
      <c r="C37">
        <v>3300</v>
      </c>
      <c r="D37">
        <f>属性拆分方式!C55</f>
        <v>3510</v>
      </c>
      <c r="E37">
        <f>属性拆分方式!D55</f>
        <v>210</v>
      </c>
      <c r="F37">
        <f>属性拆分方式!E55</f>
        <v>210</v>
      </c>
      <c r="G37">
        <v>100</v>
      </c>
      <c r="H37">
        <f>属性拆分方式!F55</f>
        <v>1089</v>
      </c>
      <c r="I37">
        <v>0</v>
      </c>
      <c r="J37">
        <v>0</v>
      </c>
    </row>
    <row r="38" spans="2:10" x14ac:dyDescent="0.15">
      <c r="B38">
        <v>34</v>
      </c>
      <c r="C38">
        <v>3400</v>
      </c>
      <c r="D38">
        <f>属性拆分方式!C56</f>
        <v>3544</v>
      </c>
      <c r="E38">
        <f>属性拆分方式!D56</f>
        <v>212</v>
      </c>
      <c r="F38">
        <f>属性拆分方式!E56</f>
        <v>212</v>
      </c>
      <c r="G38">
        <v>100</v>
      </c>
      <c r="H38">
        <f>属性拆分方式!F56</f>
        <v>1100</v>
      </c>
      <c r="I38">
        <v>0</v>
      </c>
      <c r="J38">
        <v>0</v>
      </c>
    </row>
    <row r="39" spans="2:10" x14ac:dyDescent="0.15">
      <c r="B39">
        <v>35</v>
      </c>
      <c r="C39">
        <v>3500</v>
      </c>
      <c r="D39">
        <f>属性拆分方式!C57</f>
        <v>3578</v>
      </c>
      <c r="E39">
        <f>属性拆分方式!D57</f>
        <v>215</v>
      </c>
      <c r="F39">
        <f>属性拆分方式!E57</f>
        <v>215</v>
      </c>
      <c r="G39">
        <v>100</v>
      </c>
      <c r="H39">
        <f>属性拆分方式!F57</f>
        <v>1110</v>
      </c>
      <c r="I39">
        <v>0</v>
      </c>
      <c r="J39">
        <v>0</v>
      </c>
    </row>
    <row r="40" spans="2:10" x14ac:dyDescent="0.15">
      <c r="B40">
        <v>36</v>
      </c>
      <c r="C40">
        <v>3600</v>
      </c>
      <c r="D40">
        <f>属性拆分方式!C58</f>
        <v>3611</v>
      </c>
      <c r="E40">
        <f>属性拆分方式!D58</f>
        <v>217</v>
      </c>
      <c r="F40">
        <f>属性拆分方式!E58</f>
        <v>217</v>
      </c>
      <c r="G40">
        <v>100</v>
      </c>
      <c r="H40">
        <f>属性拆分方式!F58</f>
        <v>1120</v>
      </c>
      <c r="I40">
        <v>0</v>
      </c>
      <c r="J40">
        <v>0</v>
      </c>
    </row>
    <row r="41" spans="2:10" x14ac:dyDescent="0.15">
      <c r="B41">
        <v>37</v>
      </c>
      <c r="C41">
        <v>3700</v>
      </c>
      <c r="D41">
        <f>属性拆分方式!C59</f>
        <v>3645</v>
      </c>
      <c r="E41">
        <f>属性拆分方式!D59</f>
        <v>219</v>
      </c>
      <c r="F41">
        <f>属性拆分方式!E59</f>
        <v>219</v>
      </c>
      <c r="G41">
        <v>100</v>
      </c>
      <c r="H41">
        <f>属性拆分方式!F59</f>
        <v>1131</v>
      </c>
      <c r="I41">
        <v>0</v>
      </c>
      <c r="J41">
        <v>0</v>
      </c>
    </row>
    <row r="42" spans="2:10" x14ac:dyDescent="0.15">
      <c r="B42">
        <v>38</v>
      </c>
      <c r="C42">
        <v>3800</v>
      </c>
      <c r="D42">
        <f>属性拆分方式!C60</f>
        <v>3679</v>
      </c>
      <c r="E42">
        <f>属性拆分方式!D60</f>
        <v>221</v>
      </c>
      <c r="F42">
        <f>属性拆分方式!E60</f>
        <v>221</v>
      </c>
      <c r="G42">
        <v>100</v>
      </c>
      <c r="H42">
        <f>属性拆分方式!F60</f>
        <v>1141</v>
      </c>
      <c r="I42">
        <v>0</v>
      </c>
      <c r="J42">
        <v>0</v>
      </c>
    </row>
    <row r="43" spans="2:10" x14ac:dyDescent="0.15">
      <c r="B43">
        <v>39</v>
      </c>
      <c r="C43">
        <v>3900</v>
      </c>
      <c r="D43">
        <f>属性拆分方式!C61</f>
        <v>3712</v>
      </c>
      <c r="E43">
        <f>属性拆分方式!D61</f>
        <v>223</v>
      </c>
      <c r="F43">
        <f>属性拆分方式!E61</f>
        <v>223</v>
      </c>
      <c r="G43">
        <v>100</v>
      </c>
      <c r="H43">
        <f>属性拆分方式!F61</f>
        <v>1152</v>
      </c>
      <c r="I43">
        <v>0</v>
      </c>
      <c r="J43">
        <v>0</v>
      </c>
    </row>
    <row r="44" spans="2:10" x14ac:dyDescent="0.15">
      <c r="B44">
        <v>40</v>
      </c>
      <c r="C44">
        <v>9999999</v>
      </c>
      <c r="D44">
        <f>属性拆分方式!C62</f>
        <v>3746</v>
      </c>
      <c r="E44">
        <f>属性拆分方式!D62</f>
        <v>225</v>
      </c>
      <c r="F44">
        <f>属性拆分方式!E62</f>
        <v>225</v>
      </c>
      <c r="G44">
        <v>544</v>
      </c>
      <c r="H44">
        <f>属性拆分方式!F62</f>
        <v>1162</v>
      </c>
      <c r="I44">
        <v>0</v>
      </c>
      <c r="J44">
        <v>300</v>
      </c>
    </row>
    <row r="45" spans="2:10" x14ac:dyDescent="0.15">
      <c r="B45">
        <v>41</v>
      </c>
      <c r="C45">
        <v>4100</v>
      </c>
      <c r="D45">
        <f>属性拆分方式!C63</f>
        <v>3780</v>
      </c>
      <c r="E45">
        <f>属性拆分方式!D63</f>
        <v>227</v>
      </c>
      <c r="F45">
        <f>属性拆分方式!E63</f>
        <v>227</v>
      </c>
      <c r="G45">
        <v>100</v>
      </c>
      <c r="H45">
        <f>属性拆分方式!F63</f>
        <v>1173</v>
      </c>
      <c r="I45">
        <v>0</v>
      </c>
      <c r="J45">
        <v>0</v>
      </c>
    </row>
    <row r="46" spans="2:10" x14ac:dyDescent="0.15">
      <c r="B46">
        <v>42</v>
      </c>
      <c r="C46">
        <v>4200</v>
      </c>
      <c r="D46">
        <f>属性拆分方式!C64</f>
        <v>3813</v>
      </c>
      <c r="E46">
        <f>属性拆分方式!D64</f>
        <v>229</v>
      </c>
      <c r="F46">
        <f>属性拆分方式!E64</f>
        <v>229</v>
      </c>
      <c r="G46">
        <v>100</v>
      </c>
      <c r="H46">
        <f>属性拆分方式!F64</f>
        <v>1183</v>
      </c>
      <c r="I46">
        <v>0</v>
      </c>
      <c r="J46">
        <v>0</v>
      </c>
    </row>
    <row r="47" spans="2:10" x14ac:dyDescent="0.15">
      <c r="B47">
        <v>43</v>
      </c>
      <c r="C47">
        <v>4300</v>
      </c>
      <c r="D47">
        <f>属性拆分方式!C65</f>
        <v>3847</v>
      </c>
      <c r="E47">
        <f>属性拆分方式!D65</f>
        <v>231</v>
      </c>
      <c r="F47">
        <f>属性拆分方式!E65</f>
        <v>231</v>
      </c>
      <c r="G47">
        <v>100</v>
      </c>
      <c r="H47">
        <f>属性拆分方式!F65</f>
        <v>1194</v>
      </c>
      <c r="I47">
        <v>0</v>
      </c>
      <c r="J47">
        <v>0</v>
      </c>
    </row>
    <row r="48" spans="2:10" x14ac:dyDescent="0.15">
      <c r="B48">
        <v>44</v>
      </c>
      <c r="C48">
        <v>4400</v>
      </c>
      <c r="D48">
        <f>属性拆分方式!C66</f>
        <v>3880</v>
      </c>
      <c r="E48">
        <f>属性拆分方式!D66</f>
        <v>233</v>
      </c>
      <c r="F48">
        <f>属性拆分方式!E66</f>
        <v>233</v>
      </c>
      <c r="G48">
        <v>100</v>
      </c>
      <c r="H48">
        <f>属性拆分方式!F66</f>
        <v>1204</v>
      </c>
      <c r="I48">
        <v>0</v>
      </c>
      <c r="J48">
        <v>0</v>
      </c>
    </row>
    <row r="49" spans="2:10" x14ac:dyDescent="0.15">
      <c r="B49">
        <v>45</v>
      </c>
      <c r="C49">
        <v>4500</v>
      </c>
      <c r="D49">
        <f>属性拆分方式!C67</f>
        <v>3914</v>
      </c>
      <c r="E49">
        <f>属性拆分方式!D67</f>
        <v>235</v>
      </c>
      <c r="F49">
        <f>属性拆分方式!E67</f>
        <v>235</v>
      </c>
      <c r="G49">
        <v>100</v>
      </c>
      <c r="H49">
        <f>属性拆分方式!F67</f>
        <v>1215</v>
      </c>
      <c r="I49">
        <v>0</v>
      </c>
      <c r="J49">
        <v>0</v>
      </c>
    </row>
    <row r="50" spans="2:10" x14ac:dyDescent="0.15">
      <c r="B50">
        <v>46</v>
      </c>
      <c r="C50">
        <v>4600</v>
      </c>
      <c r="D50">
        <f>属性拆分方式!C68</f>
        <v>3948</v>
      </c>
      <c r="E50">
        <f>属性拆分方式!D68</f>
        <v>237</v>
      </c>
      <c r="F50">
        <f>属性拆分方式!E68</f>
        <v>237</v>
      </c>
      <c r="G50">
        <v>100</v>
      </c>
      <c r="H50">
        <f>属性拆分方式!F68</f>
        <v>1225</v>
      </c>
      <c r="I50">
        <v>0</v>
      </c>
      <c r="J50">
        <v>0</v>
      </c>
    </row>
    <row r="51" spans="2:10" x14ac:dyDescent="0.15">
      <c r="B51">
        <v>47</v>
      </c>
      <c r="C51">
        <v>4700</v>
      </c>
      <c r="D51">
        <f>属性拆分方式!C69</f>
        <v>3981</v>
      </c>
      <c r="E51">
        <f>属性拆分方式!D69</f>
        <v>239</v>
      </c>
      <c r="F51">
        <f>属性拆分方式!E69</f>
        <v>239</v>
      </c>
      <c r="G51">
        <v>100</v>
      </c>
      <c r="H51">
        <f>属性拆分方式!F69</f>
        <v>1236</v>
      </c>
      <c r="I51">
        <v>0</v>
      </c>
      <c r="J51">
        <v>0</v>
      </c>
    </row>
    <row r="52" spans="2:10" x14ac:dyDescent="0.15">
      <c r="B52">
        <v>48</v>
      </c>
      <c r="C52">
        <v>4800</v>
      </c>
      <c r="D52">
        <f>属性拆分方式!C70</f>
        <v>4015</v>
      </c>
      <c r="E52">
        <f>属性拆分方式!D70</f>
        <v>241</v>
      </c>
      <c r="F52">
        <f>属性拆分方式!E70</f>
        <v>241</v>
      </c>
      <c r="G52">
        <v>100</v>
      </c>
      <c r="H52">
        <f>属性拆分方式!F70</f>
        <v>1246</v>
      </c>
      <c r="I52">
        <v>0</v>
      </c>
      <c r="J52">
        <v>0</v>
      </c>
    </row>
    <row r="53" spans="2:10" x14ac:dyDescent="0.15">
      <c r="B53">
        <v>49</v>
      </c>
      <c r="C53">
        <v>4900</v>
      </c>
      <c r="D53">
        <f>属性拆分方式!C71</f>
        <v>4048</v>
      </c>
      <c r="E53">
        <f>属性拆分方式!D71</f>
        <v>243</v>
      </c>
      <c r="F53">
        <f>属性拆分方式!E71</f>
        <v>243</v>
      </c>
      <c r="G53">
        <v>100</v>
      </c>
      <c r="H53">
        <f>属性拆分方式!F71</f>
        <v>1257</v>
      </c>
      <c r="I53">
        <v>0</v>
      </c>
      <c r="J53">
        <v>0</v>
      </c>
    </row>
    <row r="54" spans="2:10" x14ac:dyDescent="0.15">
      <c r="B54">
        <v>50</v>
      </c>
      <c r="C54">
        <v>5000</v>
      </c>
      <c r="D54">
        <f>属性拆分方式!C72</f>
        <v>4082</v>
      </c>
      <c r="E54">
        <f>属性拆分方式!D72</f>
        <v>245</v>
      </c>
      <c r="F54">
        <f>属性拆分方式!E72</f>
        <v>245</v>
      </c>
      <c r="G54">
        <v>100</v>
      </c>
      <c r="H54">
        <f>属性拆分方式!F72</f>
        <v>1267</v>
      </c>
      <c r="I54">
        <v>0</v>
      </c>
      <c r="J54">
        <v>0</v>
      </c>
    </row>
    <row r="55" spans="2:10" x14ac:dyDescent="0.15">
      <c r="B55">
        <v>51</v>
      </c>
      <c r="C55">
        <v>5100</v>
      </c>
      <c r="D55">
        <v>1000</v>
      </c>
      <c r="E55">
        <v>100</v>
      </c>
      <c r="F55">
        <v>100</v>
      </c>
      <c r="G55">
        <v>100</v>
      </c>
      <c r="H55">
        <v>100</v>
      </c>
      <c r="I55">
        <v>0</v>
      </c>
      <c r="J55">
        <v>0</v>
      </c>
    </row>
    <row r="56" spans="2:10" x14ac:dyDescent="0.15">
      <c r="B56">
        <v>52</v>
      </c>
      <c r="C56">
        <v>5200</v>
      </c>
      <c r="D56">
        <v>1000</v>
      </c>
      <c r="E56">
        <v>100</v>
      </c>
      <c r="F56">
        <v>100</v>
      </c>
      <c r="G56">
        <v>100</v>
      </c>
      <c r="H56">
        <v>100</v>
      </c>
      <c r="I56">
        <v>0</v>
      </c>
      <c r="J56">
        <v>0</v>
      </c>
    </row>
    <row r="57" spans="2:10" x14ac:dyDescent="0.15">
      <c r="B57">
        <v>53</v>
      </c>
      <c r="C57">
        <v>5300</v>
      </c>
      <c r="D57">
        <v>1000</v>
      </c>
      <c r="E57">
        <v>100</v>
      </c>
      <c r="F57">
        <v>100</v>
      </c>
      <c r="G57">
        <v>100</v>
      </c>
      <c r="H57">
        <v>100</v>
      </c>
      <c r="I57">
        <v>0</v>
      </c>
      <c r="J57">
        <v>0</v>
      </c>
    </row>
    <row r="58" spans="2:10" x14ac:dyDescent="0.15">
      <c r="B58">
        <v>54</v>
      </c>
      <c r="C58">
        <v>5400</v>
      </c>
      <c r="D58">
        <v>1000</v>
      </c>
      <c r="E58">
        <v>100</v>
      </c>
      <c r="F58">
        <v>100</v>
      </c>
      <c r="G58">
        <v>100</v>
      </c>
      <c r="H58">
        <v>100</v>
      </c>
      <c r="I58">
        <v>0</v>
      </c>
      <c r="J58">
        <v>0</v>
      </c>
    </row>
    <row r="59" spans="2:10" x14ac:dyDescent="0.15">
      <c r="B59">
        <v>55</v>
      </c>
      <c r="C59">
        <v>5500</v>
      </c>
      <c r="D59">
        <v>1000</v>
      </c>
      <c r="E59">
        <v>100</v>
      </c>
      <c r="F59">
        <v>100</v>
      </c>
      <c r="G59">
        <v>100</v>
      </c>
      <c r="H59">
        <v>100</v>
      </c>
      <c r="I59">
        <v>0</v>
      </c>
      <c r="J59">
        <v>0</v>
      </c>
    </row>
    <row r="60" spans="2:10" x14ac:dyDescent="0.15">
      <c r="B60">
        <v>56</v>
      </c>
      <c r="C60">
        <v>5600</v>
      </c>
      <c r="D60">
        <v>1000</v>
      </c>
      <c r="E60">
        <v>100</v>
      </c>
      <c r="F60">
        <v>100</v>
      </c>
      <c r="G60">
        <v>100</v>
      </c>
      <c r="H60">
        <v>100</v>
      </c>
      <c r="I60">
        <v>0</v>
      </c>
      <c r="J60">
        <v>0</v>
      </c>
    </row>
    <row r="61" spans="2:10" x14ac:dyDescent="0.15">
      <c r="B61">
        <v>57</v>
      </c>
      <c r="C61">
        <v>5700</v>
      </c>
      <c r="D61">
        <v>1000</v>
      </c>
      <c r="E61">
        <v>100</v>
      </c>
      <c r="F61">
        <v>100</v>
      </c>
      <c r="G61">
        <v>100</v>
      </c>
      <c r="H61">
        <v>100</v>
      </c>
      <c r="I61">
        <v>0</v>
      </c>
      <c r="J61">
        <v>0</v>
      </c>
    </row>
    <row r="62" spans="2:10" x14ac:dyDescent="0.15">
      <c r="B62">
        <v>58</v>
      </c>
      <c r="C62">
        <v>5800</v>
      </c>
      <c r="D62">
        <v>1000</v>
      </c>
      <c r="E62">
        <v>100</v>
      </c>
      <c r="F62">
        <v>100</v>
      </c>
      <c r="G62">
        <v>100</v>
      </c>
      <c r="H62">
        <v>100</v>
      </c>
      <c r="I62">
        <v>0</v>
      </c>
      <c r="J62">
        <v>0</v>
      </c>
    </row>
    <row r="63" spans="2:10" x14ac:dyDescent="0.15">
      <c r="B63">
        <v>59</v>
      </c>
      <c r="C63">
        <v>5900</v>
      </c>
      <c r="D63">
        <v>1000</v>
      </c>
      <c r="E63">
        <v>100</v>
      </c>
      <c r="F63">
        <v>100</v>
      </c>
      <c r="G63">
        <v>100</v>
      </c>
      <c r="H63">
        <v>100</v>
      </c>
      <c r="I63">
        <v>0</v>
      </c>
      <c r="J63">
        <v>0</v>
      </c>
    </row>
    <row r="64" spans="2:10" x14ac:dyDescent="0.15">
      <c r="B64">
        <v>60</v>
      </c>
      <c r="C64">
        <v>6000</v>
      </c>
      <c r="D64">
        <v>1000</v>
      </c>
      <c r="E64">
        <v>100</v>
      </c>
      <c r="F64">
        <v>100</v>
      </c>
      <c r="G64">
        <v>100</v>
      </c>
      <c r="H64">
        <v>100</v>
      </c>
      <c r="I64">
        <v>0</v>
      </c>
      <c r="J64">
        <v>0</v>
      </c>
    </row>
    <row r="65" spans="2:10" x14ac:dyDescent="0.15">
      <c r="B65">
        <v>61</v>
      </c>
      <c r="C65">
        <v>6100</v>
      </c>
      <c r="D65">
        <v>1000</v>
      </c>
      <c r="E65">
        <v>100</v>
      </c>
      <c r="F65">
        <v>100</v>
      </c>
      <c r="G65">
        <v>100</v>
      </c>
      <c r="H65">
        <v>100</v>
      </c>
      <c r="I65">
        <v>0</v>
      </c>
      <c r="J65">
        <v>0</v>
      </c>
    </row>
    <row r="66" spans="2:10" x14ac:dyDescent="0.15">
      <c r="B66">
        <v>62</v>
      </c>
      <c r="C66">
        <v>6200</v>
      </c>
      <c r="D66">
        <v>1000</v>
      </c>
      <c r="E66">
        <v>100</v>
      </c>
      <c r="F66">
        <v>100</v>
      </c>
      <c r="G66">
        <v>100</v>
      </c>
      <c r="H66">
        <v>100</v>
      </c>
      <c r="I66">
        <v>0</v>
      </c>
      <c r="J66">
        <v>0</v>
      </c>
    </row>
    <row r="67" spans="2:10" x14ac:dyDescent="0.15">
      <c r="B67">
        <v>63</v>
      </c>
      <c r="C67">
        <v>6300</v>
      </c>
      <c r="D67">
        <v>1000</v>
      </c>
      <c r="E67">
        <v>100</v>
      </c>
      <c r="F67">
        <v>100</v>
      </c>
      <c r="G67">
        <v>100</v>
      </c>
      <c r="H67">
        <v>100</v>
      </c>
      <c r="I67">
        <v>0</v>
      </c>
      <c r="J67">
        <v>0</v>
      </c>
    </row>
    <row r="68" spans="2:10" x14ac:dyDescent="0.15">
      <c r="B68">
        <v>64</v>
      </c>
      <c r="C68">
        <v>6400</v>
      </c>
      <c r="D68">
        <v>1000</v>
      </c>
      <c r="E68">
        <v>100</v>
      </c>
      <c r="F68">
        <v>100</v>
      </c>
      <c r="G68">
        <v>100</v>
      </c>
      <c r="H68">
        <v>100</v>
      </c>
      <c r="I68">
        <v>0</v>
      </c>
      <c r="J68">
        <v>0</v>
      </c>
    </row>
    <row r="69" spans="2:10" x14ac:dyDescent="0.15">
      <c r="B69">
        <v>65</v>
      </c>
      <c r="C69">
        <v>6500</v>
      </c>
      <c r="D69">
        <v>1000</v>
      </c>
      <c r="E69">
        <v>100</v>
      </c>
      <c r="F69">
        <v>100</v>
      </c>
      <c r="G69">
        <v>100</v>
      </c>
      <c r="H69">
        <v>100</v>
      </c>
      <c r="I69">
        <v>0</v>
      </c>
      <c r="J69">
        <v>0</v>
      </c>
    </row>
    <row r="70" spans="2:10" x14ac:dyDescent="0.15">
      <c r="B70">
        <v>66</v>
      </c>
      <c r="C70">
        <v>6600</v>
      </c>
      <c r="D70">
        <v>1000</v>
      </c>
      <c r="E70">
        <v>100</v>
      </c>
      <c r="F70">
        <v>100</v>
      </c>
      <c r="G70">
        <v>100</v>
      </c>
      <c r="H70">
        <v>100</v>
      </c>
      <c r="I70">
        <v>0</v>
      </c>
      <c r="J70">
        <v>0</v>
      </c>
    </row>
    <row r="71" spans="2:10" x14ac:dyDescent="0.15">
      <c r="B71">
        <v>67</v>
      </c>
      <c r="C71">
        <v>6700</v>
      </c>
      <c r="D71">
        <v>1000</v>
      </c>
      <c r="E71">
        <v>100</v>
      </c>
      <c r="F71">
        <v>100</v>
      </c>
      <c r="G71">
        <v>100</v>
      </c>
      <c r="H71">
        <v>100</v>
      </c>
      <c r="I71">
        <v>0</v>
      </c>
      <c r="J71">
        <v>0</v>
      </c>
    </row>
    <row r="72" spans="2:10" x14ac:dyDescent="0.15">
      <c r="B72">
        <v>68</v>
      </c>
      <c r="C72">
        <v>6800</v>
      </c>
      <c r="D72">
        <v>1000</v>
      </c>
      <c r="E72">
        <v>100</v>
      </c>
      <c r="F72">
        <v>100</v>
      </c>
      <c r="G72">
        <v>100</v>
      </c>
      <c r="H72">
        <v>100</v>
      </c>
      <c r="I72">
        <v>0</v>
      </c>
      <c r="J72">
        <v>0</v>
      </c>
    </row>
    <row r="73" spans="2:10" x14ac:dyDescent="0.15">
      <c r="B73">
        <v>69</v>
      </c>
      <c r="C73">
        <v>6900</v>
      </c>
      <c r="D73">
        <v>1000</v>
      </c>
      <c r="E73">
        <v>100</v>
      </c>
      <c r="F73">
        <v>100</v>
      </c>
      <c r="G73">
        <v>100</v>
      </c>
      <c r="H73">
        <v>100</v>
      </c>
      <c r="I73">
        <v>0</v>
      </c>
      <c r="J73">
        <v>0</v>
      </c>
    </row>
    <row r="74" spans="2:10" x14ac:dyDescent="0.15">
      <c r="B74">
        <v>70</v>
      </c>
      <c r="C74">
        <v>7000</v>
      </c>
      <c r="D74">
        <v>1000</v>
      </c>
      <c r="E74">
        <v>100</v>
      </c>
      <c r="F74">
        <v>100</v>
      </c>
      <c r="G74">
        <v>100</v>
      </c>
      <c r="H74">
        <v>100</v>
      </c>
      <c r="I74">
        <v>0</v>
      </c>
      <c r="J74">
        <v>0</v>
      </c>
    </row>
    <row r="75" spans="2:10" x14ac:dyDescent="0.15">
      <c r="B75">
        <v>71</v>
      </c>
      <c r="C75">
        <v>7100</v>
      </c>
      <c r="D75">
        <v>1000</v>
      </c>
      <c r="E75">
        <v>100</v>
      </c>
      <c r="F75">
        <v>100</v>
      </c>
      <c r="G75">
        <v>100</v>
      </c>
      <c r="H75">
        <v>100</v>
      </c>
      <c r="I75">
        <v>0</v>
      </c>
      <c r="J75">
        <v>0</v>
      </c>
    </row>
    <row r="76" spans="2:10" x14ac:dyDescent="0.15">
      <c r="B76">
        <v>72</v>
      </c>
      <c r="C76">
        <v>7200</v>
      </c>
      <c r="D76">
        <v>1000</v>
      </c>
      <c r="E76">
        <v>100</v>
      </c>
      <c r="F76">
        <v>100</v>
      </c>
      <c r="G76">
        <v>100</v>
      </c>
      <c r="H76">
        <v>100</v>
      </c>
      <c r="I76">
        <v>0</v>
      </c>
      <c r="J76">
        <v>0</v>
      </c>
    </row>
    <row r="77" spans="2:10" x14ac:dyDescent="0.15">
      <c r="B77">
        <v>73</v>
      </c>
      <c r="C77">
        <v>7300</v>
      </c>
      <c r="D77">
        <v>1000</v>
      </c>
      <c r="E77">
        <v>100</v>
      </c>
      <c r="F77">
        <v>100</v>
      </c>
      <c r="G77">
        <v>100</v>
      </c>
      <c r="H77">
        <v>100</v>
      </c>
      <c r="I77">
        <v>0</v>
      </c>
      <c r="J77">
        <v>0</v>
      </c>
    </row>
    <row r="78" spans="2:10" x14ac:dyDescent="0.15">
      <c r="B78">
        <v>74</v>
      </c>
      <c r="C78">
        <v>7400</v>
      </c>
      <c r="D78">
        <v>1000</v>
      </c>
      <c r="E78">
        <v>100</v>
      </c>
      <c r="F78">
        <v>100</v>
      </c>
      <c r="G78">
        <v>100</v>
      </c>
      <c r="H78">
        <v>100</v>
      </c>
      <c r="I78">
        <v>0</v>
      </c>
      <c r="J78">
        <v>0</v>
      </c>
    </row>
    <row r="79" spans="2:10" x14ac:dyDescent="0.15">
      <c r="B79">
        <v>75</v>
      </c>
      <c r="C79">
        <v>7500</v>
      </c>
      <c r="D79">
        <v>1000</v>
      </c>
      <c r="E79">
        <v>100</v>
      </c>
      <c r="F79">
        <v>100</v>
      </c>
      <c r="G79">
        <v>100</v>
      </c>
      <c r="H79">
        <v>100</v>
      </c>
      <c r="I79">
        <v>0</v>
      </c>
      <c r="J79">
        <v>0</v>
      </c>
    </row>
    <row r="80" spans="2:10" x14ac:dyDescent="0.15">
      <c r="B80">
        <v>76</v>
      </c>
      <c r="C80">
        <v>7600</v>
      </c>
      <c r="D80">
        <v>1000</v>
      </c>
      <c r="E80">
        <v>100</v>
      </c>
      <c r="F80">
        <v>100</v>
      </c>
      <c r="G80">
        <v>100</v>
      </c>
      <c r="H80">
        <v>100</v>
      </c>
      <c r="I80">
        <v>0</v>
      </c>
      <c r="J80">
        <v>0</v>
      </c>
    </row>
    <row r="81" spans="2:10" x14ac:dyDescent="0.15">
      <c r="B81">
        <v>77</v>
      </c>
      <c r="C81">
        <v>7700</v>
      </c>
      <c r="D81">
        <v>1000</v>
      </c>
      <c r="E81">
        <v>100</v>
      </c>
      <c r="F81">
        <v>100</v>
      </c>
      <c r="G81">
        <v>100</v>
      </c>
      <c r="H81">
        <v>100</v>
      </c>
      <c r="I81">
        <v>0</v>
      </c>
      <c r="J81">
        <v>0</v>
      </c>
    </row>
    <row r="82" spans="2:10" x14ac:dyDescent="0.15">
      <c r="B82">
        <v>78</v>
      </c>
      <c r="C82">
        <v>7800</v>
      </c>
      <c r="D82">
        <v>1000</v>
      </c>
      <c r="E82">
        <v>100</v>
      </c>
      <c r="F82">
        <v>100</v>
      </c>
      <c r="G82">
        <v>100</v>
      </c>
      <c r="H82">
        <v>100</v>
      </c>
      <c r="I82">
        <v>0</v>
      </c>
      <c r="J82">
        <v>0</v>
      </c>
    </row>
    <row r="83" spans="2:10" x14ac:dyDescent="0.15">
      <c r="B83">
        <v>79</v>
      </c>
      <c r="C83">
        <v>7900</v>
      </c>
      <c r="D83">
        <v>1000</v>
      </c>
      <c r="E83">
        <v>100</v>
      </c>
      <c r="F83">
        <v>100</v>
      </c>
      <c r="G83">
        <v>100</v>
      </c>
      <c r="H83">
        <v>100</v>
      </c>
      <c r="I83">
        <v>0</v>
      </c>
      <c r="J83">
        <v>0</v>
      </c>
    </row>
    <row r="84" spans="2:10" x14ac:dyDescent="0.15">
      <c r="B84">
        <v>80</v>
      </c>
      <c r="C84">
        <v>8000</v>
      </c>
      <c r="D84">
        <v>1000</v>
      </c>
      <c r="E84">
        <v>100</v>
      </c>
      <c r="F84">
        <v>100</v>
      </c>
      <c r="G84">
        <v>100</v>
      </c>
      <c r="H84">
        <v>100</v>
      </c>
      <c r="I84">
        <v>0</v>
      </c>
      <c r="J84">
        <v>0</v>
      </c>
    </row>
    <row r="85" spans="2:10" x14ac:dyDescent="0.15">
      <c r="B85">
        <v>81</v>
      </c>
      <c r="C85">
        <v>8100</v>
      </c>
      <c r="D85">
        <v>1000</v>
      </c>
      <c r="E85">
        <v>100</v>
      </c>
      <c r="F85">
        <v>100</v>
      </c>
      <c r="G85">
        <v>100</v>
      </c>
      <c r="H85">
        <v>100</v>
      </c>
      <c r="I85">
        <v>0</v>
      </c>
      <c r="J85">
        <v>0</v>
      </c>
    </row>
    <row r="86" spans="2:10" x14ac:dyDescent="0.15">
      <c r="B86">
        <v>82</v>
      </c>
      <c r="C86">
        <v>8200</v>
      </c>
      <c r="D86">
        <v>1000</v>
      </c>
      <c r="E86">
        <v>100</v>
      </c>
      <c r="F86">
        <v>100</v>
      </c>
      <c r="G86">
        <v>100</v>
      </c>
      <c r="H86">
        <v>100</v>
      </c>
      <c r="I86">
        <v>0</v>
      </c>
      <c r="J86">
        <v>0</v>
      </c>
    </row>
    <row r="87" spans="2:10" x14ac:dyDescent="0.15">
      <c r="B87">
        <v>83</v>
      </c>
      <c r="C87">
        <v>8300</v>
      </c>
      <c r="D87">
        <v>1000</v>
      </c>
      <c r="E87">
        <v>100</v>
      </c>
      <c r="F87">
        <v>100</v>
      </c>
      <c r="G87">
        <v>100</v>
      </c>
      <c r="H87">
        <v>100</v>
      </c>
      <c r="I87">
        <v>0</v>
      </c>
      <c r="J87">
        <v>0</v>
      </c>
    </row>
    <row r="88" spans="2:10" x14ac:dyDescent="0.15">
      <c r="B88">
        <v>84</v>
      </c>
      <c r="C88">
        <v>8400</v>
      </c>
      <c r="D88">
        <v>1000</v>
      </c>
      <c r="E88">
        <v>100</v>
      </c>
      <c r="F88">
        <v>100</v>
      </c>
      <c r="G88">
        <v>100</v>
      </c>
      <c r="H88">
        <v>100</v>
      </c>
      <c r="I88">
        <v>0</v>
      </c>
      <c r="J88">
        <v>0</v>
      </c>
    </row>
    <row r="89" spans="2:10" x14ac:dyDescent="0.15">
      <c r="B89">
        <v>85</v>
      </c>
      <c r="C89">
        <v>8500</v>
      </c>
      <c r="D89">
        <v>1000</v>
      </c>
      <c r="E89">
        <v>100</v>
      </c>
      <c r="F89">
        <v>100</v>
      </c>
      <c r="G89">
        <v>100</v>
      </c>
      <c r="H89">
        <v>100</v>
      </c>
      <c r="I89">
        <v>0</v>
      </c>
      <c r="J89">
        <v>0</v>
      </c>
    </row>
    <row r="90" spans="2:10" x14ac:dyDescent="0.15">
      <c r="B90">
        <v>86</v>
      </c>
      <c r="C90">
        <v>8600</v>
      </c>
      <c r="D90">
        <v>1000</v>
      </c>
      <c r="E90">
        <v>100</v>
      </c>
      <c r="F90">
        <v>100</v>
      </c>
      <c r="G90">
        <v>100</v>
      </c>
      <c r="H90">
        <v>100</v>
      </c>
      <c r="I90">
        <v>0</v>
      </c>
      <c r="J90">
        <v>0</v>
      </c>
    </row>
    <row r="91" spans="2:10" x14ac:dyDescent="0.15">
      <c r="B91">
        <v>87</v>
      </c>
      <c r="C91">
        <v>8700</v>
      </c>
      <c r="D91">
        <v>1000</v>
      </c>
      <c r="E91">
        <v>100</v>
      </c>
      <c r="F91">
        <v>100</v>
      </c>
      <c r="G91">
        <v>100</v>
      </c>
      <c r="H91">
        <v>100</v>
      </c>
      <c r="I91">
        <v>0</v>
      </c>
      <c r="J91">
        <v>0</v>
      </c>
    </row>
    <row r="92" spans="2:10" x14ac:dyDescent="0.15">
      <c r="B92">
        <v>88</v>
      </c>
      <c r="C92">
        <v>8800</v>
      </c>
      <c r="D92">
        <v>1000</v>
      </c>
      <c r="E92">
        <v>100</v>
      </c>
      <c r="F92">
        <v>100</v>
      </c>
      <c r="G92">
        <v>100</v>
      </c>
      <c r="H92">
        <v>100</v>
      </c>
      <c r="I92">
        <v>0</v>
      </c>
      <c r="J92">
        <v>0</v>
      </c>
    </row>
    <row r="93" spans="2:10" x14ac:dyDescent="0.15">
      <c r="B93">
        <v>89</v>
      </c>
      <c r="C93">
        <v>8900</v>
      </c>
      <c r="D93">
        <v>1000</v>
      </c>
      <c r="E93">
        <v>100</v>
      </c>
      <c r="F93">
        <v>100</v>
      </c>
      <c r="G93">
        <v>100</v>
      </c>
      <c r="H93">
        <v>100</v>
      </c>
      <c r="I93">
        <v>0</v>
      </c>
      <c r="J93">
        <v>0</v>
      </c>
    </row>
    <row r="94" spans="2:10" x14ac:dyDescent="0.15">
      <c r="B94">
        <v>90</v>
      </c>
      <c r="C94">
        <v>9000</v>
      </c>
      <c r="D94">
        <v>1000</v>
      </c>
      <c r="E94">
        <v>100</v>
      </c>
      <c r="F94">
        <v>100</v>
      </c>
      <c r="G94">
        <v>100</v>
      </c>
      <c r="H94">
        <v>100</v>
      </c>
      <c r="I94">
        <v>0</v>
      </c>
      <c r="J94">
        <v>0</v>
      </c>
    </row>
    <row r="95" spans="2:10" x14ac:dyDescent="0.15">
      <c r="B95">
        <v>91</v>
      </c>
      <c r="C95">
        <v>9100</v>
      </c>
      <c r="D95">
        <v>1000</v>
      </c>
      <c r="E95">
        <v>100</v>
      </c>
      <c r="F95">
        <v>100</v>
      </c>
      <c r="G95">
        <v>100</v>
      </c>
      <c r="H95">
        <v>100</v>
      </c>
      <c r="I95">
        <v>0</v>
      </c>
      <c r="J95">
        <v>0</v>
      </c>
    </row>
    <row r="96" spans="2:10" x14ac:dyDescent="0.15">
      <c r="B96">
        <v>92</v>
      </c>
      <c r="C96">
        <v>9200</v>
      </c>
      <c r="D96">
        <v>1000</v>
      </c>
      <c r="E96">
        <v>100</v>
      </c>
      <c r="F96">
        <v>100</v>
      </c>
      <c r="G96">
        <v>100</v>
      </c>
      <c r="H96">
        <v>100</v>
      </c>
      <c r="I96">
        <v>0</v>
      </c>
      <c r="J96">
        <v>0</v>
      </c>
    </row>
    <row r="97" spans="2:10" x14ac:dyDescent="0.15">
      <c r="B97">
        <v>93</v>
      </c>
      <c r="C97">
        <v>9300</v>
      </c>
      <c r="D97">
        <v>1000</v>
      </c>
      <c r="E97">
        <v>100</v>
      </c>
      <c r="F97">
        <v>100</v>
      </c>
      <c r="G97">
        <v>100</v>
      </c>
      <c r="H97">
        <v>100</v>
      </c>
      <c r="I97">
        <v>0</v>
      </c>
      <c r="J97">
        <v>0</v>
      </c>
    </row>
    <row r="98" spans="2:10" x14ac:dyDescent="0.15">
      <c r="B98">
        <v>94</v>
      </c>
      <c r="C98">
        <v>9400</v>
      </c>
      <c r="D98">
        <v>1000</v>
      </c>
      <c r="E98">
        <v>100</v>
      </c>
      <c r="F98">
        <v>100</v>
      </c>
      <c r="G98">
        <v>100</v>
      </c>
      <c r="H98">
        <v>100</v>
      </c>
      <c r="I98">
        <v>0</v>
      </c>
      <c r="J98">
        <v>0</v>
      </c>
    </row>
    <row r="99" spans="2:10" x14ac:dyDescent="0.15">
      <c r="B99">
        <v>95</v>
      </c>
      <c r="C99">
        <v>9500</v>
      </c>
      <c r="D99">
        <v>1000</v>
      </c>
      <c r="E99">
        <v>100</v>
      </c>
      <c r="F99">
        <v>100</v>
      </c>
      <c r="G99">
        <v>100</v>
      </c>
      <c r="H99">
        <v>100</v>
      </c>
      <c r="I99">
        <v>0</v>
      </c>
      <c r="J99">
        <v>0</v>
      </c>
    </row>
    <row r="100" spans="2:10" x14ac:dyDescent="0.15">
      <c r="B100">
        <v>96</v>
      </c>
      <c r="C100">
        <v>9600</v>
      </c>
      <c r="D100">
        <v>1000</v>
      </c>
      <c r="E100">
        <v>100</v>
      </c>
      <c r="F100">
        <v>100</v>
      </c>
      <c r="G100">
        <v>100</v>
      </c>
      <c r="H100">
        <v>100</v>
      </c>
      <c r="I100">
        <v>0</v>
      </c>
      <c r="J100">
        <v>0</v>
      </c>
    </row>
    <row r="101" spans="2:10" x14ac:dyDescent="0.15">
      <c r="B101">
        <v>97</v>
      </c>
      <c r="C101">
        <v>9700</v>
      </c>
      <c r="D101">
        <v>1000</v>
      </c>
      <c r="E101">
        <v>100</v>
      </c>
      <c r="F101">
        <v>100</v>
      </c>
      <c r="G101">
        <v>100</v>
      </c>
      <c r="H101">
        <v>100</v>
      </c>
      <c r="I101">
        <v>0</v>
      </c>
      <c r="J101">
        <v>0</v>
      </c>
    </row>
    <row r="102" spans="2:10" x14ac:dyDescent="0.15">
      <c r="B102">
        <v>98</v>
      </c>
      <c r="C102">
        <v>9800</v>
      </c>
      <c r="D102">
        <v>1000</v>
      </c>
      <c r="E102">
        <v>100</v>
      </c>
      <c r="F102">
        <v>100</v>
      </c>
      <c r="G102">
        <v>100</v>
      </c>
      <c r="H102">
        <v>100</v>
      </c>
      <c r="I102">
        <v>0</v>
      </c>
      <c r="J102">
        <v>0</v>
      </c>
    </row>
    <row r="103" spans="2:10" x14ac:dyDescent="0.15">
      <c r="B103">
        <v>99</v>
      </c>
      <c r="C103">
        <v>9900</v>
      </c>
      <c r="D103">
        <v>1000</v>
      </c>
      <c r="E103">
        <v>100</v>
      </c>
      <c r="F103">
        <v>100</v>
      </c>
      <c r="G103">
        <v>100</v>
      </c>
      <c r="H103">
        <v>100</v>
      </c>
      <c r="I103">
        <v>0</v>
      </c>
      <c r="J103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N21"/>
  <sheetViews>
    <sheetView tabSelected="1" workbookViewId="0">
      <selection activeCell="L32" sqref="L32"/>
    </sheetView>
  </sheetViews>
  <sheetFormatPr defaultRowHeight="13.5" x14ac:dyDescent="0.15"/>
  <cols>
    <col min="11" max="11" width="14.625" customWidth="1"/>
  </cols>
  <sheetData>
    <row r="3" spans="2:14" x14ac:dyDescent="0.15">
      <c r="B3" t="s">
        <v>62</v>
      </c>
      <c r="C3" t="s">
        <v>63</v>
      </c>
      <c r="D3" t="s">
        <v>63</v>
      </c>
      <c r="E3" t="s">
        <v>63</v>
      </c>
      <c r="F3" t="s">
        <v>63</v>
      </c>
      <c r="G3" t="s">
        <v>63</v>
      </c>
      <c r="H3" t="s">
        <v>63</v>
      </c>
      <c r="I3" t="s">
        <v>63</v>
      </c>
      <c r="J3" t="s">
        <v>63</v>
      </c>
      <c r="K3" t="s">
        <v>63</v>
      </c>
      <c r="L3" t="s">
        <v>63</v>
      </c>
      <c r="M3" t="s">
        <v>116</v>
      </c>
      <c r="N3" t="s">
        <v>116</v>
      </c>
    </row>
    <row r="4" spans="2:14" x14ac:dyDescent="0.15">
      <c r="B4" t="s">
        <v>117</v>
      </c>
      <c r="C4" t="s">
        <v>66</v>
      </c>
      <c r="D4" t="s">
        <v>67</v>
      </c>
      <c r="E4" t="s">
        <v>68</v>
      </c>
      <c r="F4" t="s">
        <v>69</v>
      </c>
      <c r="G4" t="s">
        <v>70</v>
      </c>
      <c r="H4" t="s">
        <v>71</v>
      </c>
      <c r="I4" t="s">
        <v>72</v>
      </c>
      <c r="J4" t="s">
        <v>118</v>
      </c>
      <c r="K4" t="s">
        <v>119</v>
      </c>
      <c r="L4" t="s">
        <v>120</v>
      </c>
      <c r="M4" t="s">
        <v>121</v>
      </c>
      <c r="N4" t="s">
        <v>122</v>
      </c>
    </row>
    <row r="5" spans="2:14" x14ac:dyDescent="0.15">
      <c r="B5" t="s">
        <v>123</v>
      </c>
      <c r="C5" t="s">
        <v>75</v>
      </c>
      <c r="D5" t="s">
        <v>76</v>
      </c>
      <c r="E5" t="s">
        <v>77</v>
      </c>
      <c r="F5" t="s">
        <v>78</v>
      </c>
      <c r="G5" t="s">
        <v>79</v>
      </c>
      <c r="H5" t="s">
        <v>80</v>
      </c>
      <c r="I5" t="s">
        <v>81</v>
      </c>
      <c r="J5" t="s">
        <v>124</v>
      </c>
      <c r="K5" t="s">
        <v>125</v>
      </c>
      <c r="L5" t="s">
        <v>126</v>
      </c>
      <c r="M5" t="s">
        <v>127</v>
      </c>
      <c r="N5" t="s">
        <v>128</v>
      </c>
    </row>
    <row r="6" spans="2:14" x14ac:dyDescent="0.15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2:14" x14ac:dyDescent="0.15">
      <c r="B7">
        <v>1</v>
      </c>
      <c r="C7">
        <f>属性拆分方式!I31</f>
        <v>151</v>
      </c>
      <c r="D7">
        <f>属性拆分方式!J31</f>
        <v>9</v>
      </c>
      <c r="E7">
        <f>属性拆分方式!K31</f>
        <v>9</v>
      </c>
      <c r="F7">
        <v>100</v>
      </c>
      <c r="G7">
        <f>属性拆分方式!L31</f>
        <v>47</v>
      </c>
      <c r="H7">
        <v>0</v>
      </c>
      <c r="I7">
        <v>0</v>
      </c>
      <c r="J7">
        <v>1</v>
      </c>
      <c r="K7">
        <v>10</v>
      </c>
      <c r="L7">
        <v>200</v>
      </c>
      <c r="M7" t="s">
        <v>129</v>
      </c>
      <c r="N7" t="s">
        <v>130</v>
      </c>
    </row>
    <row r="8" spans="2:14" x14ac:dyDescent="0.15">
      <c r="B8">
        <v>2</v>
      </c>
      <c r="C8">
        <f>属性拆分方式!I32</f>
        <v>165</v>
      </c>
      <c r="D8">
        <f>属性拆分方式!J32</f>
        <v>10</v>
      </c>
      <c r="E8">
        <f>属性拆分方式!K32</f>
        <v>10</v>
      </c>
      <c r="F8">
        <v>100</v>
      </c>
      <c r="G8">
        <f>属性拆分方式!L32</f>
        <v>51</v>
      </c>
      <c r="H8">
        <v>0</v>
      </c>
      <c r="I8">
        <v>0</v>
      </c>
      <c r="J8">
        <v>1</v>
      </c>
      <c r="K8">
        <v>15</v>
      </c>
      <c r="L8">
        <v>300</v>
      </c>
      <c r="M8" t="s">
        <v>129</v>
      </c>
    </row>
    <row r="9" spans="2:14" x14ac:dyDescent="0.15">
      <c r="B9">
        <v>3</v>
      </c>
      <c r="C9">
        <f>属性拆分方式!I33</f>
        <v>196</v>
      </c>
      <c r="D9">
        <f>属性拆分方式!J33</f>
        <v>12</v>
      </c>
      <c r="E9">
        <f>属性拆分方式!K33</f>
        <v>12</v>
      </c>
      <c r="F9">
        <v>100</v>
      </c>
      <c r="G9">
        <f>属性拆分方式!L33</f>
        <v>61</v>
      </c>
      <c r="H9">
        <v>0</v>
      </c>
      <c r="I9">
        <v>0</v>
      </c>
      <c r="J9">
        <v>1</v>
      </c>
      <c r="K9">
        <v>20</v>
      </c>
      <c r="L9">
        <v>400</v>
      </c>
      <c r="M9" t="s">
        <v>129</v>
      </c>
      <c r="N9" t="s">
        <v>130</v>
      </c>
    </row>
    <row r="10" spans="2:14" x14ac:dyDescent="0.15">
      <c r="B10">
        <v>4</v>
      </c>
      <c r="C10">
        <f>属性拆分方式!I34</f>
        <v>223</v>
      </c>
      <c r="D10">
        <f>属性拆分方式!J34</f>
        <v>13</v>
      </c>
      <c r="E10">
        <f>属性拆分方式!K34</f>
        <v>13</v>
      </c>
      <c r="F10">
        <v>100</v>
      </c>
      <c r="G10">
        <f>属性拆分方式!L34</f>
        <v>69</v>
      </c>
      <c r="H10">
        <v>0</v>
      </c>
      <c r="I10">
        <v>0</v>
      </c>
      <c r="J10">
        <v>1</v>
      </c>
      <c r="K10">
        <v>25</v>
      </c>
      <c r="L10">
        <v>600</v>
      </c>
      <c r="M10" t="s">
        <v>129</v>
      </c>
    </row>
    <row r="11" spans="2:14" x14ac:dyDescent="0.15">
      <c r="B11">
        <v>5</v>
      </c>
      <c r="C11">
        <f>属性拆分方式!I35</f>
        <v>250</v>
      </c>
      <c r="D11">
        <f>属性拆分方式!J35</f>
        <v>15</v>
      </c>
      <c r="E11">
        <f>属性拆分方式!K35</f>
        <v>15</v>
      </c>
      <c r="F11">
        <v>100</v>
      </c>
      <c r="G11">
        <f>属性拆分方式!L35</f>
        <v>78</v>
      </c>
      <c r="H11">
        <v>0</v>
      </c>
      <c r="I11">
        <v>0</v>
      </c>
      <c r="J11">
        <v>1</v>
      </c>
      <c r="K11">
        <v>30</v>
      </c>
      <c r="L11">
        <v>1000</v>
      </c>
      <c r="M11" t="s">
        <v>129</v>
      </c>
    </row>
    <row r="12" spans="2:14" x14ac:dyDescent="0.15">
      <c r="B12">
        <v>6</v>
      </c>
      <c r="C12">
        <f>属性拆分方式!I36</f>
        <v>299</v>
      </c>
      <c r="D12">
        <f>属性拆分方式!J36</f>
        <v>18</v>
      </c>
      <c r="E12">
        <f>属性拆分方式!K36</f>
        <v>18</v>
      </c>
      <c r="F12">
        <v>100</v>
      </c>
      <c r="G12">
        <f>属性拆分方式!L36</f>
        <v>93</v>
      </c>
      <c r="H12">
        <v>0</v>
      </c>
      <c r="I12">
        <v>0</v>
      </c>
      <c r="J12">
        <v>1</v>
      </c>
      <c r="K12">
        <v>35</v>
      </c>
      <c r="L12">
        <v>5000</v>
      </c>
      <c r="M12" t="s">
        <v>129</v>
      </c>
      <c r="N12" t="s">
        <v>130</v>
      </c>
    </row>
    <row r="13" spans="2:14" x14ac:dyDescent="0.15">
      <c r="B13">
        <v>7</v>
      </c>
      <c r="C13">
        <f>属性拆分方式!I37</f>
        <v>340</v>
      </c>
      <c r="D13">
        <f>属性拆分方式!J37</f>
        <v>20</v>
      </c>
      <c r="E13">
        <f>属性拆分方式!K37</f>
        <v>20</v>
      </c>
      <c r="F13">
        <v>100</v>
      </c>
      <c r="G13">
        <f>属性拆分方式!L37</f>
        <v>106</v>
      </c>
      <c r="H13">
        <v>0</v>
      </c>
      <c r="I13">
        <v>0</v>
      </c>
      <c r="J13">
        <v>1</v>
      </c>
      <c r="K13">
        <v>40</v>
      </c>
      <c r="L13">
        <v>9000</v>
      </c>
      <c r="M13" t="s">
        <v>129</v>
      </c>
    </row>
    <row r="14" spans="2:14" x14ac:dyDescent="0.15">
      <c r="B14">
        <v>8</v>
      </c>
      <c r="C14">
        <f>属性拆分方式!I38</f>
        <v>381</v>
      </c>
      <c r="D14">
        <f>属性拆分方式!J38</f>
        <v>23</v>
      </c>
      <c r="E14">
        <f>属性拆分方式!K38</f>
        <v>23</v>
      </c>
      <c r="F14">
        <v>100</v>
      </c>
      <c r="G14">
        <f>属性拆分方式!L38</f>
        <v>119</v>
      </c>
      <c r="H14">
        <v>0</v>
      </c>
      <c r="I14">
        <v>0</v>
      </c>
      <c r="J14">
        <v>1</v>
      </c>
      <c r="K14">
        <v>45</v>
      </c>
      <c r="L14">
        <v>13000</v>
      </c>
      <c r="M14" t="s">
        <v>129</v>
      </c>
    </row>
    <row r="15" spans="2:14" x14ac:dyDescent="0.15">
      <c r="B15">
        <v>9</v>
      </c>
      <c r="C15">
        <f>属性拆分方式!I39</f>
        <v>435</v>
      </c>
      <c r="D15">
        <f>属性拆分方式!J39</f>
        <v>26</v>
      </c>
      <c r="E15">
        <f>属性拆分方式!K39</f>
        <v>26</v>
      </c>
      <c r="F15">
        <v>100</v>
      </c>
      <c r="G15">
        <f>属性拆分方式!L39</f>
        <v>136</v>
      </c>
      <c r="H15">
        <v>0</v>
      </c>
      <c r="I15">
        <v>0</v>
      </c>
      <c r="J15">
        <v>1</v>
      </c>
      <c r="K15">
        <v>50</v>
      </c>
      <c r="L15">
        <v>27000</v>
      </c>
      <c r="M15" t="s">
        <v>129</v>
      </c>
    </row>
    <row r="16" spans="2:14" x14ac:dyDescent="0.15">
      <c r="B16">
        <v>10</v>
      </c>
      <c r="C16">
        <f>属性拆分方式!I40</f>
        <v>0</v>
      </c>
      <c r="D16">
        <f>属性拆分方式!J40</f>
        <v>0</v>
      </c>
      <c r="E16">
        <f>属性拆分方式!K40</f>
        <v>0</v>
      </c>
      <c r="F16">
        <v>100</v>
      </c>
      <c r="G16">
        <f>属性拆分方式!L40</f>
        <v>0</v>
      </c>
      <c r="H16">
        <v>0</v>
      </c>
      <c r="I16">
        <v>0</v>
      </c>
      <c r="J16">
        <v>1</v>
      </c>
      <c r="K16">
        <v>55</v>
      </c>
      <c r="L16">
        <v>1</v>
      </c>
      <c r="M16" t="s">
        <v>129</v>
      </c>
      <c r="N16" t="s">
        <v>130</v>
      </c>
    </row>
    <row r="17" spans="2:14" x14ac:dyDescent="0.15">
      <c r="B17">
        <v>11</v>
      </c>
      <c r="C17">
        <f>属性拆分方式!I41</f>
        <v>0</v>
      </c>
      <c r="D17">
        <f>属性拆分方式!J41</f>
        <v>0</v>
      </c>
      <c r="E17">
        <f>属性拆分方式!K41</f>
        <v>0</v>
      </c>
      <c r="F17">
        <v>100</v>
      </c>
      <c r="G17">
        <f>属性拆分方式!L41</f>
        <v>0</v>
      </c>
      <c r="H17">
        <v>0</v>
      </c>
      <c r="I17">
        <v>0</v>
      </c>
      <c r="J17">
        <v>1</v>
      </c>
      <c r="K17">
        <v>60</v>
      </c>
      <c r="L17">
        <v>1</v>
      </c>
      <c r="M17" t="s">
        <v>129</v>
      </c>
    </row>
    <row r="18" spans="2:14" x14ac:dyDescent="0.15">
      <c r="B18">
        <v>12</v>
      </c>
      <c r="C18">
        <f>属性拆分方式!I42</f>
        <v>0</v>
      </c>
      <c r="D18">
        <f>属性拆分方式!J42</f>
        <v>0</v>
      </c>
      <c r="E18">
        <f>属性拆分方式!K42</f>
        <v>0</v>
      </c>
      <c r="F18">
        <v>100</v>
      </c>
      <c r="G18">
        <f>属性拆分方式!L42</f>
        <v>0</v>
      </c>
      <c r="H18">
        <v>0</v>
      </c>
      <c r="I18">
        <v>0</v>
      </c>
      <c r="J18">
        <v>1</v>
      </c>
      <c r="K18">
        <v>65</v>
      </c>
      <c r="L18">
        <v>1</v>
      </c>
      <c r="M18" t="s">
        <v>129</v>
      </c>
    </row>
    <row r="19" spans="2:14" x14ac:dyDescent="0.15">
      <c r="B19">
        <v>13</v>
      </c>
      <c r="C19">
        <f>属性拆分方式!I43</f>
        <v>0</v>
      </c>
      <c r="D19">
        <f>属性拆分方式!J43</f>
        <v>0</v>
      </c>
      <c r="E19">
        <f>属性拆分方式!K43</f>
        <v>0</v>
      </c>
      <c r="F19">
        <v>100</v>
      </c>
      <c r="G19">
        <f>属性拆分方式!L43</f>
        <v>0</v>
      </c>
      <c r="H19">
        <v>0</v>
      </c>
      <c r="I19">
        <v>0</v>
      </c>
      <c r="J19">
        <v>1</v>
      </c>
      <c r="K19">
        <v>70</v>
      </c>
      <c r="L19">
        <v>1</v>
      </c>
      <c r="M19" t="s">
        <v>129</v>
      </c>
    </row>
    <row r="20" spans="2:14" x14ac:dyDescent="0.15">
      <c r="B20">
        <v>14</v>
      </c>
      <c r="C20">
        <f>属性拆分方式!I44</f>
        <v>0</v>
      </c>
      <c r="D20">
        <f>属性拆分方式!J44</f>
        <v>0</v>
      </c>
      <c r="E20">
        <f>属性拆分方式!K44</f>
        <v>0</v>
      </c>
      <c r="F20">
        <v>100</v>
      </c>
      <c r="G20">
        <f>属性拆分方式!L44</f>
        <v>0</v>
      </c>
      <c r="H20">
        <v>0</v>
      </c>
      <c r="I20">
        <v>0</v>
      </c>
      <c r="J20">
        <v>1</v>
      </c>
      <c r="K20">
        <v>75</v>
      </c>
      <c r="L20">
        <v>1</v>
      </c>
      <c r="M20" t="s">
        <v>129</v>
      </c>
    </row>
    <row r="21" spans="2:14" x14ac:dyDescent="0.15">
      <c r="B21">
        <v>15</v>
      </c>
      <c r="C21">
        <f>属性拆分方式!I45</f>
        <v>0</v>
      </c>
      <c r="D21">
        <f>属性拆分方式!J45</f>
        <v>0</v>
      </c>
      <c r="E21">
        <f>属性拆分方式!K45</f>
        <v>0</v>
      </c>
      <c r="F21">
        <v>100</v>
      </c>
      <c r="G21">
        <f>属性拆分方式!L45</f>
        <v>0</v>
      </c>
      <c r="H21">
        <v>0</v>
      </c>
      <c r="I21">
        <v>0</v>
      </c>
      <c r="J21">
        <v>1</v>
      </c>
      <c r="K21">
        <v>80</v>
      </c>
      <c r="L21">
        <v>1</v>
      </c>
      <c r="M21" t="s">
        <v>129</v>
      </c>
      <c r="N21" t="s">
        <v>130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文档说明</vt:lpstr>
      <vt:lpstr>职业调整模型</vt:lpstr>
      <vt:lpstr>属性拆分方式</vt:lpstr>
      <vt:lpstr>战斗验证</vt:lpstr>
      <vt:lpstr>镶嵌宝石</vt:lpstr>
      <vt:lpstr>属性能力生成表</vt:lpstr>
      <vt:lpstr>宠物升阶生成表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Second Lock</dc:creator>
  <cp:lastModifiedBy>The Second Lock</cp:lastModifiedBy>
  <dcterms:created xsi:type="dcterms:W3CDTF">2015-09-17T11:30:59Z</dcterms:created>
  <dcterms:modified xsi:type="dcterms:W3CDTF">2015-09-25T09:24:26Z</dcterms:modified>
</cp:coreProperties>
</file>