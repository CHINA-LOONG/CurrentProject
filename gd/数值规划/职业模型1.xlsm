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8485" yWindow="15" windowWidth="28350" windowHeight="12600" activeTab="4"/>
  </bookViews>
  <sheets>
    <sheet name="文档说明" sheetId="2" r:id="rId1"/>
    <sheet name="职业调整模型" sheetId="1" r:id="rId2"/>
    <sheet name="属性拆分生成" sheetId="3" r:id="rId3"/>
    <sheet name="战斗验证" sheetId="4" r:id="rId4"/>
    <sheet name="装备拆分生成表" sheetId="8" r:id="rId5"/>
    <sheet name="属性能力生成表" sheetId="5" r:id="rId6"/>
    <sheet name="装备属性生成表" sheetId="10" r:id="rId7"/>
    <sheet name="宠物升阶生成表" sheetId="7" r:id="rId8"/>
    <sheet name="装备拆分分析表" sheetId="9" r:id="rId9"/>
    <sheet name="镶嵌宝石" sheetId="6" r:id="rId10"/>
  </sheets>
  <externalReferences>
    <externalReference r:id="rId11"/>
    <externalReference r:id="rId12"/>
    <externalReference r:id="rId13"/>
  </externalReferences>
  <calcPr calcId="145621"/>
</workbook>
</file>

<file path=xl/calcChain.xml><?xml version="1.0" encoding="utf-8"?>
<calcChain xmlns="http://schemas.openxmlformats.org/spreadsheetml/2006/main">
  <c r="H15" i="8" l="1"/>
  <c r="H16" i="8" l="1"/>
  <c r="A242" i="10" l="1"/>
  <c r="A243" i="10"/>
  <c r="A244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08" i="10"/>
  <c r="A209" i="10"/>
  <c r="A210" i="10"/>
  <c r="A211" i="10"/>
  <c r="A212" i="10"/>
  <c r="A213" i="10"/>
  <c r="A214" i="10"/>
  <c r="A21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55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64" i="10"/>
  <c r="A65" i="10"/>
  <c r="A66" i="10"/>
  <c r="A57" i="10"/>
  <c r="A58" i="10"/>
  <c r="A59" i="10"/>
  <c r="A60" i="10"/>
  <c r="A61" i="10"/>
  <c r="A62" i="10"/>
  <c r="A63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35" i="10"/>
  <c r="G32" i="9" l="1"/>
  <c r="D32" i="9"/>
  <c r="F32" i="9"/>
  <c r="E32" i="9"/>
  <c r="G23" i="9"/>
  <c r="D23" i="9"/>
  <c r="F23" i="9"/>
  <c r="E23" i="9"/>
  <c r="E14" i="9"/>
  <c r="G14" i="9"/>
  <c r="D14" i="9"/>
  <c r="F14" i="9"/>
  <c r="F5" i="9"/>
  <c r="D5" i="9"/>
  <c r="G5" i="9"/>
  <c r="E5" i="9"/>
  <c r="C12" i="8"/>
  <c r="C11" i="8"/>
  <c r="C7" i="8"/>
  <c r="C6" i="8"/>
  <c r="C5" i="8"/>
  <c r="C4" i="8"/>
  <c r="C8" i="8"/>
  <c r="C9" i="8"/>
  <c r="C10" i="8"/>
  <c r="C13" i="8"/>
  <c r="C14" i="8"/>
  <c r="C15" i="8"/>
  <c r="C16" i="8"/>
  <c r="C3" i="8"/>
  <c r="H3" i="8" s="1"/>
  <c r="E3" i="8" s="1"/>
  <c r="H14" i="9" l="1"/>
  <c r="H5" i="9"/>
  <c r="H23" i="9"/>
  <c r="H32" i="9"/>
  <c r="M2" i="3"/>
  <c r="E4" i="3" s="1"/>
  <c r="L16" i="7"/>
  <c r="L17" i="7"/>
  <c r="L18" i="7"/>
  <c r="L19" i="7"/>
  <c r="L20" i="7"/>
  <c r="L21" i="7"/>
  <c r="L8" i="7"/>
  <c r="L9" i="7"/>
  <c r="L10" i="7"/>
  <c r="L11" i="7"/>
  <c r="L12" i="7"/>
  <c r="L13" i="7"/>
  <c r="L14" i="7"/>
  <c r="L15" i="7"/>
  <c r="L7" i="7"/>
  <c r="K8" i="7" l="1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7" i="7"/>
  <c r="M3" i="3" l="1"/>
  <c r="E5" i="3" s="1"/>
  <c r="M4" i="3" l="1"/>
  <c r="E6" i="3" s="1"/>
  <c r="M5" i="3" l="1"/>
  <c r="E7" i="3" s="1"/>
  <c r="M6" i="3" l="1"/>
  <c r="E8" i="3" s="1"/>
  <c r="M7" i="3" l="1"/>
  <c r="E9" i="3" s="1"/>
  <c r="M8" i="3" l="1"/>
  <c r="E10" i="3" s="1"/>
  <c r="M9" i="3" l="1"/>
  <c r="E11" i="3" s="1"/>
  <c r="M10" i="3" l="1"/>
  <c r="E12" i="3" s="1"/>
  <c r="M11" i="3" l="1"/>
  <c r="M12" i="3" l="1"/>
  <c r="M13" i="3" l="1"/>
  <c r="M14" i="3" l="1"/>
  <c r="M16" i="3" l="1"/>
  <c r="M15" i="3"/>
  <c r="F6" i="3" l="1"/>
  <c r="F8" i="3" s="1"/>
  <c r="F10" i="3" s="1"/>
  <c r="F12" i="3" s="1"/>
  <c r="F13" i="3" s="1"/>
  <c r="F14" i="3" s="1"/>
  <c r="F15" i="3" s="1"/>
  <c r="F16" i="3" s="1"/>
  <c r="F17" i="3" s="1"/>
  <c r="H3" i="3" l="1"/>
  <c r="D3" i="8" s="1"/>
  <c r="S14" i="1" l="1"/>
  <c r="T14" i="1" s="1"/>
  <c r="O14" i="1"/>
  <c r="P14" i="1" s="1"/>
  <c r="K14" i="1"/>
  <c r="L14" i="1" s="1"/>
  <c r="G14" i="1"/>
  <c r="H14" i="1" s="1"/>
  <c r="C14" i="1"/>
  <c r="D14" i="1" s="1"/>
  <c r="O13" i="1"/>
  <c r="P13" i="1" s="1"/>
  <c r="O12" i="1"/>
  <c r="P12" i="1" s="1"/>
  <c r="K13" i="1"/>
  <c r="L13" i="1" s="1"/>
  <c r="K12" i="1"/>
  <c r="L12" i="1" s="1"/>
  <c r="G13" i="1"/>
  <c r="H13" i="1" s="1"/>
  <c r="G12" i="1"/>
  <c r="H12" i="1" s="1"/>
  <c r="S13" i="1"/>
  <c r="T13" i="1" s="1"/>
  <c r="S12" i="1"/>
  <c r="T12" i="1" s="1"/>
  <c r="C13" i="1"/>
  <c r="D13" i="1" s="1"/>
  <c r="C12" i="1"/>
  <c r="D12" i="1" s="1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" i="5"/>
  <c r="H4" i="3" l="1"/>
  <c r="D4" i="8" l="1"/>
  <c r="D5" i="8"/>
  <c r="G16" i="7"/>
  <c r="G17" i="7"/>
  <c r="G18" i="7"/>
  <c r="G19" i="7"/>
  <c r="G20" i="7"/>
  <c r="G21" i="7"/>
  <c r="E16" i="7"/>
  <c r="E17" i="7"/>
  <c r="E18" i="7"/>
  <c r="E19" i="7"/>
  <c r="E20" i="7"/>
  <c r="E21" i="7"/>
  <c r="D16" i="7"/>
  <c r="D17" i="7"/>
  <c r="D18" i="7"/>
  <c r="D19" i="7"/>
  <c r="D20" i="7"/>
  <c r="D21" i="7"/>
  <c r="C16" i="7"/>
  <c r="C17" i="7"/>
  <c r="C18" i="7"/>
  <c r="C19" i="7"/>
  <c r="C20" i="7"/>
  <c r="C21" i="7"/>
  <c r="H5" i="3" l="1"/>
  <c r="D6" i="8" l="1"/>
  <c r="D7" i="8"/>
  <c r="H6" i="3"/>
  <c r="D8" i="8" s="1"/>
  <c r="H7" i="3" l="1"/>
  <c r="D9" i="8" s="1"/>
  <c r="H8" i="3" l="1"/>
  <c r="D10" i="8" s="1"/>
  <c r="H9" i="3" l="1"/>
  <c r="D12" i="8" l="1"/>
  <c r="D11" i="8"/>
  <c r="H10" i="3"/>
  <c r="D13" i="8" s="1"/>
  <c r="H11" i="3" l="1"/>
  <c r="D14" i="8" s="1"/>
  <c r="H13" i="3" l="1"/>
  <c r="D16" i="8" s="1"/>
  <c r="H12" i="3"/>
  <c r="D15" i="8" s="1"/>
  <c r="D68" i="1"/>
  <c r="D32" i="1" l="1"/>
  <c r="H42" i="1" l="1"/>
  <c r="H38" i="1"/>
  <c r="H39" i="1" s="1"/>
  <c r="C38" i="1"/>
  <c r="C39" i="1" s="1"/>
  <c r="C42" i="1"/>
  <c r="S18" i="1" l="1"/>
  <c r="E28" i="1"/>
  <c r="I35" i="1" s="1"/>
  <c r="H41" i="1" s="1"/>
  <c r="H35" i="1" l="1"/>
  <c r="H40" i="1" s="1"/>
  <c r="C35" i="1"/>
  <c r="C40" i="1" s="1"/>
  <c r="D35" i="1"/>
  <c r="C41" i="1" s="1"/>
  <c r="R56" i="1"/>
  <c r="Q56" i="1"/>
  <c r="N56" i="1"/>
  <c r="M56" i="1"/>
  <c r="E50" i="1"/>
  <c r="C59" i="1" s="1"/>
  <c r="I56" i="1" l="1"/>
  <c r="H56" i="1"/>
  <c r="D56" i="1"/>
  <c r="C56" i="1"/>
  <c r="C25" i="1"/>
  <c r="Q57" i="1" s="1"/>
  <c r="C33" i="1" l="1"/>
  <c r="C36" i="1" s="1"/>
  <c r="I33" i="1"/>
  <c r="H36" i="1" s="1"/>
  <c r="D33" i="1"/>
  <c r="D36" i="1" s="1"/>
  <c r="H33" i="1"/>
  <c r="I36" i="1" s="1"/>
  <c r="C75" i="1"/>
  <c r="D75" i="1"/>
  <c r="I57" i="1"/>
  <c r="C57" i="1"/>
  <c r="C60" i="1" s="1"/>
  <c r="R57" i="1"/>
  <c r="N57" i="1"/>
  <c r="M57" i="1"/>
  <c r="D57" i="1"/>
  <c r="H57" i="1"/>
  <c r="E36" i="1" l="1"/>
  <c r="J36" i="1"/>
  <c r="O18" i="1"/>
  <c r="Q62" i="1" l="1"/>
  <c r="M62" i="1"/>
  <c r="C62" i="1"/>
  <c r="C63" i="1" s="1"/>
  <c r="H62" i="1"/>
  <c r="H63" i="1" s="1"/>
  <c r="M63" i="1" l="1"/>
  <c r="Q59" i="1"/>
  <c r="M59" i="1"/>
  <c r="N59" i="1"/>
  <c r="R59" i="1"/>
  <c r="I59" i="1"/>
  <c r="H65" i="1" s="1"/>
  <c r="H59" i="1"/>
  <c r="H64" i="1" s="1"/>
  <c r="K18" i="1"/>
  <c r="O17" i="1"/>
  <c r="K17" i="1"/>
  <c r="C64" i="1"/>
  <c r="D59" i="1"/>
  <c r="C65" i="1" s="1"/>
  <c r="C80" i="1"/>
  <c r="C81" i="1" s="1"/>
  <c r="I20" i="3" s="1"/>
  <c r="C84" i="1"/>
  <c r="I23" i="3" s="1"/>
  <c r="J20" i="3" l="1"/>
  <c r="J23" i="3"/>
  <c r="Q63" i="1"/>
  <c r="R60" i="1"/>
  <c r="Q65" i="1"/>
  <c r="M65" i="1"/>
  <c r="N60" i="1"/>
  <c r="M64" i="1"/>
  <c r="M60" i="1"/>
  <c r="Q60" i="1"/>
  <c r="Q64" i="1"/>
  <c r="H60" i="1"/>
  <c r="I60" i="1"/>
  <c r="D60" i="1"/>
  <c r="G17" i="1"/>
  <c r="C17" i="1"/>
  <c r="F27" i="3" l="1"/>
  <c r="M31" i="3" s="1"/>
  <c r="M32" i="3" s="1"/>
  <c r="M33" i="3" s="1"/>
  <c r="M34" i="3" s="1"/>
  <c r="M35" i="3" s="1"/>
  <c r="M36" i="3" s="1"/>
  <c r="M37" i="3" s="1"/>
  <c r="M38" i="3" s="1"/>
  <c r="M39" i="3" s="1"/>
  <c r="F20" i="8"/>
  <c r="F21" i="8" s="1"/>
  <c r="C27" i="3"/>
  <c r="C20" i="8"/>
  <c r="C21" i="8" s="1"/>
  <c r="S60" i="1"/>
  <c r="E60" i="1"/>
  <c r="O60" i="1"/>
  <c r="J60" i="1"/>
  <c r="G18" i="1"/>
  <c r="C18" i="1"/>
  <c r="F56" i="3" l="1"/>
  <c r="H34" i="5" s="1"/>
  <c r="J31" i="3"/>
  <c r="AF43" i="9"/>
  <c r="F216" i="10" s="1"/>
  <c r="AF45" i="9"/>
  <c r="F218" i="10" s="1"/>
  <c r="AF47" i="9"/>
  <c r="F220" i="10" s="1"/>
  <c r="Y42" i="9"/>
  <c r="F185" i="10" s="1"/>
  <c r="AF42" i="9"/>
  <c r="F215" i="10" s="1"/>
  <c r="R42" i="9"/>
  <c r="F155" i="10" s="1"/>
  <c r="AF44" i="9"/>
  <c r="F217" i="10" s="1"/>
  <c r="AF46" i="9"/>
  <c r="F219" i="10" s="1"/>
  <c r="Y45" i="9"/>
  <c r="F188" i="10" s="1"/>
  <c r="Y46" i="9"/>
  <c r="F189" i="10" s="1"/>
  <c r="Y43" i="9"/>
  <c r="F186" i="10" s="1"/>
  <c r="Y47" i="9"/>
  <c r="F190" i="10" s="1"/>
  <c r="Y44" i="9"/>
  <c r="F187" i="10" s="1"/>
  <c r="R43" i="9"/>
  <c r="F156" i="10" s="1"/>
  <c r="R44" i="9"/>
  <c r="F157" i="10" s="1"/>
  <c r="R45" i="9"/>
  <c r="F158" i="10" s="1"/>
  <c r="R46" i="9"/>
  <c r="F159" i="10" s="1"/>
  <c r="R47" i="9"/>
  <c r="F160" i="10" s="1"/>
  <c r="K43" i="9"/>
  <c r="F126" i="10" s="1"/>
  <c r="K45" i="9"/>
  <c r="F128" i="10" s="1"/>
  <c r="K47" i="9"/>
  <c r="F130" i="10" s="1"/>
  <c r="K44" i="9"/>
  <c r="F127" i="10" s="1"/>
  <c r="K46" i="9"/>
  <c r="F129" i="10" s="1"/>
  <c r="K42" i="9"/>
  <c r="F125" i="10" s="1"/>
  <c r="AB45" i="9"/>
  <c r="E188" i="10" s="1"/>
  <c r="AB47" i="9"/>
  <c r="E190" i="10" s="1"/>
  <c r="AI42" i="9"/>
  <c r="E215" i="10" s="1"/>
  <c r="AB42" i="9"/>
  <c r="E185" i="10" s="1"/>
  <c r="AI43" i="9"/>
  <c r="E216" i="10" s="1"/>
  <c r="AI44" i="9"/>
  <c r="E217" i="10" s="1"/>
  <c r="AI45" i="9"/>
  <c r="E218" i="10" s="1"/>
  <c r="AI46" i="9"/>
  <c r="E219" i="10" s="1"/>
  <c r="AI47" i="9"/>
  <c r="E220" i="10" s="1"/>
  <c r="AB43" i="9"/>
  <c r="E186" i="10" s="1"/>
  <c r="AB44" i="9"/>
  <c r="E187" i="10" s="1"/>
  <c r="AB46" i="9"/>
  <c r="E189" i="10" s="1"/>
  <c r="N42" i="9"/>
  <c r="E125" i="10" s="1"/>
  <c r="N43" i="9"/>
  <c r="E126" i="10" s="1"/>
  <c r="N44" i="9"/>
  <c r="E127" i="10" s="1"/>
  <c r="N45" i="9"/>
  <c r="E128" i="10" s="1"/>
  <c r="N46" i="9"/>
  <c r="E129" i="10" s="1"/>
  <c r="N47" i="9"/>
  <c r="E130" i="10" s="1"/>
  <c r="U42" i="9"/>
  <c r="E155" i="10" s="1"/>
  <c r="U43" i="9"/>
  <c r="E156" i="10" s="1"/>
  <c r="U47" i="9"/>
  <c r="E160" i="10" s="1"/>
  <c r="U44" i="9"/>
  <c r="E157" i="10" s="1"/>
  <c r="U45" i="9"/>
  <c r="E158" i="10" s="1"/>
  <c r="U46" i="9"/>
  <c r="E159" i="10" s="1"/>
  <c r="F36" i="3"/>
  <c r="F34" i="3" s="1"/>
  <c r="H12" i="5" s="1"/>
  <c r="C66" i="3"/>
  <c r="C76" i="3"/>
  <c r="C56" i="3"/>
  <c r="D5" i="5"/>
  <c r="C46" i="3"/>
  <c r="F46" i="3"/>
  <c r="F76" i="3"/>
  <c r="G7" i="7"/>
  <c r="F66" i="3"/>
  <c r="C36" i="3"/>
  <c r="H5" i="5"/>
  <c r="G11" i="7"/>
  <c r="G15" i="7"/>
  <c r="G14" i="7"/>
  <c r="G13" i="7"/>
  <c r="G9" i="7"/>
  <c r="G10" i="7"/>
  <c r="G12" i="7"/>
  <c r="G8" i="7"/>
  <c r="C77" i="1"/>
  <c r="D77" i="1"/>
  <c r="S17" i="1"/>
  <c r="J32" i="3" l="1"/>
  <c r="C7" i="7"/>
  <c r="F59" i="3"/>
  <c r="H37" i="5" s="1"/>
  <c r="F57" i="3"/>
  <c r="H35" i="5" s="1"/>
  <c r="F32" i="3"/>
  <c r="H10" i="5" s="1"/>
  <c r="F33" i="3"/>
  <c r="H11" i="5" s="1"/>
  <c r="F28" i="3"/>
  <c r="H6" i="5" s="1"/>
  <c r="H14" i="5"/>
  <c r="F30" i="3"/>
  <c r="H8" i="5" s="1"/>
  <c r="F31" i="3"/>
  <c r="H9" i="5" s="1"/>
  <c r="D34" i="5"/>
  <c r="D24" i="5"/>
  <c r="D44" i="5"/>
  <c r="C33" i="3"/>
  <c r="D54" i="5"/>
  <c r="F74" i="3"/>
  <c r="H52" i="5" s="1"/>
  <c r="C70" i="3"/>
  <c r="F39" i="3"/>
  <c r="H17" i="5" s="1"/>
  <c r="F60" i="3"/>
  <c r="H38" i="5" s="1"/>
  <c r="F29" i="3"/>
  <c r="H7" i="5" s="1"/>
  <c r="F35" i="3"/>
  <c r="H13" i="5" s="1"/>
  <c r="F71" i="3"/>
  <c r="H49" i="5" s="1"/>
  <c r="C68" i="3"/>
  <c r="C55" i="3"/>
  <c r="H54" i="5"/>
  <c r="C69" i="3"/>
  <c r="F40" i="3"/>
  <c r="H18" i="5" s="1"/>
  <c r="C61" i="3"/>
  <c r="C71" i="3"/>
  <c r="C48" i="3"/>
  <c r="C58" i="3"/>
  <c r="C64" i="3"/>
  <c r="C63" i="3"/>
  <c r="C72" i="3"/>
  <c r="C60" i="3"/>
  <c r="F75" i="3"/>
  <c r="H53" i="5" s="1"/>
  <c r="C53" i="3"/>
  <c r="C67" i="3"/>
  <c r="C57" i="3"/>
  <c r="C74" i="3"/>
  <c r="C44" i="3"/>
  <c r="C73" i="3"/>
  <c r="C75" i="3"/>
  <c r="C62" i="3"/>
  <c r="C65" i="3"/>
  <c r="C59" i="3"/>
  <c r="F38" i="3"/>
  <c r="H16" i="5" s="1"/>
  <c r="C51" i="3"/>
  <c r="C32" i="3"/>
  <c r="C50" i="3"/>
  <c r="C31" i="3"/>
  <c r="F68" i="3"/>
  <c r="H46" i="5" s="1"/>
  <c r="F43" i="3"/>
  <c r="H21" i="5" s="1"/>
  <c r="F47" i="3"/>
  <c r="H25" i="5" s="1"/>
  <c r="C52" i="3"/>
  <c r="C54" i="3"/>
  <c r="C49" i="3"/>
  <c r="F70" i="3"/>
  <c r="H48" i="5" s="1"/>
  <c r="F61" i="3"/>
  <c r="H39" i="5" s="1"/>
  <c r="F52" i="3"/>
  <c r="H30" i="5" s="1"/>
  <c r="F42" i="3"/>
  <c r="H20" i="5" s="1"/>
  <c r="F54" i="3"/>
  <c r="H32" i="5" s="1"/>
  <c r="F45" i="3"/>
  <c r="H23" i="5" s="1"/>
  <c r="F44" i="3"/>
  <c r="H22" i="5" s="1"/>
  <c r="C45" i="3"/>
  <c r="C38" i="3"/>
  <c r="C35" i="3"/>
  <c r="D14" i="5"/>
  <c r="H24" i="5"/>
  <c r="C28" i="3"/>
  <c r="F50" i="3"/>
  <c r="H28" i="5" s="1"/>
  <c r="F58" i="3"/>
  <c r="H36" i="5" s="1"/>
  <c r="F41" i="3"/>
  <c r="H19" i="5" s="1"/>
  <c r="C42" i="3"/>
  <c r="F53" i="3"/>
  <c r="H31" i="5" s="1"/>
  <c r="C40" i="3"/>
  <c r="C43" i="3"/>
  <c r="F63" i="3"/>
  <c r="H41" i="5" s="1"/>
  <c r="F72" i="3"/>
  <c r="H50" i="5" s="1"/>
  <c r="F55" i="3"/>
  <c r="H33" i="5" s="1"/>
  <c r="C34" i="3"/>
  <c r="C37" i="3"/>
  <c r="F48" i="3"/>
  <c r="H26" i="5" s="1"/>
  <c r="C29" i="3"/>
  <c r="F37" i="3"/>
  <c r="H15" i="5" s="1"/>
  <c r="F73" i="3"/>
  <c r="H51" i="5" s="1"/>
  <c r="F65" i="3"/>
  <c r="H43" i="5" s="1"/>
  <c r="F49" i="3"/>
  <c r="H27" i="5" s="1"/>
  <c r="C39" i="3"/>
  <c r="F51" i="3"/>
  <c r="H29" i="5" s="1"/>
  <c r="F69" i="3"/>
  <c r="H47" i="5" s="1"/>
  <c r="C41" i="3"/>
  <c r="F67" i="3"/>
  <c r="H45" i="5" s="1"/>
  <c r="F64" i="3"/>
  <c r="H42" i="5" s="1"/>
  <c r="F62" i="3"/>
  <c r="H40" i="5" s="1"/>
  <c r="H44" i="5"/>
  <c r="C30" i="3"/>
  <c r="C8" i="7"/>
  <c r="C82" i="1"/>
  <c r="I21" i="3" s="1"/>
  <c r="C78" i="1"/>
  <c r="C83" i="1"/>
  <c r="I22" i="3" s="1"/>
  <c r="D78" i="1"/>
  <c r="J33" i="3" l="1"/>
  <c r="D13" i="5"/>
  <c r="D30" i="5"/>
  <c r="D53" i="5"/>
  <c r="D36" i="5"/>
  <c r="D12" i="5"/>
  <c r="D23" i="5"/>
  <c r="D27" i="5"/>
  <c r="D10" i="5"/>
  <c r="D43" i="5"/>
  <c r="D22" i="5"/>
  <c r="D31" i="5"/>
  <c r="D41" i="5"/>
  <c r="D49" i="5"/>
  <c r="D48" i="5"/>
  <c r="D9" i="5"/>
  <c r="D35" i="5"/>
  <c r="D38" i="5"/>
  <c r="D8" i="5"/>
  <c r="D17" i="5"/>
  <c r="D21" i="5"/>
  <c r="D19" i="5"/>
  <c r="D7" i="5"/>
  <c r="D18" i="5"/>
  <c r="D32" i="5"/>
  <c r="D29" i="5"/>
  <c r="D40" i="5"/>
  <c r="D52" i="5"/>
  <c r="D42" i="5"/>
  <c r="D39" i="5"/>
  <c r="D33" i="5"/>
  <c r="D11" i="5"/>
  <c r="D46" i="5"/>
  <c r="D15" i="5"/>
  <c r="D20" i="5"/>
  <c r="D6" i="5"/>
  <c r="D16" i="5"/>
  <c r="D28" i="5"/>
  <c r="D37" i="5"/>
  <c r="D51" i="5"/>
  <c r="D45" i="5"/>
  <c r="D50" i="5"/>
  <c r="D26" i="5"/>
  <c r="D47" i="5"/>
  <c r="J22" i="3"/>
  <c r="J21" i="3"/>
  <c r="E78" i="1"/>
  <c r="J34" i="3" l="1"/>
  <c r="C9" i="7"/>
  <c r="D27" i="3"/>
  <c r="K31" i="3" s="1"/>
  <c r="D20" i="8"/>
  <c r="D21" i="8" s="1"/>
  <c r="E27" i="3"/>
  <c r="L31" i="3" s="1"/>
  <c r="E20" i="8"/>
  <c r="E21" i="8" s="1"/>
  <c r="D56" i="3"/>
  <c r="E34" i="5" s="1"/>
  <c r="K32" i="3" l="1"/>
  <c r="L32" i="3"/>
  <c r="E8" i="7" s="1"/>
  <c r="J35" i="3"/>
  <c r="C10" i="7"/>
  <c r="AG43" i="9"/>
  <c r="B216" i="10" s="1"/>
  <c r="AG44" i="9"/>
  <c r="B217" i="10" s="1"/>
  <c r="AG45" i="9"/>
  <c r="B218" i="10" s="1"/>
  <c r="AG46" i="9"/>
  <c r="B219" i="10" s="1"/>
  <c r="AG47" i="9"/>
  <c r="B220" i="10" s="1"/>
  <c r="Z43" i="9"/>
  <c r="B186" i="10" s="1"/>
  <c r="Z44" i="9"/>
  <c r="B187" i="10" s="1"/>
  <c r="Z45" i="9"/>
  <c r="B188" i="10" s="1"/>
  <c r="Z46" i="9"/>
  <c r="B189" i="10" s="1"/>
  <c r="Z47" i="9"/>
  <c r="B190" i="10" s="1"/>
  <c r="AG42" i="9"/>
  <c r="B215" i="10" s="1"/>
  <c r="Z42" i="9"/>
  <c r="B185" i="10" s="1"/>
  <c r="S42" i="9"/>
  <c r="B155" i="10" s="1"/>
  <c r="S43" i="9"/>
  <c r="B156" i="10" s="1"/>
  <c r="S44" i="9"/>
  <c r="B157" i="10" s="1"/>
  <c r="S45" i="9"/>
  <c r="B158" i="10" s="1"/>
  <c r="S46" i="9"/>
  <c r="B159" i="10" s="1"/>
  <c r="S47" i="9"/>
  <c r="B160" i="10" s="1"/>
  <c r="L42" i="9"/>
  <c r="B125" i="10" s="1"/>
  <c r="L44" i="9"/>
  <c r="B127" i="10" s="1"/>
  <c r="L45" i="9"/>
  <c r="B128" i="10" s="1"/>
  <c r="L46" i="9"/>
  <c r="B129" i="10" s="1"/>
  <c r="L43" i="9"/>
  <c r="B126" i="10" s="1"/>
  <c r="L47" i="9"/>
  <c r="B130" i="10" s="1"/>
  <c r="AH42" i="9"/>
  <c r="C215" i="10" s="1"/>
  <c r="AA42" i="9"/>
  <c r="C185" i="10" s="1"/>
  <c r="AH43" i="9"/>
  <c r="C216" i="10" s="1"/>
  <c r="AH44" i="9"/>
  <c r="C217" i="10" s="1"/>
  <c r="AH45" i="9"/>
  <c r="C218" i="10" s="1"/>
  <c r="AH46" i="9"/>
  <c r="C219" i="10" s="1"/>
  <c r="AH47" i="9"/>
  <c r="C220" i="10" s="1"/>
  <c r="AA43" i="9"/>
  <c r="C186" i="10" s="1"/>
  <c r="AA44" i="9"/>
  <c r="C187" i="10" s="1"/>
  <c r="AA45" i="9"/>
  <c r="C188" i="10" s="1"/>
  <c r="AA46" i="9"/>
  <c r="C189" i="10" s="1"/>
  <c r="AA47" i="9"/>
  <c r="C190" i="10" s="1"/>
  <c r="M43" i="9"/>
  <c r="C126" i="10" s="1"/>
  <c r="M44" i="9"/>
  <c r="C127" i="10" s="1"/>
  <c r="M45" i="9"/>
  <c r="C128" i="10" s="1"/>
  <c r="M46" i="9"/>
  <c r="C129" i="10" s="1"/>
  <c r="M47" i="9"/>
  <c r="C130" i="10" s="1"/>
  <c r="T42" i="9"/>
  <c r="C155" i="10" s="1"/>
  <c r="T43" i="9"/>
  <c r="C156" i="10" s="1"/>
  <c r="T44" i="9"/>
  <c r="C157" i="10" s="1"/>
  <c r="T45" i="9"/>
  <c r="C158" i="10" s="1"/>
  <c r="T46" i="9"/>
  <c r="C159" i="10" s="1"/>
  <c r="T47" i="9"/>
  <c r="C160" i="10" s="1"/>
  <c r="M42" i="9"/>
  <c r="C125" i="10" s="1"/>
  <c r="D46" i="3"/>
  <c r="D47" i="3" s="1"/>
  <c r="E25" i="5" s="1"/>
  <c r="E66" i="3"/>
  <c r="F44" i="5" s="1"/>
  <c r="E76" i="3"/>
  <c r="F54" i="5" s="1"/>
  <c r="E7" i="7"/>
  <c r="E36" i="3"/>
  <c r="F14" i="5" s="1"/>
  <c r="E56" i="3"/>
  <c r="F34" i="5" s="1"/>
  <c r="F5" i="5"/>
  <c r="D36" i="3"/>
  <c r="D31" i="3" s="1"/>
  <c r="E9" i="5" s="1"/>
  <c r="D66" i="3"/>
  <c r="E44" i="5" s="1"/>
  <c r="D7" i="7"/>
  <c r="D76" i="3"/>
  <c r="E54" i="5" s="1"/>
  <c r="E46" i="3"/>
  <c r="E5" i="5"/>
  <c r="D8" i="7"/>
  <c r="L33" i="3" l="1"/>
  <c r="J36" i="3"/>
  <c r="C11" i="7"/>
  <c r="K33" i="3"/>
  <c r="D49" i="3"/>
  <c r="E27" i="5" s="1"/>
  <c r="D55" i="3"/>
  <c r="E33" i="5" s="1"/>
  <c r="E34" i="3"/>
  <c r="F12" i="5" s="1"/>
  <c r="D54" i="3"/>
  <c r="E32" i="5" s="1"/>
  <c r="D50" i="3"/>
  <c r="E28" i="5" s="1"/>
  <c r="E58" i="3"/>
  <c r="F36" i="5" s="1"/>
  <c r="D52" i="3"/>
  <c r="E30" i="5" s="1"/>
  <c r="D62" i="3"/>
  <c r="E40" i="5" s="1"/>
  <c r="E24" i="5"/>
  <c r="E65" i="3"/>
  <c r="F43" i="5" s="1"/>
  <c r="D48" i="3"/>
  <c r="E26" i="5" s="1"/>
  <c r="D51" i="3"/>
  <c r="E29" i="5" s="1"/>
  <c r="D53" i="3"/>
  <c r="E31" i="5" s="1"/>
  <c r="D41" i="3"/>
  <c r="E19" i="5" s="1"/>
  <c r="D72" i="3"/>
  <c r="E50" i="5" s="1"/>
  <c r="E73" i="3"/>
  <c r="F51" i="5" s="1"/>
  <c r="E64" i="3"/>
  <c r="F42" i="5" s="1"/>
  <c r="D60" i="3"/>
  <c r="E38" i="5" s="1"/>
  <c r="E32" i="3"/>
  <c r="F10" i="5" s="1"/>
  <c r="E72" i="3"/>
  <c r="F50" i="5" s="1"/>
  <c r="E49" i="3"/>
  <c r="F27" i="5" s="1"/>
  <c r="E59" i="3"/>
  <c r="F37" i="5" s="1"/>
  <c r="E47" i="3"/>
  <c r="F25" i="5" s="1"/>
  <c r="E52" i="3"/>
  <c r="F30" i="5" s="1"/>
  <c r="E42" i="3"/>
  <c r="F20" i="5" s="1"/>
  <c r="E57" i="3"/>
  <c r="F35" i="5" s="1"/>
  <c r="D34" i="3"/>
  <c r="E12" i="5" s="1"/>
  <c r="E75" i="3"/>
  <c r="F53" i="5" s="1"/>
  <c r="E55" i="3"/>
  <c r="F33" i="5" s="1"/>
  <c r="D43" i="3"/>
  <c r="E21" i="5" s="1"/>
  <c r="E74" i="3"/>
  <c r="F52" i="5" s="1"/>
  <c r="D39" i="3"/>
  <c r="E17" i="5" s="1"/>
  <c r="E43" i="3"/>
  <c r="F21" i="5" s="1"/>
  <c r="E60" i="3"/>
  <c r="F38" i="5" s="1"/>
  <c r="E62" i="3"/>
  <c r="F40" i="5" s="1"/>
  <c r="D29" i="3"/>
  <c r="E7" i="5" s="1"/>
  <c r="E71" i="3"/>
  <c r="F49" i="5" s="1"/>
  <c r="E53" i="3"/>
  <c r="F31" i="5" s="1"/>
  <c r="D45" i="3"/>
  <c r="E23" i="5" s="1"/>
  <c r="E54" i="3"/>
  <c r="F32" i="5" s="1"/>
  <c r="E63" i="3"/>
  <c r="F41" i="5" s="1"/>
  <c r="E61" i="3"/>
  <c r="F39" i="5" s="1"/>
  <c r="D35" i="3"/>
  <c r="E13" i="5" s="1"/>
  <c r="E70" i="3"/>
  <c r="F48" i="5" s="1"/>
  <c r="E69" i="3"/>
  <c r="F47" i="5" s="1"/>
  <c r="E48" i="3"/>
  <c r="F26" i="5" s="1"/>
  <c r="F24" i="5"/>
  <c r="E39" i="3"/>
  <c r="F17" i="5" s="1"/>
  <c r="D63" i="3"/>
  <c r="E41" i="5" s="1"/>
  <c r="D65" i="3"/>
  <c r="E43" i="5" s="1"/>
  <c r="D44" i="3"/>
  <c r="E22" i="5" s="1"/>
  <c r="E50" i="3"/>
  <c r="F28" i="5" s="1"/>
  <c r="E41" i="3"/>
  <c r="F19" i="5" s="1"/>
  <c r="D59" i="3"/>
  <c r="E37" i="5" s="1"/>
  <c r="E29" i="3"/>
  <c r="F7" i="5" s="1"/>
  <c r="D37" i="3"/>
  <c r="E15" i="5" s="1"/>
  <c r="D38" i="3"/>
  <c r="E16" i="5" s="1"/>
  <c r="D40" i="3"/>
  <c r="E18" i="5" s="1"/>
  <c r="E38" i="3"/>
  <c r="F16" i="5" s="1"/>
  <c r="E40" i="3"/>
  <c r="F18" i="5" s="1"/>
  <c r="E37" i="3"/>
  <c r="F15" i="5" s="1"/>
  <c r="D58" i="3"/>
  <c r="E36" i="5" s="1"/>
  <c r="D64" i="3"/>
  <c r="E42" i="5" s="1"/>
  <c r="D57" i="3"/>
  <c r="E35" i="5" s="1"/>
  <c r="E33" i="3"/>
  <c r="F11" i="5" s="1"/>
  <c r="E30" i="3"/>
  <c r="F8" i="5" s="1"/>
  <c r="D28" i="3"/>
  <c r="E6" i="5" s="1"/>
  <c r="D33" i="3"/>
  <c r="E11" i="5" s="1"/>
  <c r="E67" i="3"/>
  <c r="F45" i="5" s="1"/>
  <c r="E68" i="3"/>
  <c r="F46" i="5" s="1"/>
  <c r="E51" i="3"/>
  <c r="F29" i="5" s="1"/>
  <c r="E14" i="5"/>
  <c r="E45" i="3"/>
  <c r="F23" i="5" s="1"/>
  <c r="D74" i="3"/>
  <c r="E52" i="5" s="1"/>
  <c r="E35" i="3"/>
  <c r="F13" i="5" s="1"/>
  <c r="E28" i="3"/>
  <c r="F6" i="5" s="1"/>
  <c r="D42" i="3"/>
  <c r="E20" i="5" s="1"/>
  <c r="E44" i="3"/>
  <c r="F22" i="5" s="1"/>
  <c r="D67" i="3"/>
  <c r="E45" i="5" s="1"/>
  <c r="D61" i="3"/>
  <c r="E39" i="5" s="1"/>
  <c r="E31" i="3"/>
  <c r="F9" i="5" s="1"/>
  <c r="D32" i="3"/>
  <c r="E10" i="5" s="1"/>
  <c r="D30" i="3"/>
  <c r="E8" i="5" s="1"/>
  <c r="D68" i="3"/>
  <c r="E46" i="5" s="1"/>
  <c r="D70" i="3"/>
  <c r="E48" i="5" s="1"/>
  <c r="D73" i="3"/>
  <c r="E51" i="5" s="1"/>
  <c r="D75" i="3"/>
  <c r="E53" i="5" s="1"/>
  <c r="D69" i="3"/>
  <c r="E47" i="5" s="1"/>
  <c r="D71" i="3"/>
  <c r="E49" i="5" s="1"/>
  <c r="C47" i="3"/>
  <c r="J37" i="3" l="1"/>
  <c r="C12" i="7"/>
  <c r="K34" i="3"/>
  <c r="D9" i="7"/>
  <c r="L34" i="3"/>
  <c r="E9" i="7"/>
  <c r="D25" i="5"/>
  <c r="H4" i="8"/>
  <c r="J38" i="3" l="1"/>
  <c r="C13" i="7"/>
  <c r="K35" i="3"/>
  <c r="D10" i="7"/>
  <c r="L35" i="3"/>
  <c r="E10" i="7"/>
  <c r="F4" i="8"/>
  <c r="F5" i="8" s="1"/>
  <c r="L36" i="3" l="1"/>
  <c r="E11" i="7"/>
  <c r="J39" i="3"/>
  <c r="C14" i="7"/>
  <c r="K36" i="3"/>
  <c r="D11" i="7"/>
  <c r="E4" i="8"/>
  <c r="C25" i="8"/>
  <c r="C24" i="8" s="1"/>
  <c r="C26" i="8" s="1"/>
  <c r="D25" i="8"/>
  <c r="D24" i="8" s="1"/>
  <c r="D26" i="8" s="1"/>
  <c r="L6" i="9" s="1"/>
  <c r="B8" i="10" s="1"/>
  <c r="E25" i="8"/>
  <c r="E24" i="8" s="1"/>
  <c r="E26" i="8" s="1"/>
  <c r="F25" i="8"/>
  <c r="F24" i="8" s="1"/>
  <c r="F26" i="8" s="1"/>
  <c r="H5" i="8"/>
  <c r="L37" i="3" l="1"/>
  <c r="E12" i="7"/>
  <c r="C15" i="7"/>
  <c r="K37" i="3"/>
  <c r="D12" i="7"/>
  <c r="AG49" i="9"/>
  <c r="B222" i="10" s="1"/>
  <c r="AF49" i="9"/>
  <c r="F222" i="10" s="1"/>
  <c r="AG50" i="9"/>
  <c r="B223" i="10" s="1"/>
  <c r="AG51" i="9"/>
  <c r="B224" i="10" s="1"/>
  <c r="AG52" i="9"/>
  <c r="B225" i="10" s="1"/>
  <c r="AG53" i="9"/>
  <c r="B226" i="10" s="1"/>
  <c r="AH48" i="9"/>
  <c r="C221" i="10" s="1"/>
  <c r="Y49" i="9"/>
  <c r="F192" i="10" s="1"/>
  <c r="Y50" i="9"/>
  <c r="F193" i="10" s="1"/>
  <c r="Y51" i="9"/>
  <c r="F194" i="10" s="1"/>
  <c r="Y52" i="9"/>
  <c r="F195" i="10" s="1"/>
  <c r="Y53" i="9"/>
  <c r="F196" i="10" s="1"/>
  <c r="Z48" i="9"/>
  <c r="B191" i="10" s="1"/>
  <c r="S49" i="9"/>
  <c r="B162" i="10" s="1"/>
  <c r="S50" i="9"/>
  <c r="B163" i="10" s="1"/>
  <c r="S51" i="9"/>
  <c r="B164" i="10" s="1"/>
  <c r="S52" i="9"/>
  <c r="B165" i="10" s="1"/>
  <c r="S53" i="9"/>
  <c r="B166" i="10" s="1"/>
  <c r="T48" i="9"/>
  <c r="C161" i="10" s="1"/>
  <c r="M49" i="9"/>
  <c r="C132" i="10" s="1"/>
  <c r="M50" i="9"/>
  <c r="C133" i="10" s="1"/>
  <c r="M51" i="9"/>
  <c r="C134" i="10" s="1"/>
  <c r="M52" i="9"/>
  <c r="C135" i="10" s="1"/>
  <c r="M53" i="9"/>
  <c r="C136" i="10" s="1"/>
  <c r="N48" i="9"/>
  <c r="E131" i="10" s="1"/>
  <c r="AI49" i="9"/>
  <c r="E222" i="10" s="1"/>
  <c r="AA50" i="9"/>
  <c r="C193" i="10" s="1"/>
  <c r="AA53" i="9"/>
  <c r="C196" i="10" s="1"/>
  <c r="U52" i="9"/>
  <c r="E165" i="10" s="1"/>
  <c r="K53" i="9"/>
  <c r="F136" i="10" s="1"/>
  <c r="AH49" i="9"/>
  <c r="C222" i="10" s="1"/>
  <c r="AH50" i="9"/>
  <c r="C223" i="10" s="1"/>
  <c r="AH51" i="9"/>
  <c r="C224" i="10" s="1"/>
  <c r="AH52" i="9"/>
  <c r="C225" i="10" s="1"/>
  <c r="AH53" i="9"/>
  <c r="C226" i="10" s="1"/>
  <c r="AI48" i="9"/>
  <c r="E221" i="10" s="1"/>
  <c r="Z49" i="9"/>
  <c r="B192" i="10" s="1"/>
  <c r="Z50" i="9"/>
  <c r="B193" i="10" s="1"/>
  <c r="Z51" i="9"/>
  <c r="B194" i="10" s="1"/>
  <c r="Z52" i="9"/>
  <c r="B195" i="10" s="1"/>
  <c r="Z53" i="9"/>
  <c r="B196" i="10" s="1"/>
  <c r="AA48" i="9"/>
  <c r="C191" i="10" s="1"/>
  <c r="T49" i="9"/>
  <c r="C162" i="10" s="1"/>
  <c r="T50" i="9"/>
  <c r="C163" i="10" s="1"/>
  <c r="T51" i="9"/>
  <c r="C164" i="10" s="1"/>
  <c r="T52" i="9"/>
  <c r="C165" i="10" s="1"/>
  <c r="T53" i="9"/>
  <c r="C166" i="10" s="1"/>
  <c r="U48" i="9"/>
  <c r="E161" i="10" s="1"/>
  <c r="N49" i="9"/>
  <c r="E132" i="10" s="1"/>
  <c r="N50" i="9"/>
  <c r="E133" i="10" s="1"/>
  <c r="N51" i="9"/>
  <c r="E134" i="10" s="1"/>
  <c r="N52" i="9"/>
  <c r="E135" i="10" s="1"/>
  <c r="N53" i="9"/>
  <c r="E136" i="10" s="1"/>
  <c r="AI52" i="9"/>
  <c r="E225" i="10" s="1"/>
  <c r="AF48" i="9"/>
  <c r="F221" i="10" s="1"/>
  <c r="AA49" i="9"/>
  <c r="C192" i="10" s="1"/>
  <c r="AA52" i="9"/>
  <c r="C195" i="10" s="1"/>
  <c r="U50" i="9"/>
  <c r="E163" i="10" s="1"/>
  <c r="K48" i="9"/>
  <c r="F131" i="10" s="1"/>
  <c r="K49" i="9"/>
  <c r="F132" i="10" s="1"/>
  <c r="K51" i="9"/>
  <c r="F134" i="10" s="1"/>
  <c r="L48" i="9"/>
  <c r="B131" i="10" s="1"/>
  <c r="AF50" i="9"/>
  <c r="F223" i="10" s="1"/>
  <c r="AF51" i="9"/>
  <c r="F224" i="10" s="1"/>
  <c r="AF52" i="9"/>
  <c r="F225" i="10" s="1"/>
  <c r="AF53" i="9"/>
  <c r="F226" i="10" s="1"/>
  <c r="AG48" i="9"/>
  <c r="B221" i="10" s="1"/>
  <c r="Y48" i="9"/>
  <c r="F191" i="10" s="1"/>
  <c r="AB49" i="9"/>
  <c r="E192" i="10" s="1"/>
  <c r="AB50" i="9"/>
  <c r="E193" i="10" s="1"/>
  <c r="AB51" i="9"/>
  <c r="E194" i="10" s="1"/>
  <c r="AB52" i="9"/>
  <c r="E195" i="10" s="1"/>
  <c r="AB53" i="9"/>
  <c r="E196" i="10" s="1"/>
  <c r="R48" i="9"/>
  <c r="F161" i="10" s="1"/>
  <c r="R49" i="9"/>
  <c r="F162" i="10" s="1"/>
  <c r="R50" i="9"/>
  <c r="F163" i="10" s="1"/>
  <c r="R51" i="9"/>
  <c r="F164" i="10" s="1"/>
  <c r="R52" i="9"/>
  <c r="F165" i="10" s="1"/>
  <c r="R53" i="9"/>
  <c r="F166" i="10" s="1"/>
  <c r="S48" i="9"/>
  <c r="B161" i="10" s="1"/>
  <c r="L49" i="9"/>
  <c r="B132" i="10" s="1"/>
  <c r="L50" i="9"/>
  <c r="B133" i="10" s="1"/>
  <c r="L51" i="9"/>
  <c r="B134" i="10" s="1"/>
  <c r="L52" i="9"/>
  <c r="B135" i="10" s="1"/>
  <c r="L53" i="9"/>
  <c r="B136" i="10" s="1"/>
  <c r="M48" i="9"/>
  <c r="C131" i="10" s="1"/>
  <c r="AI50" i="9"/>
  <c r="E223" i="10" s="1"/>
  <c r="AI51" i="9"/>
  <c r="E224" i="10" s="1"/>
  <c r="AI53" i="9"/>
  <c r="E226" i="10" s="1"/>
  <c r="AA51" i="9"/>
  <c r="C194" i="10" s="1"/>
  <c r="AB48" i="9"/>
  <c r="E191" i="10" s="1"/>
  <c r="U49" i="9"/>
  <c r="E162" i="10" s="1"/>
  <c r="U51" i="9"/>
  <c r="E164" i="10" s="1"/>
  <c r="U53" i="9"/>
  <c r="E166" i="10" s="1"/>
  <c r="K50" i="9"/>
  <c r="F133" i="10" s="1"/>
  <c r="K52" i="9"/>
  <c r="F135" i="10" s="1"/>
  <c r="C27" i="8"/>
  <c r="C28" i="8" s="1"/>
  <c r="C29" i="8" s="1"/>
  <c r="C30" i="8" s="1"/>
  <c r="C31" i="8" s="1"/>
  <c r="C32" i="8" s="1"/>
  <c r="C33" i="8" s="1"/>
  <c r="C34" i="8" s="1"/>
  <c r="AF4" i="9"/>
  <c r="F96" i="10" s="1"/>
  <c r="AF6" i="9"/>
  <c r="F98" i="10" s="1"/>
  <c r="AF8" i="9"/>
  <c r="F100" i="10" s="1"/>
  <c r="Y3" i="9"/>
  <c r="F65" i="10" s="1"/>
  <c r="AF3" i="9"/>
  <c r="F95" i="10" s="1"/>
  <c r="AF5" i="9"/>
  <c r="F97" i="10" s="1"/>
  <c r="AF7" i="9"/>
  <c r="F99" i="10" s="1"/>
  <c r="Y4" i="9"/>
  <c r="F66" i="10" s="1"/>
  <c r="Y5" i="9"/>
  <c r="F67" i="10" s="1"/>
  <c r="Y6" i="9"/>
  <c r="F68" i="10" s="1"/>
  <c r="Y7" i="9"/>
  <c r="F69" i="10" s="1"/>
  <c r="Y8" i="9"/>
  <c r="F70" i="10" s="1"/>
  <c r="R6" i="9"/>
  <c r="F38" i="10" s="1"/>
  <c r="R8" i="9"/>
  <c r="F40" i="10" s="1"/>
  <c r="K3" i="9"/>
  <c r="F5" i="10" s="1"/>
  <c r="K4" i="9"/>
  <c r="F6" i="10" s="1"/>
  <c r="K5" i="9"/>
  <c r="F7" i="10" s="1"/>
  <c r="K6" i="9"/>
  <c r="F8" i="10" s="1"/>
  <c r="K7" i="9"/>
  <c r="F9" i="10" s="1"/>
  <c r="K8" i="9"/>
  <c r="F10" i="10" s="1"/>
  <c r="R4" i="9"/>
  <c r="F36" i="10" s="1"/>
  <c r="R5" i="9"/>
  <c r="F37" i="10" s="1"/>
  <c r="R7" i="9"/>
  <c r="F39" i="10" s="1"/>
  <c r="R3" i="9"/>
  <c r="F35" i="10" s="1"/>
  <c r="F27" i="8"/>
  <c r="F28" i="8" s="1"/>
  <c r="F29" i="8" s="1"/>
  <c r="F30" i="8" s="1"/>
  <c r="F31" i="8" s="1"/>
  <c r="F32" i="8" s="1"/>
  <c r="F33" i="8" s="1"/>
  <c r="F34" i="8" s="1"/>
  <c r="AI3" i="9"/>
  <c r="E95" i="10" s="1"/>
  <c r="AI4" i="9"/>
  <c r="E96" i="10" s="1"/>
  <c r="AI5" i="9"/>
  <c r="E97" i="10" s="1"/>
  <c r="AI6" i="9"/>
  <c r="E98" i="10" s="1"/>
  <c r="AI7" i="9"/>
  <c r="E99" i="10" s="1"/>
  <c r="AI8" i="9"/>
  <c r="E100" i="10" s="1"/>
  <c r="U3" i="9"/>
  <c r="E35" i="10" s="1"/>
  <c r="N4" i="9"/>
  <c r="E6" i="10" s="1"/>
  <c r="N5" i="9"/>
  <c r="E7" i="10" s="1"/>
  <c r="N6" i="9"/>
  <c r="E8" i="10" s="1"/>
  <c r="N7" i="9"/>
  <c r="E9" i="10" s="1"/>
  <c r="N8" i="9"/>
  <c r="E10" i="10" s="1"/>
  <c r="U4" i="9"/>
  <c r="E36" i="10" s="1"/>
  <c r="U5" i="9"/>
  <c r="E37" i="10" s="1"/>
  <c r="U6" i="9"/>
  <c r="E38" i="10" s="1"/>
  <c r="U7" i="9"/>
  <c r="E39" i="10" s="1"/>
  <c r="U8" i="9"/>
  <c r="E40" i="10" s="1"/>
  <c r="AB3" i="9"/>
  <c r="E65" i="10" s="1"/>
  <c r="AB6" i="9"/>
  <c r="E68" i="10" s="1"/>
  <c r="AB7" i="9"/>
  <c r="E69" i="10" s="1"/>
  <c r="N3" i="9"/>
  <c r="E5" i="10" s="1"/>
  <c r="AB4" i="9"/>
  <c r="E66" i="10" s="1"/>
  <c r="AB8" i="9"/>
  <c r="E70" i="10" s="1"/>
  <c r="AB5" i="9"/>
  <c r="E67" i="10" s="1"/>
  <c r="E27" i="8"/>
  <c r="E28" i="8" s="1"/>
  <c r="E29" i="8" s="1"/>
  <c r="E30" i="8" s="1"/>
  <c r="E31" i="8" s="1"/>
  <c r="E32" i="8" s="1"/>
  <c r="E33" i="8" s="1"/>
  <c r="E34" i="8" s="1"/>
  <c r="AH4" i="9"/>
  <c r="C96" i="10" s="1"/>
  <c r="AH5" i="9"/>
  <c r="C97" i="10" s="1"/>
  <c r="AH6" i="9"/>
  <c r="C98" i="10" s="1"/>
  <c r="AH7" i="9"/>
  <c r="C99" i="10" s="1"/>
  <c r="AH8" i="9"/>
  <c r="C100" i="10" s="1"/>
  <c r="AH3" i="9"/>
  <c r="C95" i="10" s="1"/>
  <c r="T4" i="9"/>
  <c r="C36" i="10" s="1"/>
  <c r="T5" i="9"/>
  <c r="C37" i="10" s="1"/>
  <c r="T6" i="9"/>
  <c r="C38" i="10" s="1"/>
  <c r="T7" i="9"/>
  <c r="C39" i="10" s="1"/>
  <c r="T8" i="9"/>
  <c r="C40" i="10" s="1"/>
  <c r="AA3" i="9"/>
  <c r="C65" i="10" s="1"/>
  <c r="M3" i="9"/>
  <c r="C5" i="10" s="1"/>
  <c r="AA4" i="9"/>
  <c r="C66" i="10" s="1"/>
  <c r="AA5" i="9"/>
  <c r="C67" i="10" s="1"/>
  <c r="AA6" i="9"/>
  <c r="C68" i="10" s="1"/>
  <c r="AA7" i="9"/>
  <c r="C69" i="10" s="1"/>
  <c r="AA8" i="9"/>
  <c r="C70" i="10" s="1"/>
  <c r="M4" i="9"/>
  <c r="C6" i="10" s="1"/>
  <c r="M6" i="9"/>
  <c r="C8" i="10" s="1"/>
  <c r="M8" i="9"/>
  <c r="C10" i="10" s="1"/>
  <c r="T3" i="9"/>
  <c r="C35" i="10" s="1"/>
  <c r="M5" i="9"/>
  <c r="C7" i="10" s="1"/>
  <c r="M7" i="9"/>
  <c r="C9" i="10" s="1"/>
  <c r="D27" i="8"/>
  <c r="D28" i="8" s="1"/>
  <c r="D29" i="8" s="1"/>
  <c r="D30" i="8" s="1"/>
  <c r="D31" i="8" s="1"/>
  <c r="D32" i="8" s="1"/>
  <c r="D33" i="8" s="1"/>
  <c r="D34" i="8" s="1"/>
  <c r="AG3" i="9"/>
  <c r="B95" i="10" s="1"/>
  <c r="AG4" i="9"/>
  <c r="B96" i="10" s="1"/>
  <c r="AG8" i="9"/>
  <c r="B100" i="10" s="1"/>
  <c r="AG5" i="9"/>
  <c r="B97" i="10" s="1"/>
  <c r="AG6" i="9"/>
  <c r="B98" i="10" s="1"/>
  <c r="AG7" i="9"/>
  <c r="B99" i="10" s="1"/>
  <c r="Z3" i="9"/>
  <c r="B65" i="10" s="1"/>
  <c r="L3" i="9"/>
  <c r="B5" i="10" s="1"/>
  <c r="Z4" i="9"/>
  <c r="B66" i="10" s="1"/>
  <c r="Z5" i="9"/>
  <c r="B67" i="10" s="1"/>
  <c r="Z6" i="9"/>
  <c r="B68" i="10" s="1"/>
  <c r="Z7" i="9"/>
  <c r="B69" i="10" s="1"/>
  <c r="Z8" i="9"/>
  <c r="B70" i="10" s="1"/>
  <c r="S3" i="9"/>
  <c r="B35" i="10" s="1"/>
  <c r="L4" i="9"/>
  <c r="B6" i="10" s="1"/>
  <c r="S6" i="9"/>
  <c r="B38" i="10" s="1"/>
  <c r="L8" i="9"/>
  <c r="B10" i="10" s="1"/>
  <c r="S7" i="9"/>
  <c r="B39" i="10" s="1"/>
  <c r="S4" i="9"/>
  <c r="B36" i="10" s="1"/>
  <c r="S8" i="9"/>
  <c r="B40" i="10" s="1"/>
  <c r="L5" i="9"/>
  <c r="B7" i="10" s="1"/>
  <c r="L7" i="9"/>
  <c r="B9" i="10" s="1"/>
  <c r="S5" i="9"/>
  <c r="B37" i="10" s="1"/>
  <c r="G5" i="8"/>
  <c r="G6" i="8" s="1"/>
  <c r="H6" i="8"/>
  <c r="K38" i="3" l="1"/>
  <c r="D13" i="7"/>
  <c r="L38" i="3"/>
  <c r="E13" i="7"/>
  <c r="E5" i="8"/>
  <c r="F6" i="8"/>
  <c r="E6" i="8" s="1"/>
  <c r="H7" i="8"/>
  <c r="K39" i="3" l="1"/>
  <c r="D14" i="7"/>
  <c r="L39" i="3"/>
  <c r="E14" i="7"/>
  <c r="G7" i="8"/>
  <c r="G8" i="8" s="1"/>
  <c r="K54" i="9"/>
  <c r="F137" i="10" s="1"/>
  <c r="AI55" i="9"/>
  <c r="E228" i="10" s="1"/>
  <c r="AI56" i="9"/>
  <c r="E229" i="10" s="1"/>
  <c r="AI57" i="9"/>
  <c r="E230" i="10" s="1"/>
  <c r="AI58" i="9"/>
  <c r="E231" i="10" s="1"/>
  <c r="AI59" i="9"/>
  <c r="E232" i="10" s="1"/>
  <c r="AF55" i="9"/>
  <c r="F228" i="10" s="1"/>
  <c r="AF56" i="9"/>
  <c r="F229" i="10" s="1"/>
  <c r="AF57" i="9"/>
  <c r="F230" i="10" s="1"/>
  <c r="AF58" i="9"/>
  <c r="F231" i="10" s="1"/>
  <c r="AG55" i="9"/>
  <c r="B228" i="10" s="1"/>
  <c r="AG56" i="9"/>
  <c r="B229" i="10" s="1"/>
  <c r="AG57" i="9"/>
  <c r="B230" i="10" s="1"/>
  <c r="AG58" i="9"/>
  <c r="B231" i="10" s="1"/>
  <c r="AG59" i="9"/>
  <c r="B232" i="10" s="1"/>
  <c r="AH54" i="9"/>
  <c r="C227" i="10" s="1"/>
  <c r="AH55" i="9"/>
  <c r="C228" i="10" s="1"/>
  <c r="AH56" i="9"/>
  <c r="C229" i="10" s="1"/>
  <c r="AH57" i="9"/>
  <c r="C230" i="10" s="1"/>
  <c r="AH58" i="9"/>
  <c r="C231" i="10" s="1"/>
  <c r="AH59" i="9"/>
  <c r="C232" i="10" s="1"/>
  <c r="AI54" i="9"/>
  <c r="E227" i="10" s="1"/>
  <c r="AF59" i="9"/>
  <c r="F232" i="10" s="1"/>
  <c r="Y55" i="9"/>
  <c r="Y56" i="9"/>
  <c r="Y57" i="9"/>
  <c r="Y58" i="9"/>
  <c r="Y59" i="9"/>
  <c r="Z54" i="9"/>
  <c r="B197" i="10" s="1"/>
  <c r="R55" i="9"/>
  <c r="F168" i="10" s="1"/>
  <c r="R56" i="9"/>
  <c r="F169" i="10" s="1"/>
  <c r="R57" i="9"/>
  <c r="F170" i="10" s="1"/>
  <c r="R58" i="9"/>
  <c r="F171" i="10" s="1"/>
  <c r="R59" i="9"/>
  <c r="F172" i="10" s="1"/>
  <c r="S54" i="9"/>
  <c r="B167" i="10" s="1"/>
  <c r="L55" i="9"/>
  <c r="B138" i="10" s="1"/>
  <c r="L56" i="9"/>
  <c r="B139" i="10" s="1"/>
  <c r="L57" i="9"/>
  <c r="B140" i="10" s="1"/>
  <c r="L58" i="9"/>
  <c r="B141" i="10" s="1"/>
  <c r="L59" i="9"/>
  <c r="B142" i="10" s="1"/>
  <c r="M54" i="9"/>
  <c r="C137" i="10" s="1"/>
  <c r="AA55" i="9"/>
  <c r="C198" i="10" s="1"/>
  <c r="AA59" i="9"/>
  <c r="C202" i="10" s="1"/>
  <c r="T57" i="9"/>
  <c r="C170" i="10" s="1"/>
  <c r="U54" i="9"/>
  <c r="E167" i="10" s="1"/>
  <c r="N55" i="9"/>
  <c r="E138" i="10" s="1"/>
  <c r="N58" i="9"/>
  <c r="E141" i="10" s="1"/>
  <c r="AG54" i="9"/>
  <c r="B227" i="10" s="1"/>
  <c r="Z55" i="9"/>
  <c r="B198" i="10" s="1"/>
  <c r="Z56" i="9"/>
  <c r="B199" i="10" s="1"/>
  <c r="Z57" i="9"/>
  <c r="B200" i="10" s="1"/>
  <c r="Z58" i="9"/>
  <c r="B201" i="10" s="1"/>
  <c r="Z59" i="9"/>
  <c r="B202" i="10" s="1"/>
  <c r="AA54" i="9"/>
  <c r="C197" i="10" s="1"/>
  <c r="S55" i="9"/>
  <c r="B168" i="10" s="1"/>
  <c r="S56" i="9"/>
  <c r="B169" i="10" s="1"/>
  <c r="S57" i="9"/>
  <c r="B170" i="10" s="1"/>
  <c r="S58" i="9"/>
  <c r="B171" i="10" s="1"/>
  <c r="S59" i="9"/>
  <c r="B172" i="10" s="1"/>
  <c r="T54" i="9"/>
  <c r="C167" i="10" s="1"/>
  <c r="M55" i="9"/>
  <c r="C138" i="10" s="1"/>
  <c r="M56" i="9"/>
  <c r="C139" i="10" s="1"/>
  <c r="M57" i="9"/>
  <c r="C140" i="10" s="1"/>
  <c r="M58" i="9"/>
  <c r="C141" i="10" s="1"/>
  <c r="M59" i="9"/>
  <c r="C142" i="10" s="1"/>
  <c r="N54" i="9"/>
  <c r="E137" i="10" s="1"/>
  <c r="AF54" i="9"/>
  <c r="F227" i="10" s="1"/>
  <c r="AA57" i="9"/>
  <c r="C200" i="10" s="1"/>
  <c r="T55" i="9"/>
  <c r="C168" i="10" s="1"/>
  <c r="T59" i="9"/>
  <c r="C172" i="10" s="1"/>
  <c r="N57" i="9"/>
  <c r="E140" i="10" s="1"/>
  <c r="Y54" i="9"/>
  <c r="AB55" i="9"/>
  <c r="AB56" i="9"/>
  <c r="AB57" i="9"/>
  <c r="AB58" i="9"/>
  <c r="AB59" i="9"/>
  <c r="R54" i="9"/>
  <c r="F167" i="10" s="1"/>
  <c r="U55" i="9"/>
  <c r="E168" i="10" s="1"/>
  <c r="U56" i="9"/>
  <c r="E169" i="10" s="1"/>
  <c r="U57" i="9"/>
  <c r="E170" i="10" s="1"/>
  <c r="U58" i="9"/>
  <c r="E171" i="10" s="1"/>
  <c r="U59" i="9"/>
  <c r="E172" i="10" s="1"/>
  <c r="K55" i="9"/>
  <c r="F138" i="10" s="1"/>
  <c r="K56" i="9"/>
  <c r="F139" i="10" s="1"/>
  <c r="K57" i="9"/>
  <c r="F140" i="10" s="1"/>
  <c r="K58" i="9"/>
  <c r="F141" i="10" s="1"/>
  <c r="K59" i="9"/>
  <c r="F142" i="10" s="1"/>
  <c r="L54" i="9"/>
  <c r="B137" i="10" s="1"/>
  <c r="AA56" i="9"/>
  <c r="C199" i="10" s="1"/>
  <c r="AA58" i="9"/>
  <c r="C201" i="10" s="1"/>
  <c r="AB54" i="9"/>
  <c r="T56" i="9"/>
  <c r="C169" i="10" s="1"/>
  <c r="T58" i="9"/>
  <c r="C171" i="10" s="1"/>
  <c r="N56" i="9"/>
  <c r="E139" i="10" s="1"/>
  <c r="N59" i="9"/>
  <c r="E142" i="10" s="1"/>
  <c r="D37" i="8"/>
  <c r="D36" i="8" s="1"/>
  <c r="D38" i="8" s="1"/>
  <c r="F37" i="8"/>
  <c r="F36" i="8" s="1"/>
  <c r="F38" i="8" s="1"/>
  <c r="E37" i="8"/>
  <c r="E36" i="8" s="1"/>
  <c r="E38" i="8" s="1"/>
  <c r="C37" i="8"/>
  <c r="C36" i="8" s="1"/>
  <c r="C38" i="8" s="1"/>
  <c r="F7" i="8"/>
  <c r="H8" i="8"/>
  <c r="E15" i="7" l="1"/>
  <c r="D15" i="7"/>
  <c r="E200" i="10"/>
  <c r="E206" i="10"/>
  <c r="F201" i="10"/>
  <c r="F207" i="10"/>
  <c r="E199" i="10"/>
  <c r="E205" i="10"/>
  <c r="F206" i="10"/>
  <c r="F200" i="10"/>
  <c r="E208" i="10"/>
  <c r="E202" i="10"/>
  <c r="E204" i="10"/>
  <c r="E198" i="10"/>
  <c r="F199" i="10"/>
  <c r="F205" i="10"/>
  <c r="E197" i="10"/>
  <c r="E203" i="10"/>
  <c r="E201" i="10"/>
  <c r="E207" i="10"/>
  <c r="F197" i="10"/>
  <c r="F203" i="10"/>
  <c r="F202" i="10"/>
  <c r="F208" i="10"/>
  <c r="F204" i="10"/>
  <c r="F198" i="10"/>
  <c r="AF11" i="9"/>
  <c r="F101" i="10" s="1"/>
  <c r="AF12" i="9"/>
  <c r="F102" i="10" s="1"/>
  <c r="AF13" i="9"/>
  <c r="F103" i="10" s="1"/>
  <c r="AF14" i="9"/>
  <c r="F104" i="10" s="1"/>
  <c r="AF15" i="9"/>
  <c r="F105" i="10" s="1"/>
  <c r="AF16" i="9"/>
  <c r="F106" i="10" s="1"/>
  <c r="Y11" i="9"/>
  <c r="F71" i="10" s="1"/>
  <c r="Y12" i="9"/>
  <c r="F72" i="10" s="1"/>
  <c r="Y13" i="9"/>
  <c r="F73" i="10" s="1"/>
  <c r="Y14" i="9"/>
  <c r="F74" i="10" s="1"/>
  <c r="Y15" i="9"/>
  <c r="F75" i="10" s="1"/>
  <c r="Y16" i="9"/>
  <c r="F76" i="10" s="1"/>
  <c r="R13" i="9"/>
  <c r="F43" i="10" s="1"/>
  <c r="R15" i="9"/>
  <c r="F45" i="10" s="1"/>
  <c r="K11" i="9"/>
  <c r="F11" i="10" s="1"/>
  <c r="R12" i="9"/>
  <c r="F42" i="10" s="1"/>
  <c r="R14" i="9"/>
  <c r="F44" i="10" s="1"/>
  <c r="R16" i="9"/>
  <c r="F46" i="10" s="1"/>
  <c r="R11" i="9"/>
  <c r="F41" i="10" s="1"/>
  <c r="AG13" i="9"/>
  <c r="B103" i="10" s="1"/>
  <c r="AG16" i="9"/>
  <c r="B106" i="10" s="1"/>
  <c r="AG11" i="9"/>
  <c r="B101" i="10" s="1"/>
  <c r="AG12" i="9"/>
  <c r="B102" i="10" s="1"/>
  <c r="AG14" i="9"/>
  <c r="B104" i="10" s="1"/>
  <c r="AG15" i="9"/>
  <c r="B105" i="10" s="1"/>
  <c r="S11" i="9"/>
  <c r="B41" i="10" s="1"/>
  <c r="Z12" i="9"/>
  <c r="B72" i="10" s="1"/>
  <c r="Z13" i="9"/>
  <c r="B73" i="10" s="1"/>
  <c r="Z14" i="9"/>
  <c r="B74" i="10" s="1"/>
  <c r="Z15" i="9"/>
  <c r="B75" i="10" s="1"/>
  <c r="Z16" i="9"/>
  <c r="B76" i="10" s="1"/>
  <c r="Z11" i="9"/>
  <c r="B71" i="10" s="1"/>
  <c r="S13" i="9"/>
  <c r="B43" i="10" s="1"/>
  <c r="S14" i="9"/>
  <c r="B44" i="10" s="1"/>
  <c r="S15" i="9"/>
  <c r="B45" i="10" s="1"/>
  <c r="S12" i="9"/>
  <c r="B42" i="10" s="1"/>
  <c r="S16" i="9"/>
  <c r="B46" i="10" s="1"/>
  <c r="AI12" i="9"/>
  <c r="E102" i="10" s="1"/>
  <c r="AI13" i="9"/>
  <c r="E103" i="10" s="1"/>
  <c r="AI14" i="9"/>
  <c r="E104" i="10" s="1"/>
  <c r="AI15" i="9"/>
  <c r="E105" i="10" s="1"/>
  <c r="AI16" i="9"/>
  <c r="E106" i="10" s="1"/>
  <c r="AI11" i="9"/>
  <c r="E101" i="10" s="1"/>
  <c r="AB11" i="9"/>
  <c r="E71" i="10" s="1"/>
  <c r="U11" i="9"/>
  <c r="E41" i="10" s="1"/>
  <c r="U12" i="9"/>
  <c r="E42" i="10" s="1"/>
  <c r="U13" i="9"/>
  <c r="E43" i="10" s="1"/>
  <c r="U14" i="9"/>
  <c r="E44" i="10" s="1"/>
  <c r="U15" i="9"/>
  <c r="E45" i="10" s="1"/>
  <c r="U16" i="9"/>
  <c r="E46" i="10" s="1"/>
  <c r="AB14" i="9"/>
  <c r="E74" i="10" s="1"/>
  <c r="AB12" i="9"/>
  <c r="E72" i="10" s="1"/>
  <c r="AB16" i="9"/>
  <c r="E76" i="10" s="1"/>
  <c r="AB13" i="9"/>
  <c r="E73" i="10" s="1"/>
  <c r="AB15" i="9"/>
  <c r="E75" i="10" s="1"/>
  <c r="AH11" i="9"/>
  <c r="C101" i="10" s="1"/>
  <c r="AH14" i="9"/>
  <c r="C104" i="10" s="1"/>
  <c r="AH15" i="9"/>
  <c r="C105" i="10" s="1"/>
  <c r="AH12" i="9"/>
  <c r="C102" i="10" s="1"/>
  <c r="AH16" i="9"/>
  <c r="C106" i="10" s="1"/>
  <c r="AH13" i="9"/>
  <c r="C103" i="10" s="1"/>
  <c r="T12" i="9"/>
  <c r="C42" i="10" s="1"/>
  <c r="T13" i="9"/>
  <c r="C43" i="10" s="1"/>
  <c r="T14" i="9"/>
  <c r="C44" i="10" s="1"/>
  <c r="T15" i="9"/>
  <c r="C45" i="10" s="1"/>
  <c r="T16" i="9"/>
  <c r="C46" i="10" s="1"/>
  <c r="AA12" i="9"/>
  <c r="C72" i="10" s="1"/>
  <c r="AA13" i="9"/>
  <c r="C73" i="10" s="1"/>
  <c r="AA14" i="9"/>
  <c r="C74" i="10" s="1"/>
  <c r="AA15" i="9"/>
  <c r="C75" i="10" s="1"/>
  <c r="AA16" i="9"/>
  <c r="C76" i="10" s="1"/>
  <c r="AA11" i="9"/>
  <c r="C71" i="10" s="1"/>
  <c r="T11" i="9"/>
  <c r="C41" i="10" s="1"/>
  <c r="D39" i="8"/>
  <c r="D40" i="8" s="1"/>
  <c r="D41" i="8" s="1"/>
  <c r="D42" i="8" s="1"/>
  <c r="D43" i="8" s="1"/>
  <c r="D44" i="8" s="1"/>
  <c r="D45" i="8" s="1"/>
  <c r="D46" i="8" s="1"/>
  <c r="L15" i="9"/>
  <c r="B15" i="10" s="1"/>
  <c r="L14" i="9"/>
  <c r="B14" i="10" s="1"/>
  <c r="L13" i="9"/>
  <c r="B13" i="10" s="1"/>
  <c r="L11" i="9"/>
  <c r="B11" i="10" s="1"/>
  <c r="L12" i="9"/>
  <c r="B12" i="10" s="1"/>
  <c r="L16" i="9"/>
  <c r="B16" i="10" s="1"/>
  <c r="E39" i="8"/>
  <c r="E40" i="8" s="1"/>
  <c r="E41" i="8" s="1"/>
  <c r="E42" i="8" s="1"/>
  <c r="E43" i="8" s="1"/>
  <c r="E44" i="8" s="1"/>
  <c r="E45" i="8" s="1"/>
  <c r="E46" i="8" s="1"/>
  <c r="M13" i="9"/>
  <c r="C13" i="10" s="1"/>
  <c r="M12" i="9"/>
  <c r="C12" i="10" s="1"/>
  <c r="M15" i="9"/>
  <c r="C15" i="10" s="1"/>
  <c r="M14" i="9"/>
  <c r="C14" i="10" s="1"/>
  <c r="M11" i="9"/>
  <c r="C11" i="10" s="1"/>
  <c r="M16" i="9"/>
  <c r="C16" i="10" s="1"/>
  <c r="F39" i="8"/>
  <c r="F40" i="8" s="1"/>
  <c r="F41" i="8" s="1"/>
  <c r="F42" i="8" s="1"/>
  <c r="F43" i="8" s="1"/>
  <c r="F44" i="8" s="1"/>
  <c r="F45" i="8" s="1"/>
  <c r="F46" i="8" s="1"/>
  <c r="N11" i="9"/>
  <c r="E11" i="10" s="1"/>
  <c r="N12" i="9"/>
  <c r="E12" i="10" s="1"/>
  <c r="N16" i="9"/>
  <c r="E16" i="10" s="1"/>
  <c r="N15" i="9"/>
  <c r="E15" i="10" s="1"/>
  <c r="N14" i="9"/>
  <c r="E14" i="10" s="1"/>
  <c r="N13" i="9"/>
  <c r="E13" i="10" s="1"/>
  <c r="C39" i="8"/>
  <c r="C40" i="8" s="1"/>
  <c r="C41" i="8" s="1"/>
  <c r="C42" i="8" s="1"/>
  <c r="C43" i="8" s="1"/>
  <c r="C44" i="8" s="1"/>
  <c r="C45" i="8" s="1"/>
  <c r="C46" i="8" s="1"/>
  <c r="K13" i="9"/>
  <c r="F13" i="10" s="1"/>
  <c r="K15" i="9"/>
  <c r="F15" i="10" s="1"/>
  <c r="K12" i="9"/>
  <c r="F12" i="10" s="1"/>
  <c r="K16" i="9"/>
  <c r="F16" i="10" s="1"/>
  <c r="K14" i="9"/>
  <c r="F14" i="10" s="1"/>
  <c r="E7" i="8"/>
  <c r="F8" i="8"/>
  <c r="H10" i="8"/>
  <c r="H9" i="8"/>
  <c r="K60" i="9" l="1"/>
  <c r="F143" i="10" s="1"/>
  <c r="AI61" i="9"/>
  <c r="E234" i="10" s="1"/>
  <c r="AI62" i="9"/>
  <c r="E235" i="10" s="1"/>
  <c r="AI63" i="9"/>
  <c r="E236" i="10" s="1"/>
  <c r="AI64" i="9"/>
  <c r="E237" i="10" s="1"/>
  <c r="AI65" i="9"/>
  <c r="E238" i="10" s="1"/>
  <c r="AF60" i="9"/>
  <c r="F233" i="10" s="1"/>
  <c r="AA61" i="9"/>
  <c r="C204" i="10" s="1"/>
  <c r="AA62" i="9"/>
  <c r="C205" i="10" s="1"/>
  <c r="AA63" i="9"/>
  <c r="C206" i="10" s="1"/>
  <c r="AA64" i="9"/>
  <c r="C207" i="10" s="1"/>
  <c r="AA65" i="9"/>
  <c r="C208" i="10" s="1"/>
  <c r="AB60" i="9"/>
  <c r="T61" i="9"/>
  <c r="C174" i="10" s="1"/>
  <c r="T62" i="9"/>
  <c r="C175" i="10" s="1"/>
  <c r="T63" i="9"/>
  <c r="C176" i="10" s="1"/>
  <c r="T64" i="9"/>
  <c r="C177" i="10" s="1"/>
  <c r="T65" i="9"/>
  <c r="C178" i="10" s="1"/>
  <c r="U60" i="9"/>
  <c r="E173" i="10" s="1"/>
  <c r="N61" i="9"/>
  <c r="E144" i="10" s="1"/>
  <c r="N62" i="9"/>
  <c r="E145" i="10" s="1"/>
  <c r="N63" i="9"/>
  <c r="E146" i="10" s="1"/>
  <c r="N64" i="9"/>
  <c r="E147" i="10" s="1"/>
  <c r="N65" i="9"/>
  <c r="E148" i="10" s="1"/>
  <c r="AF61" i="9"/>
  <c r="F234" i="10" s="1"/>
  <c r="AF62" i="9"/>
  <c r="F235" i="10" s="1"/>
  <c r="AF63" i="9"/>
  <c r="F236" i="10" s="1"/>
  <c r="AF64" i="9"/>
  <c r="F237" i="10" s="1"/>
  <c r="AF65" i="9"/>
  <c r="F238" i="10" s="1"/>
  <c r="AG60" i="9"/>
  <c r="B233" i="10" s="1"/>
  <c r="Y60" i="9"/>
  <c r="AB61" i="9"/>
  <c r="AB62" i="9"/>
  <c r="AB63" i="9"/>
  <c r="AB64" i="9"/>
  <c r="AB65" i="9"/>
  <c r="R60" i="9"/>
  <c r="F173" i="10" s="1"/>
  <c r="U61" i="9"/>
  <c r="E174" i="10" s="1"/>
  <c r="U62" i="9"/>
  <c r="E175" i="10" s="1"/>
  <c r="U63" i="9"/>
  <c r="E176" i="10" s="1"/>
  <c r="U64" i="9"/>
  <c r="E177" i="10" s="1"/>
  <c r="U65" i="9"/>
  <c r="E178" i="10" s="1"/>
  <c r="K61" i="9"/>
  <c r="F144" i="10" s="1"/>
  <c r="K62" i="9"/>
  <c r="F145" i="10" s="1"/>
  <c r="K63" i="9"/>
  <c r="F146" i="10" s="1"/>
  <c r="K64" i="9"/>
  <c r="F147" i="10" s="1"/>
  <c r="K65" i="9"/>
  <c r="F148" i="10" s="1"/>
  <c r="L60" i="9"/>
  <c r="B143" i="10" s="1"/>
  <c r="AG61" i="9"/>
  <c r="B234" i="10" s="1"/>
  <c r="AG62" i="9"/>
  <c r="B235" i="10" s="1"/>
  <c r="AG63" i="9"/>
  <c r="B236" i="10" s="1"/>
  <c r="AG64" i="9"/>
  <c r="B237" i="10" s="1"/>
  <c r="AG65" i="9"/>
  <c r="B238" i="10" s="1"/>
  <c r="AH60" i="9"/>
  <c r="C233" i="10" s="1"/>
  <c r="Y61" i="9"/>
  <c r="Y62" i="9"/>
  <c r="Y63" i="9"/>
  <c r="Y64" i="9"/>
  <c r="Y65" i="9"/>
  <c r="Z60" i="9"/>
  <c r="B203" i="10" s="1"/>
  <c r="R61" i="9"/>
  <c r="F174" i="10" s="1"/>
  <c r="R62" i="9"/>
  <c r="F175" i="10" s="1"/>
  <c r="R63" i="9"/>
  <c r="F176" i="10" s="1"/>
  <c r="R64" i="9"/>
  <c r="F177" i="10" s="1"/>
  <c r="R65" i="9"/>
  <c r="F178" i="10" s="1"/>
  <c r="S60" i="9"/>
  <c r="B173" i="10" s="1"/>
  <c r="L61" i="9"/>
  <c r="B144" i="10" s="1"/>
  <c r="L62" i="9"/>
  <c r="B145" i="10" s="1"/>
  <c r="L63" i="9"/>
  <c r="B146" i="10" s="1"/>
  <c r="L64" i="9"/>
  <c r="B147" i="10" s="1"/>
  <c r="L65" i="9"/>
  <c r="B148" i="10" s="1"/>
  <c r="M60" i="9"/>
  <c r="C143" i="10" s="1"/>
  <c r="AH61" i="9"/>
  <c r="C234" i="10" s="1"/>
  <c r="AH62" i="9"/>
  <c r="C235" i="10" s="1"/>
  <c r="AH63" i="9"/>
  <c r="C236" i="10" s="1"/>
  <c r="AH64" i="9"/>
  <c r="C237" i="10" s="1"/>
  <c r="AH65" i="9"/>
  <c r="C238" i="10" s="1"/>
  <c r="AI60" i="9"/>
  <c r="E233" i="10" s="1"/>
  <c r="Z61" i="9"/>
  <c r="B204" i="10" s="1"/>
  <c r="Z62" i="9"/>
  <c r="B205" i="10" s="1"/>
  <c r="Z63" i="9"/>
  <c r="B206" i="10" s="1"/>
  <c r="Z64" i="9"/>
  <c r="B207" i="10" s="1"/>
  <c r="Z65" i="9"/>
  <c r="B208" i="10" s="1"/>
  <c r="AA60" i="9"/>
  <c r="C203" i="10" s="1"/>
  <c r="S61" i="9"/>
  <c r="B174" i="10" s="1"/>
  <c r="S62" i="9"/>
  <c r="B175" i="10" s="1"/>
  <c r="S63" i="9"/>
  <c r="B176" i="10" s="1"/>
  <c r="S64" i="9"/>
  <c r="B177" i="10" s="1"/>
  <c r="S65" i="9"/>
  <c r="B178" i="10" s="1"/>
  <c r="T60" i="9"/>
  <c r="C173" i="10" s="1"/>
  <c r="M61" i="9"/>
  <c r="C144" i="10" s="1"/>
  <c r="M62" i="9"/>
  <c r="C145" i="10" s="1"/>
  <c r="M63" i="9"/>
  <c r="C146" i="10" s="1"/>
  <c r="M64" i="9"/>
  <c r="C147" i="10" s="1"/>
  <c r="M65" i="9"/>
  <c r="C148" i="10" s="1"/>
  <c r="N60" i="9"/>
  <c r="E143" i="10" s="1"/>
  <c r="E8" i="8"/>
  <c r="D49" i="8"/>
  <c r="D48" i="8" s="1"/>
  <c r="F49" i="8"/>
  <c r="F48" i="8" s="1"/>
  <c r="F50" i="8" s="1"/>
  <c r="E49" i="8"/>
  <c r="E48" i="8" s="1"/>
  <c r="C49" i="8"/>
  <c r="C48" i="8" s="1"/>
  <c r="C50" i="8" s="1"/>
  <c r="F9" i="8"/>
  <c r="F10" i="8" s="1"/>
  <c r="G9" i="8"/>
  <c r="G10" i="8" s="1"/>
  <c r="H11" i="8"/>
  <c r="AF20" i="9" l="1"/>
  <c r="F108" i="10" s="1"/>
  <c r="AF21" i="9"/>
  <c r="F109" i="10" s="1"/>
  <c r="AF22" i="9"/>
  <c r="F110" i="10" s="1"/>
  <c r="AF23" i="9"/>
  <c r="F111" i="10" s="1"/>
  <c r="AF24" i="9"/>
  <c r="F112" i="10" s="1"/>
  <c r="Y19" i="9"/>
  <c r="F77" i="10" s="1"/>
  <c r="AF19" i="9"/>
  <c r="F107" i="10" s="1"/>
  <c r="Y20" i="9"/>
  <c r="F78" i="10" s="1"/>
  <c r="Y21" i="9"/>
  <c r="F79" i="10" s="1"/>
  <c r="Y22" i="9"/>
  <c r="F80" i="10" s="1"/>
  <c r="Y23" i="9"/>
  <c r="F81" i="10" s="1"/>
  <c r="Y24" i="9"/>
  <c r="F82" i="10" s="1"/>
  <c r="R23" i="9"/>
  <c r="F51" i="10" s="1"/>
  <c r="R20" i="9"/>
  <c r="F48" i="10" s="1"/>
  <c r="R24" i="9"/>
  <c r="F52" i="10" s="1"/>
  <c r="R21" i="9"/>
  <c r="F49" i="10" s="1"/>
  <c r="R19" i="9"/>
  <c r="F47" i="10" s="1"/>
  <c r="R22" i="9"/>
  <c r="F50" i="10" s="1"/>
  <c r="AI19" i="9"/>
  <c r="E107" i="10" s="1"/>
  <c r="AI20" i="9"/>
  <c r="E108" i="10" s="1"/>
  <c r="AI24" i="9"/>
  <c r="E112" i="10" s="1"/>
  <c r="AI21" i="9"/>
  <c r="E109" i="10" s="1"/>
  <c r="AI22" i="9"/>
  <c r="E110" i="10" s="1"/>
  <c r="AI23" i="9"/>
  <c r="E111" i="10" s="1"/>
  <c r="U23" i="9"/>
  <c r="E51" i="10" s="1"/>
  <c r="U19" i="9"/>
  <c r="E47" i="10" s="1"/>
  <c r="AB19" i="9"/>
  <c r="E77" i="10" s="1"/>
  <c r="U20" i="9"/>
  <c r="E48" i="10" s="1"/>
  <c r="U21" i="9"/>
  <c r="E49" i="10" s="1"/>
  <c r="U22" i="9"/>
  <c r="E50" i="10" s="1"/>
  <c r="U24" i="9"/>
  <c r="E52" i="10" s="1"/>
  <c r="AB22" i="9"/>
  <c r="E80" i="10" s="1"/>
  <c r="AB23" i="9"/>
  <c r="E81" i="10" s="1"/>
  <c r="AB20" i="9"/>
  <c r="E78" i="10" s="1"/>
  <c r="AB24" i="9"/>
  <c r="E82" i="10" s="1"/>
  <c r="AB21" i="9"/>
  <c r="E79" i="10" s="1"/>
  <c r="E50" i="8"/>
  <c r="D50" i="8"/>
  <c r="N21" i="9"/>
  <c r="E19" i="10" s="1"/>
  <c r="N23" i="9"/>
  <c r="E21" i="10" s="1"/>
  <c r="N19" i="9"/>
  <c r="E17" i="10" s="1"/>
  <c r="N20" i="9"/>
  <c r="E18" i="10" s="1"/>
  <c r="N24" i="9"/>
  <c r="E22" i="10" s="1"/>
  <c r="N22" i="9"/>
  <c r="E20" i="10" s="1"/>
  <c r="F51" i="8"/>
  <c r="F52" i="8" s="1"/>
  <c r="F53" i="8" s="1"/>
  <c r="F54" i="8" s="1"/>
  <c r="F55" i="8" s="1"/>
  <c r="F56" i="8" s="1"/>
  <c r="F57" i="8" s="1"/>
  <c r="F58" i="8" s="1"/>
  <c r="H13" i="8"/>
  <c r="E9" i="8"/>
  <c r="E10" i="8"/>
  <c r="G11" i="8"/>
  <c r="F11" i="8"/>
  <c r="H12" i="8"/>
  <c r="AF67" i="9" l="1"/>
  <c r="F240" i="10" s="1"/>
  <c r="AF68" i="9"/>
  <c r="F241" i="10" s="1"/>
  <c r="AF69" i="9"/>
  <c r="F242" i="10" s="1"/>
  <c r="AF70" i="9"/>
  <c r="F243" i="10" s="1"/>
  <c r="AF71" i="9"/>
  <c r="F244" i="10" s="1"/>
  <c r="AG66" i="9"/>
  <c r="B239" i="10" s="1"/>
  <c r="Y66" i="9"/>
  <c r="F209" i="10" s="1"/>
  <c r="AB67" i="9"/>
  <c r="E210" i="10" s="1"/>
  <c r="AB68" i="9"/>
  <c r="E211" i="10" s="1"/>
  <c r="AB69" i="9"/>
  <c r="E212" i="10" s="1"/>
  <c r="AB70" i="9"/>
  <c r="E213" i="10" s="1"/>
  <c r="AB71" i="9"/>
  <c r="E214" i="10" s="1"/>
  <c r="R66" i="9"/>
  <c r="F179" i="10" s="1"/>
  <c r="U67" i="9"/>
  <c r="E180" i="10" s="1"/>
  <c r="U68" i="9"/>
  <c r="E181" i="10" s="1"/>
  <c r="U69" i="9"/>
  <c r="E182" i="10" s="1"/>
  <c r="U70" i="9"/>
  <c r="E183" i="10" s="1"/>
  <c r="U71" i="9"/>
  <c r="E184" i="10" s="1"/>
  <c r="K66" i="9"/>
  <c r="F149" i="10" s="1"/>
  <c r="N67" i="9"/>
  <c r="E150" i="10" s="1"/>
  <c r="N68" i="9"/>
  <c r="E151" i="10" s="1"/>
  <c r="N69" i="9"/>
  <c r="E152" i="10" s="1"/>
  <c r="N70" i="9"/>
  <c r="E153" i="10" s="1"/>
  <c r="N71" i="9"/>
  <c r="E154" i="10" s="1"/>
  <c r="AG67" i="9"/>
  <c r="B240" i="10" s="1"/>
  <c r="AG68" i="9"/>
  <c r="B241" i="10" s="1"/>
  <c r="AG69" i="9"/>
  <c r="B242" i="10" s="1"/>
  <c r="AG70" i="9"/>
  <c r="B243" i="10" s="1"/>
  <c r="AG71" i="9"/>
  <c r="B244" i="10" s="1"/>
  <c r="AH66" i="9"/>
  <c r="C239" i="10" s="1"/>
  <c r="Y67" i="9"/>
  <c r="F210" i="10" s="1"/>
  <c r="Y68" i="9"/>
  <c r="F211" i="10" s="1"/>
  <c r="Y69" i="9"/>
  <c r="F212" i="10" s="1"/>
  <c r="Y70" i="9"/>
  <c r="F213" i="10" s="1"/>
  <c r="Y71" i="9"/>
  <c r="F214" i="10" s="1"/>
  <c r="Z66" i="9"/>
  <c r="B209" i="10" s="1"/>
  <c r="R67" i="9"/>
  <c r="F180" i="10" s="1"/>
  <c r="R68" i="9"/>
  <c r="F181" i="10" s="1"/>
  <c r="R69" i="9"/>
  <c r="F182" i="10" s="1"/>
  <c r="R70" i="9"/>
  <c r="F183" i="10" s="1"/>
  <c r="R71" i="9"/>
  <c r="F184" i="10" s="1"/>
  <c r="S66" i="9"/>
  <c r="B179" i="10" s="1"/>
  <c r="K67" i="9"/>
  <c r="F150" i="10" s="1"/>
  <c r="K68" i="9"/>
  <c r="F151" i="10" s="1"/>
  <c r="K69" i="9"/>
  <c r="F152" i="10" s="1"/>
  <c r="K70" i="9"/>
  <c r="F153" i="10" s="1"/>
  <c r="K71" i="9"/>
  <c r="F154" i="10" s="1"/>
  <c r="L66" i="9"/>
  <c r="B149" i="10" s="1"/>
  <c r="AH67" i="9"/>
  <c r="C240" i="10" s="1"/>
  <c r="AH68" i="9"/>
  <c r="C241" i="10" s="1"/>
  <c r="AH69" i="9"/>
  <c r="C242" i="10" s="1"/>
  <c r="AH70" i="9"/>
  <c r="C243" i="10" s="1"/>
  <c r="AH71" i="9"/>
  <c r="C244" i="10" s="1"/>
  <c r="AI66" i="9"/>
  <c r="E239" i="10" s="1"/>
  <c r="Z67" i="9"/>
  <c r="B210" i="10" s="1"/>
  <c r="Z68" i="9"/>
  <c r="B211" i="10" s="1"/>
  <c r="Z69" i="9"/>
  <c r="B212" i="10" s="1"/>
  <c r="Z70" i="9"/>
  <c r="B213" i="10" s="1"/>
  <c r="Z71" i="9"/>
  <c r="B214" i="10" s="1"/>
  <c r="AA66" i="9"/>
  <c r="C209" i="10" s="1"/>
  <c r="S67" i="9"/>
  <c r="B180" i="10" s="1"/>
  <c r="S68" i="9"/>
  <c r="B181" i="10" s="1"/>
  <c r="S69" i="9"/>
  <c r="B182" i="10" s="1"/>
  <c r="S70" i="9"/>
  <c r="B183" i="10" s="1"/>
  <c r="S71" i="9"/>
  <c r="B184" i="10" s="1"/>
  <c r="T66" i="9"/>
  <c r="C179" i="10" s="1"/>
  <c r="L67" i="9"/>
  <c r="B150" i="10" s="1"/>
  <c r="L68" i="9"/>
  <c r="B151" i="10" s="1"/>
  <c r="L69" i="9"/>
  <c r="B152" i="10" s="1"/>
  <c r="L70" i="9"/>
  <c r="B153" i="10" s="1"/>
  <c r="L71" i="9"/>
  <c r="B154" i="10" s="1"/>
  <c r="M66" i="9"/>
  <c r="C149" i="10" s="1"/>
  <c r="AI67" i="9"/>
  <c r="E240" i="10" s="1"/>
  <c r="AI68" i="9"/>
  <c r="E241" i="10" s="1"/>
  <c r="AI69" i="9"/>
  <c r="E242" i="10" s="1"/>
  <c r="AI70" i="9"/>
  <c r="E243" i="10" s="1"/>
  <c r="AI71" i="9"/>
  <c r="E244" i="10" s="1"/>
  <c r="AF66" i="9"/>
  <c r="F239" i="10" s="1"/>
  <c r="AA67" i="9"/>
  <c r="C210" i="10" s="1"/>
  <c r="AA68" i="9"/>
  <c r="C211" i="10" s="1"/>
  <c r="AA69" i="9"/>
  <c r="C212" i="10" s="1"/>
  <c r="AA70" i="9"/>
  <c r="C213" i="10" s="1"/>
  <c r="AA71" i="9"/>
  <c r="C214" i="10" s="1"/>
  <c r="AB66" i="9"/>
  <c r="E209" i="10" s="1"/>
  <c r="T67" i="9"/>
  <c r="C180" i="10" s="1"/>
  <c r="T68" i="9"/>
  <c r="C181" i="10" s="1"/>
  <c r="T69" i="9"/>
  <c r="C182" i="10" s="1"/>
  <c r="T70" i="9"/>
  <c r="C183" i="10" s="1"/>
  <c r="T71" i="9"/>
  <c r="C184" i="10" s="1"/>
  <c r="U66" i="9"/>
  <c r="E179" i="10" s="1"/>
  <c r="M67" i="9"/>
  <c r="C150" i="10" s="1"/>
  <c r="M68" i="9"/>
  <c r="C151" i="10" s="1"/>
  <c r="M69" i="9"/>
  <c r="C152" i="10" s="1"/>
  <c r="M70" i="9"/>
  <c r="C153" i="10" s="1"/>
  <c r="M71" i="9"/>
  <c r="C154" i="10" s="1"/>
  <c r="N66" i="9"/>
  <c r="E149" i="10" s="1"/>
  <c r="D61" i="8"/>
  <c r="D60" i="8" s="1"/>
  <c r="D62" i="8" s="1"/>
  <c r="E61" i="8"/>
  <c r="F61" i="8"/>
  <c r="F60" i="8" s="1"/>
  <c r="F62" i="8" s="1"/>
  <c r="C61" i="8"/>
  <c r="C60" i="8" s="1"/>
  <c r="D51" i="8"/>
  <c r="D52" i="8" s="1"/>
  <c r="D53" i="8" s="1"/>
  <c r="D54" i="8" s="1"/>
  <c r="D55" i="8" s="1"/>
  <c r="D56" i="8" s="1"/>
  <c r="D57" i="8" s="1"/>
  <c r="D58" i="8" s="1"/>
  <c r="AG19" i="9"/>
  <c r="B107" i="10" s="1"/>
  <c r="AG20" i="9"/>
  <c r="B108" i="10" s="1"/>
  <c r="AG21" i="9"/>
  <c r="B109" i="10" s="1"/>
  <c r="AG22" i="9"/>
  <c r="B110" i="10" s="1"/>
  <c r="AG23" i="9"/>
  <c r="B111" i="10" s="1"/>
  <c r="AG24" i="9"/>
  <c r="B112" i="10" s="1"/>
  <c r="Z19" i="9"/>
  <c r="B77" i="10" s="1"/>
  <c r="S20" i="9"/>
  <c r="B48" i="10" s="1"/>
  <c r="S21" i="9"/>
  <c r="B49" i="10" s="1"/>
  <c r="S22" i="9"/>
  <c r="B50" i="10" s="1"/>
  <c r="S23" i="9"/>
  <c r="B51" i="10" s="1"/>
  <c r="S24" i="9"/>
  <c r="B52" i="10" s="1"/>
  <c r="Z20" i="9"/>
  <c r="B78" i="10" s="1"/>
  <c r="Z21" i="9"/>
  <c r="B79" i="10" s="1"/>
  <c r="Z22" i="9"/>
  <c r="B80" i="10" s="1"/>
  <c r="Z23" i="9"/>
  <c r="B81" i="10" s="1"/>
  <c r="Z24" i="9"/>
  <c r="B82" i="10" s="1"/>
  <c r="S19" i="9"/>
  <c r="B47" i="10" s="1"/>
  <c r="AH22" i="9"/>
  <c r="C110" i="10" s="1"/>
  <c r="AH19" i="9"/>
  <c r="C107" i="10" s="1"/>
  <c r="AH20" i="9"/>
  <c r="C108" i="10" s="1"/>
  <c r="AH21" i="9"/>
  <c r="C109" i="10" s="1"/>
  <c r="AH23" i="9"/>
  <c r="C111" i="10" s="1"/>
  <c r="AH24" i="9"/>
  <c r="C112" i="10" s="1"/>
  <c r="T19" i="9"/>
  <c r="C47" i="10" s="1"/>
  <c r="AA19" i="9"/>
  <c r="C77" i="10" s="1"/>
  <c r="T20" i="9"/>
  <c r="C48" i="10" s="1"/>
  <c r="T21" i="9"/>
  <c r="C49" i="10" s="1"/>
  <c r="T22" i="9"/>
  <c r="C50" i="10" s="1"/>
  <c r="T23" i="9"/>
  <c r="C51" i="10" s="1"/>
  <c r="T24" i="9"/>
  <c r="C52" i="10" s="1"/>
  <c r="AA20" i="9"/>
  <c r="C78" i="10" s="1"/>
  <c r="AA21" i="9"/>
  <c r="C79" i="10" s="1"/>
  <c r="AA22" i="9"/>
  <c r="C80" i="10" s="1"/>
  <c r="AA23" i="9"/>
  <c r="C81" i="10" s="1"/>
  <c r="AA24" i="9"/>
  <c r="C82" i="10" s="1"/>
  <c r="M20" i="9"/>
  <c r="C18" i="10" s="1"/>
  <c r="M21" i="9"/>
  <c r="C19" i="10" s="1"/>
  <c r="M19" i="9"/>
  <c r="C17" i="10" s="1"/>
  <c r="M22" i="9"/>
  <c r="C20" i="10" s="1"/>
  <c r="M23" i="9"/>
  <c r="C21" i="10" s="1"/>
  <c r="M24" i="9"/>
  <c r="C22" i="10" s="1"/>
  <c r="E51" i="8"/>
  <c r="E52" i="8" s="1"/>
  <c r="E53" i="8" s="1"/>
  <c r="E54" i="8" s="1"/>
  <c r="E55" i="8" s="1"/>
  <c r="E56" i="8" s="1"/>
  <c r="E57" i="8" s="1"/>
  <c r="E58" i="8" s="1"/>
  <c r="L23" i="9"/>
  <c r="B21" i="10" s="1"/>
  <c r="L21" i="9"/>
  <c r="B19" i="10" s="1"/>
  <c r="L19" i="9"/>
  <c r="B17" i="10" s="1"/>
  <c r="L20" i="9"/>
  <c r="B18" i="10" s="1"/>
  <c r="L24" i="9"/>
  <c r="B22" i="10" s="1"/>
  <c r="L22" i="9"/>
  <c r="B20" i="10" s="1"/>
  <c r="K19" i="9"/>
  <c r="F17" i="10" s="1"/>
  <c r="K21" i="9"/>
  <c r="F19" i="10" s="1"/>
  <c r="K22" i="9"/>
  <c r="F20" i="10" s="1"/>
  <c r="K23" i="9"/>
  <c r="F21" i="10" s="1"/>
  <c r="K24" i="9"/>
  <c r="F22" i="10" s="1"/>
  <c r="K20" i="9"/>
  <c r="F18" i="10" s="1"/>
  <c r="C51" i="8"/>
  <c r="C52" i="8" s="1"/>
  <c r="C53" i="8" s="1"/>
  <c r="C54" i="8" s="1"/>
  <c r="C55" i="8" s="1"/>
  <c r="C56" i="8" s="1"/>
  <c r="C57" i="8" s="1"/>
  <c r="C58" i="8" s="1"/>
  <c r="E11" i="8"/>
  <c r="H14" i="8"/>
  <c r="G12" i="8"/>
  <c r="G13" i="8" s="1"/>
  <c r="G14" i="8" s="1"/>
  <c r="G15" i="8" s="1"/>
  <c r="G16" i="8" s="1"/>
  <c r="F12" i="8"/>
  <c r="F13" i="8" s="1"/>
  <c r="E60" i="8"/>
  <c r="E62" i="8" s="1"/>
  <c r="AH27" i="9" l="1"/>
  <c r="C113" i="10" s="1"/>
  <c r="AH28" i="9"/>
  <c r="C114" i="10" s="1"/>
  <c r="AH29" i="9"/>
  <c r="C115" i="10" s="1"/>
  <c r="AH30" i="9"/>
  <c r="C116" i="10" s="1"/>
  <c r="AH31" i="9"/>
  <c r="C117" i="10" s="1"/>
  <c r="AH32" i="9"/>
  <c r="C118" i="10" s="1"/>
  <c r="AA27" i="9"/>
  <c r="C83" i="10" s="1"/>
  <c r="AA28" i="9"/>
  <c r="C84" i="10" s="1"/>
  <c r="AA29" i="9"/>
  <c r="C85" i="10" s="1"/>
  <c r="AA30" i="9"/>
  <c r="C86" i="10" s="1"/>
  <c r="AA31" i="9"/>
  <c r="C87" i="10" s="1"/>
  <c r="AA32" i="9"/>
  <c r="C88" i="10" s="1"/>
  <c r="T27" i="9"/>
  <c r="C53" i="10" s="1"/>
  <c r="T28" i="9"/>
  <c r="C54" i="10" s="1"/>
  <c r="T29" i="9"/>
  <c r="C55" i="10" s="1"/>
  <c r="T30" i="9"/>
  <c r="C56" i="10" s="1"/>
  <c r="T31" i="9"/>
  <c r="C57" i="10" s="1"/>
  <c r="T32" i="9"/>
  <c r="C58" i="10" s="1"/>
  <c r="AI29" i="9"/>
  <c r="E115" i="10" s="1"/>
  <c r="AI32" i="9"/>
  <c r="E118" i="10" s="1"/>
  <c r="AI27" i="9"/>
  <c r="E113" i="10" s="1"/>
  <c r="AI28" i="9"/>
  <c r="E114" i="10" s="1"/>
  <c r="AI30" i="9"/>
  <c r="E116" i="10" s="1"/>
  <c r="AI31" i="9"/>
  <c r="E117" i="10" s="1"/>
  <c r="AB27" i="9"/>
  <c r="E83" i="10" s="1"/>
  <c r="AB28" i="9"/>
  <c r="E84" i="10" s="1"/>
  <c r="AB29" i="9"/>
  <c r="E85" i="10" s="1"/>
  <c r="AB30" i="9"/>
  <c r="E86" i="10" s="1"/>
  <c r="AB31" i="9"/>
  <c r="E87" i="10" s="1"/>
  <c r="AB32" i="9"/>
  <c r="E88" i="10" s="1"/>
  <c r="U27" i="9"/>
  <c r="E53" i="10" s="1"/>
  <c r="U28" i="9"/>
  <c r="E54" i="10" s="1"/>
  <c r="U29" i="9"/>
  <c r="E55" i="10" s="1"/>
  <c r="U30" i="9"/>
  <c r="E56" i="10" s="1"/>
  <c r="U31" i="9"/>
  <c r="E57" i="10" s="1"/>
  <c r="U32" i="9"/>
  <c r="E58" i="10" s="1"/>
  <c r="AG27" i="9"/>
  <c r="B113" i="10" s="1"/>
  <c r="AG28" i="9"/>
  <c r="B114" i="10" s="1"/>
  <c r="AG29" i="9"/>
  <c r="B115" i="10" s="1"/>
  <c r="AG30" i="9"/>
  <c r="B116" i="10" s="1"/>
  <c r="AG31" i="9"/>
  <c r="B117" i="10" s="1"/>
  <c r="AG32" i="9"/>
  <c r="B118" i="10" s="1"/>
  <c r="Z28" i="9"/>
  <c r="B84" i="10" s="1"/>
  <c r="Z29" i="9"/>
  <c r="B85" i="10" s="1"/>
  <c r="Z30" i="9"/>
  <c r="B86" i="10" s="1"/>
  <c r="Z31" i="9"/>
  <c r="B87" i="10" s="1"/>
  <c r="Z32" i="9"/>
  <c r="B88" i="10" s="1"/>
  <c r="Z27" i="9"/>
  <c r="B83" i="10" s="1"/>
  <c r="S28" i="9"/>
  <c r="B54" i="10" s="1"/>
  <c r="S29" i="9"/>
  <c r="B55" i="10" s="1"/>
  <c r="S30" i="9"/>
  <c r="B56" i="10" s="1"/>
  <c r="S31" i="9"/>
  <c r="B57" i="10" s="1"/>
  <c r="S32" i="9"/>
  <c r="B58" i="10" s="1"/>
  <c r="S27" i="9"/>
  <c r="B53" i="10" s="1"/>
  <c r="L28" i="9"/>
  <c r="B24" i="10" s="1"/>
  <c r="L30" i="9"/>
  <c r="B26" i="10" s="1"/>
  <c r="L32" i="9"/>
  <c r="B28" i="10" s="1"/>
  <c r="L29" i="9"/>
  <c r="B25" i="10" s="1"/>
  <c r="L31" i="9"/>
  <c r="B27" i="10" s="1"/>
  <c r="L27" i="9"/>
  <c r="B23" i="10" s="1"/>
  <c r="M30" i="9"/>
  <c r="C26" i="10" s="1"/>
  <c r="M31" i="9"/>
  <c r="C27" i="10" s="1"/>
  <c r="M28" i="9"/>
  <c r="C24" i="10" s="1"/>
  <c r="M32" i="9"/>
  <c r="C28" i="10" s="1"/>
  <c r="M29" i="9"/>
  <c r="C25" i="10" s="1"/>
  <c r="M27" i="9"/>
  <c r="C23" i="10" s="1"/>
  <c r="N28" i="9"/>
  <c r="E24" i="10" s="1"/>
  <c r="N27" i="9"/>
  <c r="E23" i="10" s="1"/>
  <c r="N31" i="9"/>
  <c r="E27" i="10" s="1"/>
  <c r="N30" i="9"/>
  <c r="E26" i="10" s="1"/>
  <c r="N29" i="9"/>
  <c r="E25" i="10" s="1"/>
  <c r="N32" i="9"/>
  <c r="E28" i="10" s="1"/>
  <c r="C62" i="8"/>
  <c r="D63" i="8"/>
  <c r="D64" i="8" s="1"/>
  <c r="D65" i="8" s="1"/>
  <c r="D66" i="8" s="1"/>
  <c r="D67" i="8" s="1"/>
  <c r="D68" i="8" s="1"/>
  <c r="D69" i="8" s="1"/>
  <c r="D70" i="8" s="1"/>
  <c r="F63" i="8"/>
  <c r="F64" i="8" s="1"/>
  <c r="F65" i="8" s="1"/>
  <c r="F66" i="8" s="1"/>
  <c r="F67" i="8" s="1"/>
  <c r="F68" i="8" s="1"/>
  <c r="F69" i="8" s="1"/>
  <c r="F70" i="8" s="1"/>
  <c r="F14" i="8"/>
  <c r="E63" i="8"/>
  <c r="E64" i="8" s="1"/>
  <c r="E65" i="8" s="1"/>
  <c r="E66" i="8" s="1"/>
  <c r="E67" i="8" s="1"/>
  <c r="E68" i="8" s="1"/>
  <c r="E69" i="8" s="1"/>
  <c r="E70" i="8" s="1"/>
  <c r="E12" i="8"/>
  <c r="E13" i="8"/>
  <c r="AF28" i="9" l="1"/>
  <c r="F114" i="10" s="1"/>
  <c r="AF29" i="9"/>
  <c r="F115" i="10" s="1"/>
  <c r="AF30" i="9"/>
  <c r="F116" i="10" s="1"/>
  <c r="AF31" i="9"/>
  <c r="F117" i="10" s="1"/>
  <c r="AF32" i="9"/>
  <c r="F118" i="10" s="1"/>
  <c r="AF27" i="9"/>
  <c r="F113" i="10" s="1"/>
  <c r="Y27" i="9"/>
  <c r="F83" i="10" s="1"/>
  <c r="Y28" i="9"/>
  <c r="F84" i="10" s="1"/>
  <c r="Y29" i="9"/>
  <c r="F85" i="10" s="1"/>
  <c r="Y30" i="9"/>
  <c r="F86" i="10" s="1"/>
  <c r="Y31" i="9"/>
  <c r="F87" i="10" s="1"/>
  <c r="Y32" i="9"/>
  <c r="F88" i="10" s="1"/>
  <c r="R27" i="9"/>
  <c r="F53" i="10" s="1"/>
  <c r="K27" i="9"/>
  <c r="F23" i="10" s="1"/>
  <c r="R29" i="9"/>
  <c r="F55" i="10" s="1"/>
  <c r="R30" i="9"/>
  <c r="F56" i="10" s="1"/>
  <c r="R31" i="9"/>
  <c r="F57" i="10" s="1"/>
  <c r="R28" i="9"/>
  <c r="F54" i="10" s="1"/>
  <c r="R32" i="9"/>
  <c r="F58" i="10" s="1"/>
  <c r="K28" i="9"/>
  <c r="F24" i="10" s="1"/>
  <c r="K32" i="9"/>
  <c r="F28" i="10" s="1"/>
  <c r="K31" i="9"/>
  <c r="F27" i="10" s="1"/>
  <c r="K30" i="9"/>
  <c r="F26" i="10" s="1"/>
  <c r="K29" i="9"/>
  <c r="F25" i="10" s="1"/>
  <c r="C63" i="8"/>
  <c r="C64" i="8" s="1"/>
  <c r="C65" i="8" s="1"/>
  <c r="C66" i="8" s="1"/>
  <c r="C67" i="8" s="1"/>
  <c r="C68" i="8" s="1"/>
  <c r="C69" i="8" s="1"/>
  <c r="C70" i="8" s="1"/>
  <c r="F15" i="8"/>
  <c r="F16" i="8" s="1"/>
  <c r="E16" i="8" s="1"/>
  <c r="E14" i="8"/>
  <c r="C73" i="8" l="1"/>
  <c r="C72" i="8" s="1"/>
  <c r="D73" i="8"/>
  <c r="D72" i="8" s="1"/>
  <c r="E73" i="8"/>
  <c r="E72" i="8" s="1"/>
  <c r="E74" i="8" s="1"/>
  <c r="F73" i="8"/>
  <c r="F72" i="8" s="1"/>
  <c r="E15" i="8"/>
  <c r="AH35" i="9" l="1"/>
  <c r="C119" i="10" s="1"/>
  <c r="AH36" i="9"/>
  <c r="C120" i="10" s="1"/>
  <c r="AH37" i="9"/>
  <c r="C121" i="10" s="1"/>
  <c r="AH38" i="9"/>
  <c r="C122" i="10" s="1"/>
  <c r="AH39" i="9"/>
  <c r="C123" i="10" s="1"/>
  <c r="AH40" i="9"/>
  <c r="C124" i="10" s="1"/>
  <c r="AA36" i="9"/>
  <c r="C90" i="10" s="1"/>
  <c r="AA37" i="9"/>
  <c r="C91" i="10" s="1"/>
  <c r="AA38" i="9"/>
  <c r="C92" i="10" s="1"/>
  <c r="AA39" i="9"/>
  <c r="C93" i="10" s="1"/>
  <c r="AA40" i="9"/>
  <c r="C94" i="10" s="1"/>
  <c r="AA35" i="9"/>
  <c r="C89" i="10" s="1"/>
  <c r="T35" i="9"/>
  <c r="C59" i="10" s="1"/>
  <c r="T36" i="9"/>
  <c r="C60" i="10" s="1"/>
  <c r="T37" i="9"/>
  <c r="C61" i="10" s="1"/>
  <c r="T38" i="9"/>
  <c r="C62" i="10" s="1"/>
  <c r="T39" i="9"/>
  <c r="C63" i="10" s="1"/>
  <c r="T40" i="9"/>
  <c r="C64" i="10" s="1"/>
  <c r="M38" i="9"/>
  <c r="C32" i="10" s="1"/>
  <c r="M37" i="9"/>
  <c r="C31" i="10" s="1"/>
  <c r="M35" i="9"/>
  <c r="C29" i="10" s="1"/>
  <c r="M36" i="9"/>
  <c r="C30" i="10" s="1"/>
  <c r="M40" i="9"/>
  <c r="C34" i="10" s="1"/>
  <c r="M39" i="9"/>
  <c r="C33" i="10" s="1"/>
  <c r="E75" i="8"/>
  <c r="E76" i="8" s="1"/>
  <c r="E77" i="8" s="1"/>
  <c r="E78" i="8" s="1"/>
  <c r="E79" i="8" s="1"/>
  <c r="E80" i="8" s="1"/>
  <c r="E81" i="8" s="1"/>
  <c r="E82" i="8" s="1"/>
  <c r="F74" i="8"/>
  <c r="D74" i="8"/>
  <c r="C74" i="8"/>
  <c r="AI37" i="9" l="1"/>
  <c r="E121" i="10" s="1"/>
  <c r="AI39" i="9"/>
  <c r="E123" i="10" s="1"/>
  <c r="AI35" i="9"/>
  <c r="E119" i="10" s="1"/>
  <c r="AI36" i="9"/>
  <c r="E120" i="10" s="1"/>
  <c r="AI38" i="9"/>
  <c r="E122" i="10" s="1"/>
  <c r="AI40" i="9"/>
  <c r="E124" i="10" s="1"/>
  <c r="AB35" i="9"/>
  <c r="E89" i="10" s="1"/>
  <c r="AB36" i="9"/>
  <c r="E90" i="10" s="1"/>
  <c r="AB37" i="9"/>
  <c r="E91" i="10" s="1"/>
  <c r="AB38" i="9"/>
  <c r="E92" i="10" s="1"/>
  <c r="AB39" i="9"/>
  <c r="E93" i="10" s="1"/>
  <c r="AB40" i="9"/>
  <c r="E94" i="10" s="1"/>
  <c r="U35" i="9"/>
  <c r="E59" i="10" s="1"/>
  <c r="U38" i="9"/>
  <c r="E62" i="10" s="1"/>
  <c r="U39" i="9"/>
  <c r="E63" i="10" s="1"/>
  <c r="U36" i="9"/>
  <c r="E60" i="10" s="1"/>
  <c r="U40" i="9"/>
  <c r="E64" i="10" s="1"/>
  <c r="U37" i="9"/>
  <c r="E61" i="10" s="1"/>
  <c r="AF36" i="9"/>
  <c r="F120" i="10" s="1"/>
  <c r="AF37" i="9"/>
  <c r="F121" i="10" s="1"/>
  <c r="AF38" i="9"/>
  <c r="F122" i="10" s="1"/>
  <c r="AF39" i="9"/>
  <c r="F123" i="10" s="1"/>
  <c r="AF40" i="9"/>
  <c r="F124" i="10" s="1"/>
  <c r="AF35" i="9"/>
  <c r="F119" i="10" s="1"/>
  <c r="Y35" i="9"/>
  <c r="F89" i="10" s="1"/>
  <c r="Y36" i="9"/>
  <c r="F90" i="10" s="1"/>
  <c r="Y37" i="9"/>
  <c r="F91" i="10" s="1"/>
  <c r="Y38" i="9"/>
  <c r="F92" i="10" s="1"/>
  <c r="Y39" i="9"/>
  <c r="F93" i="10" s="1"/>
  <c r="Y40" i="9"/>
  <c r="F94" i="10" s="1"/>
  <c r="R35" i="9"/>
  <c r="F59" i="10" s="1"/>
  <c r="R36" i="9"/>
  <c r="F60" i="10" s="1"/>
  <c r="R37" i="9"/>
  <c r="F61" i="10" s="1"/>
  <c r="R38" i="9"/>
  <c r="F62" i="10" s="1"/>
  <c r="R39" i="9"/>
  <c r="F63" i="10" s="1"/>
  <c r="R40" i="9"/>
  <c r="F64" i="10" s="1"/>
  <c r="AG35" i="9"/>
  <c r="B119" i="10" s="1"/>
  <c r="AG36" i="9"/>
  <c r="B120" i="10" s="1"/>
  <c r="AG37" i="9"/>
  <c r="B121" i="10" s="1"/>
  <c r="AG38" i="9"/>
  <c r="B122" i="10" s="1"/>
  <c r="AG39" i="9"/>
  <c r="B123" i="10" s="1"/>
  <c r="AG40" i="9"/>
  <c r="B124" i="10" s="1"/>
  <c r="Z35" i="9"/>
  <c r="B89" i="10" s="1"/>
  <c r="Z36" i="9"/>
  <c r="B90" i="10" s="1"/>
  <c r="Z37" i="9"/>
  <c r="B91" i="10" s="1"/>
  <c r="Z38" i="9"/>
  <c r="B92" i="10" s="1"/>
  <c r="Z39" i="9"/>
  <c r="B93" i="10" s="1"/>
  <c r="Z40" i="9"/>
  <c r="B94" i="10" s="1"/>
  <c r="S35" i="9"/>
  <c r="B59" i="10" s="1"/>
  <c r="S36" i="9"/>
  <c r="B60" i="10" s="1"/>
  <c r="S37" i="9"/>
  <c r="B61" i="10" s="1"/>
  <c r="S38" i="9"/>
  <c r="B62" i="10" s="1"/>
  <c r="S39" i="9"/>
  <c r="B63" i="10" s="1"/>
  <c r="S40" i="9"/>
  <c r="B64" i="10" s="1"/>
  <c r="N35" i="9"/>
  <c r="E29" i="10" s="1"/>
  <c r="N39" i="9"/>
  <c r="E33" i="10" s="1"/>
  <c r="N38" i="9"/>
  <c r="E32" i="10" s="1"/>
  <c r="N37" i="9"/>
  <c r="E31" i="10" s="1"/>
  <c r="N36" i="9"/>
  <c r="E30" i="10" s="1"/>
  <c r="N40" i="9"/>
  <c r="E34" i="10" s="1"/>
  <c r="F75" i="8"/>
  <c r="F76" i="8" s="1"/>
  <c r="F77" i="8" s="1"/>
  <c r="F78" i="8" s="1"/>
  <c r="F79" i="8" s="1"/>
  <c r="F80" i="8" s="1"/>
  <c r="F81" i="8" s="1"/>
  <c r="F82" i="8" s="1"/>
  <c r="L37" i="9"/>
  <c r="B31" i="10" s="1"/>
  <c r="L35" i="9"/>
  <c r="B29" i="10" s="1"/>
  <c r="L36" i="9"/>
  <c r="B30" i="10" s="1"/>
  <c r="L40" i="9"/>
  <c r="B34" i="10" s="1"/>
  <c r="L39" i="9"/>
  <c r="B33" i="10" s="1"/>
  <c r="L38" i="9"/>
  <c r="B32" i="10" s="1"/>
  <c r="D75" i="8"/>
  <c r="D76" i="8" s="1"/>
  <c r="D77" i="8" s="1"/>
  <c r="D78" i="8" s="1"/>
  <c r="D79" i="8" s="1"/>
  <c r="D80" i="8" s="1"/>
  <c r="D81" i="8" s="1"/>
  <c r="D82" i="8" s="1"/>
  <c r="K39" i="9"/>
  <c r="F33" i="10" s="1"/>
  <c r="K36" i="9"/>
  <c r="F30" i="10" s="1"/>
  <c r="K37" i="9"/>
  <c r="F31" i="10" s="1"/>
  <c r="K38" i="9"/>
  <c r="F32" i="10" s="1"/>
  <c r="K40" i="9"/>
  <c r="F34" i="10" s="1"/>
  <c r="K35" i="9"/>
  <c r="F29" i="10" s="1"/>
  <c r="C75" i="8"/>
  <c r="C76" i="8" s="1"/>
  <c r="C77" i="8" s="1"/>
  <c r="C78" i="8" s="1"/>
  <c r="C79" i="8" s="1"/>
  <c r="C80" i="8" s="1"/>
  <c r="C81" i="8" s="1"/>
  <c r="C82" i="8" s="1"/>
</calcChain>
</file>

<file path=xl/sharedStrings.xml><?xml version="1.0" encoding="utf-8"?>
<sst xmlns="http://schemas.openxmlformats.org/spreadsheetml/2006/main" count="665" uniqueCount="267">
  <si>
    <t>总属性拆分</t>
    <phoneticPr fontId="1" type="noConversion"/>
  </si>
  <si>
    <t>目标模型</t>
    <phoneticPr fontId="1" type="noConversion"/>
  </si>
  <si>
    <t>简单战斗模拟</t>
    <phoneticPr fontId="1" type="noConversion"/>
  </si>
  <si>
    <t>T</t>
    <phoneticPr fontId="1" type="noConversion"/>
  </si>
  <si>
    <t>防T</t>
    <phoneticPr fontId="1" type="noConversion"/>
  </si>
  <si>
    <t>基本系数</t>
    <phoneticPr fontId="1" type="noConversion"/>
  </si>
  <si>
    <t>攻击战力系数</t>
    <phoneticPr fontId="1" type="noConversion"/>
  </si>
  <si>
    <t>防御系数</t>
    <phoneticPr fontId="1" type="noConversion"/>
  </si>
  <si>
    <t>血量系数</t>
    <phoneticPr fontId="1" type="noConversion"/>
  </si>
  <si>
    <t>回归1级属性</t>
    <phoneticPr fontId="1" type="noConversion"/>
  </si>
  <si>
    <t>技能系数</t>
    <phoneticPr fontId="1" type="noConversion"/>
  </si>
  <si>
    <t>比例</t>
    <phoneticPr fontId="1" type="noConversion"/>
  </si>
  <si>
    <t>技能等级参考</t>
    <phoneticPr fontId="1" type="noConversion"/>
  </si>
  <si>
    <t>力量系数</t>
    <phoneticPr fontId="1" type="noConversion"/>
  </si>
  <si>
    <t>攻击系数</t>
    <phoneticPr fontId="1" type="noConversion"/>
  </si>
  <si>
    <t>数量级</t>
    <phoneticPr fontId="1" type="noConversion"/>
  </si>
  <si>
    <t>等级提升数量级</t>
    <phoneticPr fontId="1" type="noConversion"/>
  </si>
  <si>
    <t>基础比值</t>
    <phoneticPr fontId="1" type="noConversion"/>
  </si>
  <si>
    <t>成长比值</t>
    <phoneticPr fontId="1" type="noConversion"/>
  </si>
  <si>
    <t>估算双属性占比</t>
    <phoneticPr fontId="1" type="noConversion"/>
  </si>
  <si>
    <t>物理法术能力拆分</t>
    <phoneticPr fontId="1" type="noConversion"/>
  </si>
  <si>
    <t>物理D</t>
    <phoneticPr fontId="1" type="noConversion"/>
  </si>
  <si>
    <t>法系D</t>
    <phoneticPr fontId="1" type="noConversion"/>
  </si>
  <si>
    <t>攻速D</t>
    <phoneticPr fontId="1" type="noConversion"/>
  </si>
  <si>
    <t>攻速</t>
    <phoneticPr fontId="1" type="noConversion"/>
  </si>
  <si>
    <t>DPS</t>
    <phoneticPr fontId="1" type="noConversion"/>
  </si>
  <si>
    <t>防御系数</t>
    <phoneticPr fontId="1" type="noConversion"/>
  </si>
  <si>
    <t>攻击D</t>
    <phoneticPr fontId="1" type="noConversion"/>
  </si>
  <si>
    <t>均衡S</t>
    <phoneticPr fontId="1" type="noConversion"/>
  </si>
  <si>
    <t>主属性比例</t>
    <phoneticPr fontId="1" type="noConversion"/>
  </si>
  <si>
    <t>攻击D</t>
    <phoneticPr fontId="1" type="noConversion"/>
  </si>
  <si>
    <t>攻速D</t>
    <phoneticPr fontId="1" type="noConversion"/>
  </si>
  <si>
    <t>力量属性</t>
    <phoneticPr fontId="1" type="noConversion"/>
  </si>
  <si>
    <t>法术属性</t>
    <phoneticPr fontId="1" type="noConversion"/>
  </si>
  <si>
    <t>极限</t>
    <phoneticPr fontId="1" type="noConversion"/>
  </si>
  <si>
    <t>力量属性</t>
    <phoneticPr fontId="1" type="noConversion"/>
  </si>
  <si>
    <t>智力属性</t>
    <phoneticPr fontId="1" type="noConversion"/>
  </si>
  <si>
    <t>智力属性</t>
    <phoneticPr fontId="1" type="noConversion"/>
  </si>
  <si>
    <t>力量属性</t>
    <phoneticPr fontId="1" type="noConversion"/>
  </si>
  <si>
    <t>T</t>
    <phoneticPr fontId="1" type="noConversion"/>
  </si>
  <si>
    <t>输出能力系数</t>
    <phoneticPr fontId="1" type="noConversion"/>
  </si>
  <si>
    <t>血量T模型</t>
    <phoneticPr fontId="1" type="noConversion"/>
  </si>
  <si>
    <t>T</t>
    <phoneticPr fontId="1" type="noConversion"/>
  </si>
  <si>
    <t>防T模型</t>
    <phoneticPr fontId="1" type="noConversion"/>
  </si>
  <si>
    <t>体力</t>
    <phoneticPr fontId="1" type="noConversion"/>
  </si>
  <si>
    <t>血量</t>
    <phoneticPr fontId="1" type="noConversion"/>
  </si>
  <si>
    <t>力量</t>
    <phoneticPr fontId="1" type="noConversion"/>
  </si>
  <si>
    <t>智力</t>
    <phoneticPr fontId="1" type="noConversion"/>
  </si>
  <si>
    <t>体力系数</t>
    <phoneticPr fontId="1" type="noConversion"/>
  </si>
  <si>
    <t>力量系数</t>
    <phoneticPr fontId="1" type="noConversion"/>
  </si>
  <si>
    <t>智力系数</t>
    <phoneticPr fontId="1" type="noConversion"/>
  </si>
  <si>
    <t>S辅助</t>
    <phoneticPr fontId="1" type="noConversion"/>
  </si>
  <si>
    <t>物理系数</t>
    <phoneticPr fontId="1" type="noConversion"/>
  </si>
  <si>
    <t>法术系数</t>
    <phoneticPr fontId="1" type="noConversion"/>
  </si>
  <si>
    <t>力量属性</t>
    <phoneticPr fontId="1" type="noConversion"/>
  </si>
  <si>
    <t>智力属性</t>
    <phoneticPr fontId="1" type="noConversion"/>
  </si>
  <si>
    <t>自身</t>
    <phoneticPr fontId="1" type="noConversion"/>
  </si>
  <si>
    <t>#NUM</t>
  </si>
  <si>
    <t>NUM</t>
  </si>
  <si>
    <t>level</t>
  </si>
  <si>
    <t>experience</t>
  </si>
  <si>
    <t>health</t>
  </si>
  <si>
    <t>strength</t>
  </si>
  <si>
    <t>intelligence</t>
  </si>
  <si>
    <t>speed</t>
  </si>
  <si>
    <t>defense</t>
  </si>
  <si>
    <t>endurance</t>
  </si>
  <si>
    <t>recovery</t>
  </si>
  <si>
    <t>#等级</t>
  </si>
  <si>
    <t>升级所需经验</t>
  </si>
  <si>
    <t>体力</t>
  </si>
  <si>
    <t>力量</t>
  </si>
  <si>
    <t>智力</t>
  </si>
  <si>
    <t>速度</t>
  </si>
  <si>
    <t>防御力</t>
  </si>
  <si>
    <t>耐力</t>
  </si>
  <si>
    <t>战后回血</t>
  </si>
  <si>
    <t>防御</t>
    <phoneticPr fontId="1" type="noConversion"/>
  </si>
  <si>
    <t>血量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</si>
  <si>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</si>
  <si>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</si>
  <si>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</si>
  <si>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</si>
  <si>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等级系数</t>
    <phoneticPr fontId="1" type="noConversion"/>
  </si>
  <si>
    <t>进阶层</t>
    <phoneticPr fontId="1" type="noConversion"/>
  </si>
  <si>
    <t>等级</t>
    <phoneticPr fontId="1" type="noConversion"/>
  </si>
  <si>
    <t>标准模型</t>
    <phoneticPr fontId="1" type="noConversion"/>
  </si>
  <si>
    <t>宠物自身</t>
    <phoneticPr fontId="1" type="noConversion"/>
  </si>
  <si>
    <t>培养总数</t>
    <phoneticPr fontId="1" type="noConversion"/>
  </si>
  <si>
    <t>防御</t>
    <phoneticPr fontId="1" type="noConversion"/>
  </si>
  <si>
    <t>属性拆分</t>
    <phoneticPr fontId="1" type="noConversion"/>
  </si>
  <si>
    <t>进阶提升</t>
    <phoneticPr fontId="1" type="noConversion"/>
  </si>
  <si>
    <t>版本</t>
    <phoneticPr fontId="1" type="noConversion"/>
  </si>
  <si>
    <t>V0.0</t>
    <phoneticPr fontId="1" type="noConversion"/>
  </si>
  <si>
    <t>功能</t>
    <phoneticPr fontId="1" type="noConversion"/>
  </si>
  <si>
    <t>创建文档</t>
    <phoneticPr fontId="1" type="noConversion"/>
  </si>
  <si>
    <t>负责人</t>
    <phoneticPr fontId="1" type="noConversion"/>
  </si>
  <si>
    <t>李佳沛</t>
    <phoneticPr fontId="1" type="noConversion"/>
  </si>
  <si>
    <t>进阶等级</t>
    <phoneticPr fontId="1" type="noConversion"/>
  </si>
  <si>
    <t>自身极限</t>
    <phoneticPr fontId="1" type="noConversion"/>
  </si>
  <si>
    <t>自身初始</t>
    <phoneticPr fontId="1" type="noConversion"/>
  </si>
  <si>
    <t>体力</t>
    <phoneticPr fontId="1" type="noConversion"/>
  </si>
  <si>
    <t>力量</t>
    <phoneticPr fontId="1" type="noConversion"/>
  </si>
  <si>
    <t>智力</t>
    <phoneticPr fontId="1" type="noConversion"/>
  </si>
  <si>
    <t>防御</t>
    <phoneticPr fontId="1" type="noConversion"/>
  </si>
  <si>
    <t>S技能 需要衰减部分输出为治疗或持盾</t>
    <phoneticPr fontId="1" type="noConversion"/>
  </si>
  <si>
    <t>绿</t>
    <phoneticPr fontId="1" type="noConversion"/>
  </si>
  <si>
    <t>绿+1</t>
    <phoneticPr fontId="1" type="noConversion"/>
  </si>
  <si>
    <t>TEXT</t>
  </si>
  <si>
    <t>stage</t>
  </si>
  <si>
    <t>modifyRate</t>
  </si>
  <si>
    <t>demandLevel</t>
  </si>
  <si>
    <t>demandCoin</t>
  </si>
  <si>
    <t>demandItem</t>
  </si>
  <si>
    <t>demandMonster</t>
  </si>
  <si>
    <t>#品质</t>
  </si>
  <si>
    <t>品质系数K</t>
  </si>
  <si>
    <t>需求该宠物等级</t>
  </si>
  <si>
    <t>需求金币</t>
  </si>
  <si>
    <t>需求材料</t>
  </si>
  <si>
    <t>需求怪物</t>
  </si>
  <si>
    <t>3_10002_4,3_20001_3</t>
  </si>
  <si>
    <t>7_UnitDemoErshu_1_1,7_UnitDemoQingniao_1_1</t>
  </si>
  <si>
    <t>蓝</t>
    <phoneticPr fontId="1" type="noConversion"/>
  </si>
  <si>
    <t>蓝+1</t>
    <phoneticPr fontId="1" type="noConversion"/>
  </si>
  <si>
    <t>蓝+2</t>
    <phoneticPr fontId="1" type="noConversion"/>
  </si>
  <si>
    <t>紫</t>
    <phoneticPr fontId="1" type="noConversion"/>
  </si>
  <si>
    <t>紫+1</t>
    <phoneticPr fontId="1" type="noConversion"/>
  </si>
  <si>
    <t>紫+2</t>
    <phoneticPr fontId="1" type="noConversion"/>
  </si>
  <si>
    <t>紫+3</t>
    <phoneticPr fontId="1" type="noConversion"/>
  </si>
  <si>
    <t>橙</t>
    <phoneticPr fontId="1" type="noConversion"/>
  </si>
  <si>
    <t>橙+1</t>
    <phoneticPr fontId="1" type="noConversion"/>
  </si>
  <si>
    <t>橙+2</t>
    <phoneticPr fontId="1" type="noConversion"/>
  </si>
  <si>
    <t>橙+3</t>
    <phoneticPr fontId="1" type="noConversion"/>
  </si>
  <si>
    <t>橙+4</t>
    <phoneticPr fontId="1" type="noConversion"/>
  </si>
  <si>
    <t>红</t>
    <phoneticPr fontId="1" type="noConversion"/>
  </si>
  <si>
    <t>升星规划</t>
    <phoneticPr fontId="1" type="noConversion"/>
  </si>
  <si>
    <t>进阶</t>
    <phoneticPr fontId="1" type="noConversion"/>
  </si>
  <si>
    <t>强化</t>
    <phoneticPr fontId="1" type="noConversion"/>
  </si>
  <si>
    <t>装备部位</t>
    <phoneticPr fontId="1" type="noConversion"/>
  </si>
  <si>
    <t>1号部位</t>
    <phoneticPr fontId="1" type="noConversion"/>
  </si>
  <si>
    <t>2号部位</t>
    <phoneticPr fontId="1" type="noConversion"/>
  </si>
  <si>
    <t>3号部位</t>
    <phoneticPr fontId="1" type="noConversion"/>
  </si>
  <si>
    <t>4号部位</t>
    <phoneticPr fontId="1" type="noConversion"/>
  </si>
  <si>
    <t>5号部位</t>
    <phoneticPr fontId="1" type="noConversion"/>
  </si>
  <si>
    <t>6号部位</t>
    <phoneticPr fontId="1" type="noConversion"/>
  </si>
  <si>
    <t>智力</t>
    <phoneticPr fontId="1" type="noConversion"/>
  </si>
  <si>
    <t>力量</t>
    <phoneticPr fontId="1" type="noConversion"/>
  </si>
  <si>
    <t>体力</t>
    <phoneticPr fontId="1" type="noConversion"/>
  </si>
  <si>
    <t>防御</t>
    <phoneticPr fontId="1" type="noConversion"/>
  </si>
  <si>
    <t>物攻</t>
    <phoneticPr fontId="1" type="noConversion"/>
  </si>
  <si>
    <t>魔攻</t>
    <phoneticPr fontId="1" type="noConversion"/>
  </si>
  <si>
    <t>人物自身</t>
    <phoneticPr fontId="1" type="noConversion"/>
  </si>
  <si>
    <t>白0</t>
    <phoneticPr fontId="1" type="noConversion"/>
  </si>
  <si>
    <t>装备状态</t>
    <phoneticPr fontId="1" type="noConversion"/>
  </si>
  <si>
    <t>白9</t>
    <phoneticPr fontId="1" type="noConversion"/>
  </si>
  <si>
    <t>蓝0</t>
    <phoneticPr fontId="1" type="noConversion"/>
  </si>
  <si>
    <t>橙5</t>
    <phoneticPr fontId="1" type="noConversion"/>
  </si>
  <si>
    <t>橙9</t>
    <phoneticPr fontId="1" type="noConversion"/>
  </si>
  <si>
    <t>绿9</t>
    <phoneticPr fontId="1" type="noConversion"/>
  </si>
  <si>
    <t>蓝9</t>
    <phoneticPr fontId="1" type="noConversion"/>
  </si>
  <si>
    <t>紫0</t>
    <phoneticPr fontId="1" type="noConversion"/>
  </si>
  <si>
    <t>橙3</t>
    <phoneticPr fontId="1" type="noConversion"/>
  </si>
  <si>
    <t>紫5</t>
    <phoneticPr fontId="1" type="noConversion"/>
  </si>
  <si>
    <t>紫9</t>
    <phoneticPr fontId="1" type="noConversion"/>
  </si>
  <si>
    <t>宠物培养</t>
    <phoneticPr fontId="1" type="noConversion"/>
  </si>
  <si>
    <t>绿0</t>
    <phoneticPr fontId="1" type="noConversion"/>
  </si>
  <si>
    <t>橙0</t>
    <phoneticPr fontId="1" type="noConversion"/>
  </si>
  <si>
    <t>辅助</t>
    <phoneticPr fontId="1" type="noConversion"/>
  </si>
  <si>
    <t>坦克</t>
    <phoneticPr fontId="1" type="noConversion"/>
  </si>
  <si>
    <t>装备进阶</t>
    <phoneticPr fontId="1" type="noConversion"/>
  </si>
  <si>
    <t>镶嵌比重</t>
    <phoneticPr fontId="1" type="noConversion"/>
  </si>
  <si>
    <t>装备自身</t>
    <phoneticPr fontId="1" type="noConversion"/>
  </si>
  <si>
    <t>镶嵌数量</t>
    <phoneticPr fontId="1" type="noConversion"/>
  </si>
  <si>
    <t>装备强化</t>
    <phoneticPr fontId="1" type="noConversion"/>
  </si>
  <si>
    <t>1阶段白</t>
    <phoneticPr fontId="1" type="noConversion"/>
  </si>
  <si>
    <t>初始自身属性</t>
    <phoneticPr fontId="1" type="noConversion"/>
  </si>
  <si>
    <t>强化总数</t>
    <phoneticPr fontId="1" type="noConversion"/>
  </si>
  <si>
    <t>模型取标准模型</t>
    <phoneticPr fontId="1" type="noConversion"/>
  </si>
  <si>
    <t>装备初始系数</t>
    <phoneticPr fontId="1" type="noConversion"/>
  </si>
  <si>
    <t>1级</t>
    <phoneticPr fontId="1" type="noConversion"/>
  </si>
  <si>
    <t>2级</t>
  </si>
  <si>
    <t>3级</t>
  </si>
  <si>
    <t>4级</t>
  </si>
  <si>
    <t>5级</t>
  </si>
  <si>
    <t>6级</t>
  </si>
  <si>
    <t>7级</t>
  </si>
  <si>
    <t>8级</t>
  </si>
  <si>
    <t>9级</t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</si>
  <si>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</si>
  <si>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</si>
  <si>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</si>
  <si>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</si>
  <si>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强化属性设计验证</t>
    <phoneticPr fontId="1" type="noConversion"/>
  </si>
  <si>
    <t>物攻</t>
    <phoneticPr fontId="1" type="noConversion"/>
  </si>
  <si>
    <t>白2</t>
  </si>
  <si>
    <t>白3</t>
  </si>
  <si>
    <t>白4</t>
  </si>
  <si>
    <t>白5</t>
  </si>
  <si>
    <t>白6</t>
  </si>
  <si>
    <t>绿1</t>
    <phoneticPr fontId="1" type="noConversion"/>
  </si>
  <si>
    <t>绿2</t>
  </si>
  <si>
    <t>绿3</t>
  </si>
  <si>
    <t>绿4</t>
  </si>
  <si>
    <t>绿5</t>
  </si>
  <si>
    <t>绿6</t>
  </si>
  <si>
    <t>蓝1</t>
    <phoneticPr fontId="1" type="noConversion"/>
  </si>
  <si>
    <t>蓝2</t>
  </si>
  <si>
    <t>蓝3</t>
  </si>
  <si>
    <t>蓝4</t>
  </si>
  <si>
    <t>蓝5</t>
  </si>
  <si>
    <t>蓝6</t>
  </si>
  <si>
    <t>紫1</t>
    <phoneticPr fontId="1" type="noConversion"/>
  </si>
  <si>
    <t>紫2</t>
  </si>
  <si>
    <t>紫3</t>
  </si>
  <si>
    <t>紫4</t>
  </si>
  <si>
    <t>紫5</t>
  </si>
  <si>
    <t>紫6</t>
  </si>
  <si>
    <t>橙1</t>
    <phoneticPr fontId="1" type="noConversion"/>
  </si>
  <si>
    <t>橙2</t>
  </si>
  <si>
    <t>橙3</t>
  </si>
  <si>
    <t>橙4</t>
  </si>
  <si>
    <t>橙5</t>
  </si>
  <si>
    <t>橙6</t>
  </si>
  <si>
    <t>装备强化</t>
    <phoneticPr fontId="1" type="noConversion"/>
  </si>
  <si>
    <t>装备进阶强化总值</t>
    <phoneticPr fontId="1" type="noConversion"/>
  </si>
  <si>
    <t>防御</t>
  </si>
  <si>
    <t>白1</t>
    <phoneticPr fontId="1" type="noConversion"/>
  </si>
  <si>
    <t>基础1</t>
    <phoneticPr fontId="1" type="noConversion"/>
  </si>
  <si>
    <t>基础2</t>
  </si>
  <si>
    <t>基础3</t>
  </si>
  <si>
    <t>基础4</t>
  </si>
  <si>
    <t>基础5</t>
  </si>
  <si>
    <t>基础6</t>
  </si>
  <si>
    <t>法功</t>
    <phoneticPr fontId="1" type="noConversion"/>
  </si>
  <si>
    <t>坦克</t>
    <phoneticPr fontId="1" type="noConversion"/>
  </si>
  <si>
    <t>辅助</t>
    <phoneticPr fontId="1" type="noConversion"/>
  </si>
  <si>
    <t>#TEXT</t>
  </si>
  <si>
    <t>id</t>
  </si>
  <si>
    <t>#id</t>
  </si>
  <si>
    <t>基础白</t>
    <phoneticPr fontId="1" type="noConversion"/>
  </si>
  <si>
    <t>基绿1</t>
    <phoneticPr fontId="1" type="noConversion"/>
  </si>
  <si>
    <t>基绿2</t>
  </si>
  <si>
    <t>基绿3</t>
  </si>
  <si>
    <t>基绿4</t>
  </si>
  <si>
    <t>基绿5</t>
  </si>
  <si>
    <t>基绿6</t>
  </si>
  <si>
    <t>基蓝1</t>
    <phoneticPr fontId="1" type="noConversion"/>
  </si>
  <si>
    <t>基蓝2</t>
  </si>
  <si>
    <t>基蓝3</t>
  </si>
  <si>
    <t>基蓝4</t>
  </si>
  <si>
    <t>基蓝5</t>
  </si>
  <si>
    <t>基蓝6</t>
  </si>
  <si>
    <t>基紫1</t>
    <phoneticPr fontId="1" type="noConversion"/>
  </si>
  <si>
    <t>基紫2</t>
  </si>
  <si>
    <t>基紫3</t>
  </si>
  <si>
    <t>基紫4</t>
  </si>
  <si>
    <t>基紫5</t>
  </si>
  <si>
    <t>基紫6</t>
  </si>
  <si>
    <t>基橙1</t>
    <phoneticPr fontId="1" type="noConversion"/>
  </si>
  <si>
    <t>基橙2</t>
  </si>
  <si>
    <t>基橙3</t>
  </si>
  <si>
    <t>基橙4</t>
  </si>
  <si>
    <t>基橙5</t>
  </si>
  <si>
    <t>基橙6</t>
  </si>
  <si>
    <t>宠物速度</t>
    <phoneticPr fontId="1" type="noConversion"/>
  </si>
  <si>
    <t>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</si>
</sst>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_ "/>
    <numFmt numFmtId="177" formatCode="0.000%"/>
    <numFmt numFmtId="178" formatCode="0.00_ "/>
    <numFmt numFmtId="179" formatCode="0.00_);[Red]\(0.00\)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9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0" fontId="0" fillId="0" borderId="0" xfId="0" applyNumberFormat="1">
      <alignment vertical="center"/>
    </xf>
    <xf numFmtId="0" fontId="4" fillId="0" borderId="0" xfId="0" applyFont="1">
      <alignment vertical="center"/>
    </xf>
    <xf numFmtId="10" fontId="0" fillId="2" borderId="0" xfId="0" applyNumberFormat="1" applyFill="1">
      <alignment vertical="center"/>
    </xf>
    <xf numFmtId="10" fontId="2" fillId="0" borderId="0" xfId="0" applyNumberFormat="1" applyFont="1">
      <alignment vertical="center"/>
    </xf>
    <xf numFmtId="10" fontId="3" fillId="2" borderId="0" xfId="0" applyNumberFormat="1" applyFont="1" applyFill="1">
      <alignment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2" fillId="0" borderId="0" xfId="0" applyFont="1" applyAlignment="1">
      <alignment horizontal="center" vertical="center"/>
    </xf>
    <xf numFmtId="0" fontId="0" fillId="3" borderId="0" xfId="0" applyFill="1">
      <alignment vertical="center"/>
    </xf>
    <xf numFmtId="10" fontId="0" fillId="0" borderId="0" xfId="0" applyNumberFormat="1" applyFill="1">
      <alignment vertical="center"/>
    </xf>
    <xf numFmtId="10" fontId="3" fillId="0" borderId="0" xfId="0" applyNumberFormat="1" applyFont="1" applyFill="1">
      <alignment vertical="center"/>
    </xf>
    <xf numFmtId="176" fontId="0" fillId="0" borderId="0" xfId="0" applyNumberFormat="1" applyFill="1">
      <alignment vertical="center"/>
    </xf>
    <xf numFmtId="176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NumberFormat="1" applyFill="1">
      <alignment vertical="center"/>
    </xf>
    <xf numFmtId="0" fontId="2" fillId="0" borderId="0" xfId="0" applyNumberFormat="1" applyFont="1" applyFill="1">
      <alignment vertical="center"/>
    </xf>
    <xf numFmtId="0" fontId="0" fillId="0" borderId="0" xfId="0" applyNumberFormat="1">
      <alignment vertical="center"/>
    </xf>
    <xf numFmtId="0" fontId="0" fillId="2" borderId="0" xfId="0" applyNumberFormat="1" applyFill="1">
      <alignment vertical="center"/>
    </xf>
    <xf numFmtId="0" fontId="4" fillId="2" borderId="0" xfId="0" applyNumberFormat="1" applyFont="1" applyFill="1">
      <alignment vertical="center"/>
    </xf>
    <xf numFmtId="0" fontId="5" fillId="0" borderId="0" xfId="1">
      <alignment vertical="center"/>
    </xf>
    <xf numFmtId="10" fontId="4" fillId="2" borderId="0" xfId="0" applyNumberFormat="1" applyFont="1" applyFill="1">
      <alignment vertical="center"/>
    </xf>
    <xf numFmtId="0" fontId="0" fillId="0" borderId="1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0" borderId="8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9" xfId="0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6" xfId="0" applyFill="1" applyBorder="1">
      <alignment vertical="center"/>
    </xf>
    <xf numFmtId="10" fontId="0" fillId="2" borderId="0" xfId="0" applyNumberFormat="1" applyFill="1" applyBorder="1">
      <alignment vertical="center"/>
    </xf>
    <xf numFmtId="10" fontId="3" fillId="2" borderId="0" xfId="0" applyNumberFormat="1" applyFont="1" applyFill="1" applyBorder="1">
      <alignment vertical="center"/>
    </xf>
    <xf numFmtId="176" fontId="0" fillId="0" borderId="0" xfId="0" applyNumberFormat="1" applyFill="1" applyBorder="1">
      <alignment vertical="center"/>
    </xf>
    <xf numFmtId="177" fontId="0" fillId="0" borderId="0" xfId="0" applyNumberFormat="1">
      <alignment vertical="center"/>
    </xf>
    <xf numFmtId="176" fontId="0" fillId="5" borderId="0" xfId="0" applyNumberFormat="1" applyFill="1" applyBorder="1">
      <alignment vertical="center"/>
    </xf>
    <xf numFmtId="0" fontId="0" fillId="6" borderId="0" xfId="0" applyFill="1">
      <alignment vertical="center"/>
    </xf>
    <xf numFmtId="49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9" fontId="0" fillId="0" borderId="0" xfId="0" applyNumberFormat="1">
      <alignment vertical="center"/>
    </xf>
    <xf numFmtId="0" fontId="0" fillId="7" borderId="0" xfId="0" applyFill="1">
      <alignment vertical="center"/>
    </xf>
    <xf numFmtId="178" fontId="0" fillId="7" borderId="0" xfId="0" applyNumberFormat="1" applyFill="1">
      <alignment vertical="center"/>
    </xf>
    <xf numFmtId="179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 applyFill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16" fmlaLink="$D$5" horiz="1" max="10000" page="10" val="70"/>
</file>

<file path=xl/ctrlProps/ctrlProp2.xml><?xml version="1.0" encoding="utf-8"?>
<formControlPr xmlns="http://schemas.microsoft.com/office/spreadsheetml/2009/9/main" objectType="Scroll" dx="16" fmlaLink="$D$7" horiz="1" max="10000" page="10" val="120"/>
</file>

<file path=xl/ctrlProps/ctrlProp3.xml><?xml version="1.0" encoding="utf-8"?>
<formControlPr xmlns="http://schemas.microsoft.com/office/spreadsheetml/2009/9/main" objectType="Scroll" dx="16" fmlaLink="$D$9" horiz="1" max="10000" page="10" val="1350"/>
</file>

<file path=xl/ctrlProps/ctrlProp4.xml><?xml version="1.0" encoding="utf-8"?>
<formControlPr xmlns="http://schemas.microsoft.com/office/spreadsheetml/2009/9/main" objectType="Scroll" dx="16" fmlaLink="$H$5" horiz="1" max="10000" page="10" val="97"/>
</file>

<file path=xl/ctrlProps/ctrlProp5.xml><?xml version="1.0" encoding="utf-8"?>
<formControlPr xmlns="http://schemas.microsoft.com/office/spreadsheetml/2009/9/main" objectType="Scroll" dx="16" fmlaLink="$H$7" horiz="1" max="10000" page="10" val="400"/>
</file>

<file path=xl/ctrlProps/ctrlProp6.xml><?xml version="1.0" encoding="utf-8"?>
<formControlPr xmlns="http://schemas.microsoft.com/office/spreadsheetml/2009/9/main" objectType="Scroll" dx="16" fmlaLink="$H$9" horiz="1" max="10000" page="10" val="770"/>
</file>

<file path=xl/ctrlProps/ctrlProp7.xml><?xml version="1.0" encoding="utf-8"?>
<formControlPr xmlns="http://schemas.microsoft.com/office/spreadsheetml/2009/9/main" objectType="Scroll" dx="16" fmlaLink="$L$5" horiz="1" max="10000" page="10" val="500"/>
</file>

<file path=xl/ctrlProps/ctrlProp8.xml><?xml version="1.0" encoding="utf-8"?>
<formControlPr xmlns="http://schemas.microsoft.com/office/spreadsheetml/2009/9/main" objectType="Scroll" dx="16" fmlaLink="$L$7" horiz="1" max="10000" page="10" val="40"/>
</file>

<file path=xl/ctrlProps/ctrlProp9.xml><?xml version="1.0" encoding="utf-8"?>
<formControlPr xmlns="http://schemas.microsoft.com/office/spreadsheetml/2009/9/main" objectType="Scroll" dx="16" fmlaLink="$L$9" horiz="1" max="10000" page="10" val="250"/>
</file>

<file path=xl/ctrlProps/ctrlProp10.xml><?xml version="1.0" encoding="utf-8"?>
<formControlPr xmlns="http://schemas.microsoft.com/office/spreadsheetml/2009/9/main" objectType="Scroll" dx="16" fmlaLink="$P$5" horiz="1" max="10000" page="10" val="130"/>
</file>

<file path=xl/ctrlProps/ctrlProp11.xml><?xml version="1.0" encoding="utf-8"?>
<formControlPr xmlns="http://schemas.microsoft.com/office/spreadsheetml/2009/9/main" objectType="Scroll" dx="16" fmlaLink="$P$7" horiz="1" max="10000" page="10" val="56"/>
</file>

<file path=xl/ctrlProps/ctrlProp12.xml><?xml version="1.0" encoding="utf-8"?>
<formControlPr xmlns="http://schemas.microsoft.com/office/spreadsheetml/2009/9/main" objectType="Scroll" dx="16" fmlaLink="$P$9" horiz="1" max="10000" page="10" val="350"/>
</file>

<file path=xl/ctrlProps/ctrlProp13.xml><?xml version="1.0" encoding="utf-8"?>
<formControlPr xmlns="http://schemas.microsoft.com/office/spreadsheetml/2009/9/main" objectType="Scroll" dx="16" fmlaLink="$T$5" horiz="1" max="10000" page="10" val="484"/>
</file>

<file path=xl/ctrlProps/ctrlProp14.xml><?xml version="1.0" encoding="utf-8"?>
<formControlPr xmlns="http://schemas.microsoft.com/office/spreadsheetml/2009/9/main" objectType="Scroll" dx="16" fmlaLink="$T$7" horiz="1" max="10000" page="10" val="70"/>
</file>

<file path=xl/ctrlProps/ctrlProp15.xml><?xml version="1.0" encoding="utf-8"?>
<formControlPr xmlns="http://schemas.microsoft.com/office/spreadsheetml/2009/9/main" objectType="Scroll" dx="16" fmlaLink="$T$9" horiz="1" max="10000" page="10" val="460"/>
</file>

<file path=xl/ctrlProps/ctrlProp16.xml><?xml version="1.0" encoding="utf-8"?>
<formControlPr xmlns="http://schemas.microsoft.com/office/spreadsheetml/2009/9/main" objectType="Scroll" dx="16" fmlaLink="$B$25" horiz="1" max="1000" page="10" val="6"/>
</file>

<file path=xl/ctrlProps/ctrlProp17.xml><?xml version="1.0" encoding="utf-8"?>
<formControlPr xmlns="http://schemas.microsoft.com/office/spreadsheetml/2009/9/main" objectType="Scroll" dx="16" fmlaLink="$D$50" horiz="1" max="100" page="10" val="65"/>
</file>

<file path=xl/ctrlProps/ctrlProp18.xml><?xml version="1.0" encoding="utf-8"?>
<formControlPr xmlns="http://schemas.microsoft.com/office/spreadsheetml/2009/9/main" objectType="Scroll" dx="16" fmlaLink="$D$28" horiz="1" max="100" page="10" val="50"/>
</file>

<file path=xl/ctrlProps/ctrlProp19.xml><?xml version="1.0" encoding="utf-8"?>
<formControlPr xmlns="http://schemas.microsoft.com/office/spreadsheetml/2009/9/main" objectType="Scroll" dx="16" fmlaLink="$C$68" horiz="1" max="100" page="10" val="5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4</xdr:row>
          <xdr:rowOff>0</xdr:rowOff>
        </xdr:from>
        <xdr:to>
          <xdr:col>2</xdr:col>
          <xdr:colOff>628650</xdr:colOff>
          <xdr:row>5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6</xdr:row>
          <xdr:rowOff>0</xdr:rowOff>
        </xdr:from>
        <xdr:to>
          <xdr:col>2</xdr:col>
          <xdr:colOff>628650</xdr:colOff>
          <xdr:row>7</xdr:row>
          <xdr:rowOff>133350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8</xdr:row>
          <xdr:rowOff>0</xdr:rowOff>
        </xdr:from>
        <xdr:to>
          <xdr:col>2</xdr:col>
          <xdr:colOff>628650</xdr:colOff>
          <xdr:row>9</xdr:row>
          <xdr:rowOff>133350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4</xdr:row>
          <xdr:rowOff>0</xdr:rowOff>
        </xdr:from>
        <xdr:to>
          <xdr:col>6</xdr:col>
          <xdr:colOff>628650</xdr:colOff>
          <xdr:row>5</xdr:row>
          <xdr:rowOff>133350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6</xdr:row>
          <xdr:rowOff>0</xdr:rowOff>
        </xdr:from>
        <xdr:to>
          <xdr:col>6</xdr:col>
          <xdr:colOff>628650</xdr:colOff>
          <xdr:row>7</xdr:row>
          <xdr:rowOff>133350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0</xdr:rowOff>
        </xdr:from>
        <xdr:to>
          <xdr:col>6</xdr:col>
          <xdr:colOff>628650</xdr:colOff>
          <xdr:row>9</xdr:row>
          <xdr:rowOff>133350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4</xdr:row>
          <xdr:rowOff>0</xdr:rowOff>
        </xdr:from>
        <xdr:to>
          <xdr:col>10</xdr:col>
          <xdr:colOff>628650</xdr:colOff>
          <xdr:row>5</xdr:row>
          <xdr:rowOff>133350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6</xdr:row>
          <xdr:rowOff>0</xdr:rowOff>
        </xdr:from>
        <xdr:to>
          <xdr:col>10</xdr:col>
          <xdr:colOff>628650</xdr:colOff>
          <xdr:row>7</xdr:row>
          <xdr:rowOff>133350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8</xdr:row>
          <xdr:rowOff>0</xdr:rowOff>
        </xdr:from>
        <xdr:to>
          <xdr:col>10</xdr:col>
          <xdr:colOff>628650</xdr:colOff>
          <xdr:row>9</xdr:row>
          <xdr:rowOff>133350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4</xdr:row>
          <xdr:rowOff>0</xdr:rowOff>
        </xdr:from>
        <xdr:to>
          <xdr:col>14</xdr:col>
          <xdr:colOff>628650</xdr:colOff>
          <xdr:row>5</xdr:row>
          <xdr:rowOff>133350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6</xdr:row>
          <xdr:rowOff>0</xdr:rowOff>
        </xdr:from>
        <xdr:to>
          <xdr:col>14</xdr:col>
          <xdr:colOff>628650</xdr:colOff>
          <xdr:row>7</xdr:row>
          <xdr:rowOff>133350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8</xdr:row>
          <xdr:rowOff>0</xdr:rowOff>
        </xdr:from>
        <xdr:to>
          <xdr:col>14</xdr:col>
          <xdr:colOff>628650</xdr:colOff>
          <xdr:row>9</xdr:row>
          <xdr:rowOff>133350</xdr:rowOff>
        </xdr:to>
        <xdr:sp macro="" textlink="">
          <xdr:nvSpPr>
            <xdr:cNvPr id="1036" name="Scroll Bar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4</xdr:row>
          <xdr:rowOff>0</xdr:rowOff>
        </xdr:from>
        <xdr:to>
          <xdr:col>18</xdr:col>
          <xdr:colOff>628650</xdr:colOff>
          <xdr:row>5</xdr:row>
          <xdr:rowOff>133350</xdr:rowOff>
        </xdr:to>
        <xdr:sp macro="" textlink="">
          <xdr:nvSpPr>
            <xdr:cNvPr id="1037" name="Scroll Bar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6</xdr:row>
          <xdr:rowOff>0</xdr:rowOff>
        </xdr:from>
        <xdr:to>
          <xdr:col>18</xdr:col>
          <xdr:colOff>628650</xdr:colOff>
          <xdr:row>7</xdr:row>
          <xdr:rowOff>133350</xdr:rowOff>
        </xdr:to>
        <xdr:sp macro="" textlink="">
          <xdr:nvSpPr>
            <xdr:cNvPr id="1038" name="Scroll Bar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47625</xdr:colOff>
          <xdr:row>8</xdr:row>
          <xdr:rowOff>0</xdr:rowOff>
        </xdr:from>
        <xdr:to>
          <xdr:col>18</xdr:col>
          <xdr:colOff>628650</xdr:colOff>
          <xdr:row>9</xdr:row>
          <xdr:rowOff>133350</xdr:rowOff>
        </xdr:to>
        <xdr:sp macro="" textlink="">
          <xdr:nvSpPr>
            <xdr:cNvPr id="1039" name="Scroll Bar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24</xdr:row>
          <xdr:rowOff>0</xdr:rowOff>
        </xdr:from>
        <xdr:to>
          <xdr:col>1</xdr:col>
          <xdr:colOff>723900</xdr:colOff>
          <xdr:row>24</xdr:row>
          <xdr:rowOff>276225</xdr:rowOff>
        </xdr:to>
        <xdr:sp macro="" textlink="">
          <xdr:nvSpPr>
            <xdr:cNvPr id="1040" name="Scroll Bar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49</xdr:row>
          <xdr:rowOff>28575</xdr:rowOff>
        </xdr:from>
        <xdr:to>
          <xdr:col>3</xdr:col>
          <xdr:colOff>676275</xdr:colOff>
          <xdr:row>49</xdr:row>
          <xdr:rowOff>161925</xdr:rowOff>
        </xdr:to>
        <xdr:sp macro="" textlink="">
          <xdr:nvSpPr>
            <xdr:cNvPr id="1041" name="Scroll Bar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27</xdr:row>
          <xdr:rowOff>19050</xdr:rowOff>
        </xdr:from>
        <xdr:to>
          <xdr:col>3</xdr:col>
          <xdr:colOff>676275</xdr:colOff>
          <xdr:row>27</xdr:row>
          <xdr:rowOff>152400</xdr:rowOff>
        </xdr:to>
        <xdr:sp macro="" textlink="">
          <xdr:nvSpPr>
            <xdr:cNvPr id="1043" name="Scroll Bar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66</xdr:row>
          <xdr:rowOff>152400</xdr:rowOff>
        </xdr:from>
        <xdr:to>
          <xdr:col>3</xdr:col>
          <xdr:colOff>66675</xdr:colOff>
          <xdr:row>67</xdr:row>
          <xdr:rowOff>161925</xdr:rowOff>
        </xdr:to>
        <xdr:sp macro="" textlink="">
          <xdr:nvSpPr>
            <xdr:cNvPr id="1044" name="Scroll Bar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19994;&#24179;&#34913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he%20Second%20Lock/Desktop/&#24037;&#20316;&#25991;&#26723;/&#21103;&#26412;&#25237;&#25918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456;&#29289;&#20859;&#25104;-&#23456;&#29289;&#21319;&#3845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职业定位属性配比"/>
      <sheetName val="团队模型接口"/>
      <sheetName val="属性分配"/>
      <sheetName val="怪物职业定义"/>
      <sheetName val="AI"/>
      <sheetName val="战斗力划分"/>
      <sheetName val="技能基础价值"/>
    </sheetNames>
    <sheetDataSet>
      <sheetData sheetId="0">
        <row r="84">
          <cell r="C84">
            <v>2.1360105300217036</v>
          </cell>
          <cell r="D84">
            <v>1.7799766379599391</v>
          </cell>
          <cell r="E84">
            <v>2.3354968324845689</v>
          </cell>
        </row>
        <row r="85">
          <cell r="C85">
            <v>1.1278135598514596</v>
          </cell>
          <cell r="D85">
            <v>0.88998831897996955</v>
          </cell>
          <cell r="E85">
            <v>0.77849894416152299</v>
          </cell>
        </row>
        <row r="86">
          <cell r="C86">
            <v>0.62531645569620242</v>
          </cell>
          <cell r="D86">
            <v>0.965064659332175</v>
          </cell>
          <cell r="E86">
            <v>0.66287878787878796</v>
          </cell>
        </row>
      </sheetData>
      <sheetData sheetId="1" refreshError="1"/>
      <sheetData sheetId="2">
        <row r="4">
          <cell r="E4">
            <v>0.5</v>
          </cell>
        </row>
        <row r="6">
          <cell r="F6">
            <v>0.6116207951070336</v>
          </cell>
          <cell r="G6">
            <v>0.59769290538521302</v>
          </cell>
          <cell r="H6">
            <v>0.53913093172068483</v>
          </cell>
          <cell r="I6">
            <v>0.51537872064138679</v>
          </cell>
          <cell r="J6">
            <v>0.45574545532375171</v>
          </cell>
          <cell r="K6">
            <v>0.42134741823449279</v>
          </cell>
          <cell r="L6">
            <v>0.36441292817141158</v>
          </cell>
          <cell r="M6">
            <v>0.32150111781805629</v>
          </cell>
          <cell r="N6">
            <v>0.27172291957537725</v>
          </cell>
          <cell r="P6">
            <v>0.18667286784139944</v>
          </cell>
          <cell r="Q6">
            <v>0.38769620660094339</v>
          </cell>
          <cell r="R6">
            <v>0.30299854231438039</v>
          </cell>
          <cell r="S6">
            <v>0.29180292414099335</v>
          </cell>
        </row>
        <row r="7">
          <cell r="F7">
            <v>0.38837920489296635</v>
          </cell>
          <cell r="G7">
            <v>0.40230709461478692</v>
          </cell>
          <cell r="H7">
            <v>0.46086906827931512</v>
          </cell>
          <cell r="I7">
            <v>0.48462127935861332</v>
          </cell>
          <cell r="J7">
            <v>0.54425454467624823</v>
          </cell>
          <cell r="K7">
            <v>0.57865258176550727</v>
          </cell>
          <cell r="L7">
            <v>0.63558707182858842</v>
          </cell>
          <cell r="M7">
            <v>0.67849888218194365</v>
          </cell>
          <cell r="N7">
            <v>0.7282770804246228</v>
          </cell>
          <cell r="P7">
            <v>0.81332713215860053</v>
          </cell>
          <cell r="Q7">
            <v>0.61230379339905661</v>
          </cell>
          <cell r="R7">
            <v>0.69700145768561961</v>
          </cell>
          <cell r="S7">
            <v>0.7081970758590066</v>
          </cell>
        </row>
        <row r="29">
          <cell r="D29">
            <v>0.5</v>
          </cell>
          <cell r="E29">
            <v>0.5555000000000001</v>
          </cell>
          <cell r="F29">
            <v>0.60550000000000015</v>
          </cell>
          <cell r="G29">
            <v>0.71961000000000019</v>
          </cell>
          <cell r="H29">
            <v>0.81961000000000017</v>
          </cell>
          <cell r="I29">
            <v>0.91961000000000015</v>
          </cell>
          <cell r="J29">
            <v>1.1016983000000002</v>
          </cell>
          <cell r="K29">
            <v>1.2516983000000002</v>
          </cell>
          <cell r="L29">
            <v>1.4016983000000001</v>
          </cell>
          <cell r="M29">
            <v>1.6016983</v>
          </cell>
          <cell r="N29">
            <v>1.8737662320000001</v>
          </cell>
          <cell r="O29">
            <v>2.0737662320000001</v>
          </cell>
          <cell r="P29">
            <v>2.2737662320000003</v>
          </cell>
          <cell r="Q29">
            <v>2.4737662320000005</v>
          </cell>
          <cell r="R29">
            <v>2.6737662320000006</v>
          </cell>
          <cell r="S29">
            <v>3.0699545436000006</v>
          </cell>
        </row>
      </sheetData>
      <sheetData sheetId="3" refreshError="1"/>
      <sheetData sheetId="4">
        <row r="2">
          <cell r="B2">
            <v>16</v>
          </cell>
          <cell r="D2">
            <v>2</v>
          </cell>
        </row>
        <row r="3">
          <cell r="B3">
            <v>2</v>
          </cell>
          <cell r="D3">
            <v>16</v>
          </cell>
        </row>
      </sheetData>
      <sheetData sheetId="5" refreshError="1"/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宠物计算经验表!"/>
      <sheetName val="经验产出方式"/>
      <sheetName val="宠物经验(副本关联表)"/>
      <sheetName val="Sheet3"/>
      <sheetName val="产出数值拉平!"/>
    </sheetNames>
    <sheetDataSet>
      <sheetData sheetId="0"/>
      <sheetData sheetId="1"/>
      <sheetData sheetId="2">
        <row r="15">
          <cell r="H15">
            <v>90</v>
          </cell>
        </row>
        <row r="16">
          <cell r="H16">
            <v>110</v>
          </cell>
        </row>
        <row r="17">
          <cell r="H17">
            <v>140</v>
          </cell>
        </row>
        <row r="18">
          <cell r="H18">
            <v>180</v>
          </cell>
        </row>
        <row r="19">
          <cell r="H19">
            <v>240</v>
          </cell>
        </row>
        <row r="20">
          <cell r="H20">
            <v>320</v>
          </cell>
        </row>
        <row r="21">
          <cell r="H21">
            <v>420</v>
          </cell>
        </row>
        <row r="22">
          <cell r="H22">
            <v>540</v>
          </cell>
        </row>
        <row r="23">
          <cell r="H23">
            <v>700</v>
          </cell>
        </row>
        <row r="24">
          <cell r="H24">
            <v>880</v>
          </cell>
        </row>
        <row r="25">
          <cell r="H25">
            <v>1100</v>
          </cell>
        </row>
        <row r="26">
          <cell r="H26">
            <v>1350</v>
          </cell>
        </row>
        <row r="27">
          <cell r="H27">
            <v>1650</v>
          </cell>
        </row>
        <row r="28">
          <cell r="H28">
            <v>1980</v>
          </cell>
        </row>
        <row r="29">
          <cell r="H29">
            <v>2370</v>
          </cell>
        </row>
        <row r="30">
          <cell r="H30">
            <v>2800</v>
          </cell>
        </row>
        <row r="31">
          <cell r="H31">
            <v>3280</v>
          </cell>
        </row>
        <row r="32">
          <cell r="H32">
            <v>3820</v>
          </cell>
        </row>
        <row r="33">
          <cell r="H33">
            <v>4420</v>
          </cell>
        </row>
        <row r="34">
          <cell r="H34">
            <v>5080</v>
          </cell>
        </row>
        <row r="35">
          <cell r="H35">
            <v>7310</v>
          </cell>
        </row>
        <row r="36">
          <cell r="H36">
            <v>8160</v>
          </cell>
        </row>
        <row r="37">
          <cell r="H37">
            <v>9080</v>
          </cell>
        </row>
        <row r="38">
          <cell r="H38">
            <v>10070</v>
          </cell>
        </row>
        <row r="39">
          <cell r="H39">
            <v>11140</v>
          </cell>
        </row>
        <row r="40">
          <cell r="H40">
            <v>12290</v>
          </cell>
        </row>
        <row r="41">
          <cell r="H41">
            <v>13520</v>
          </cell>
        </row>
        <row r="42">
          <cell r="H42">
            <v>14830</v>
          </cell>
        </row>
        <row r="43">
          <cell r="H43">
            <v>16230</v>
          </cell>
        </row>
        <row r="44">
          <cell r="H44">
            <v>17730</v>
          </cell>
        </row>
        <row r="45">
          <cell r="H45">
            <v>28010</v>
          </cell>
        </row>
        <row r="46">
          <cell r="H46">
            <v>30340</v>
          </cell>
        </row>
        <row r="47">
          <cell r="H47">
            <v>32810</v>
          </cell>
        </row>
        <row r="48">
          <cell r="H48">
            <v>35420</v>
          </cell>
        </row>
        <row r="49">
          <cell r="H49">
            <v>38180</v>
          </cell>
        </row>
        <row r="50">
          <cell r="H50">
            <v>41090</v>
          </cell>
        </row>
        <row r="51">
          <cell r="H51">
            <v>44150</v>
          </cell>
        </row>
        <row r="52">
          <cell r="H52">
            <v>47370</v>
          </cell>
        </row>
        <row r="53">
          <cell r="H53">
            <v>50760</v>
          </cell>
        </row>
        <row r="54">
          <cell r="H54">
            <v>54320</v>
          </cell>
        </row>
        <row r="55">
          <cell r="H55">
            <v>58040</v>
          </cell>
        </row>
        <row r="56">
          <cell r="H56">
            <v>61950</v>
          </cell>
        </row>
        <row r="57">
          <cell r="H57">
            <v>66030</v>
          </cell>
        </row>
        <row r="58">
          <cell r="H58">
            <v>70300</v>
          </cell>
        </row>
        <row r="59">
          <cell r="H59">
            <v>74750</v>
          </cell>
        </row>
        <row r="60">
          <cell r="H60">
            <v>79400</v>
          </cell>
        </row>
        <row r="61">
          <cell r="H61">
            <v>84250</v>
          </cell>
        </row>
        <row r="62">
          <cell r="H62">
            <v>89300</v>
          </cell>
        </row>
        <row r="63">
          <cell r="H63">
            <v>94550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文档记录"/>
      <sheetName val="升阶消耗"/>
      <sheetName val="宠物灵魂石合成"/>
      <sheetName val="进阶配置格式生成表"/>
    </sheetNames>
    <sheetDataSet>
      <sheetData sheetId="0" refreshError="1"/>
      <sheetData sheetId="1">
        <row r="22">
          <cell r="I22">
            <v>300</v>
          </cell>
        </row>
        <row r="23">
          <cell r="I23">
            <v>2000</v>
          </cell>
        </row>
        <row r="24">
          <cell r="I24">
            <v>4000</v>
          </cell>
        </row>
        <row r="25">
          <cell r="I25">
            <v>8000</v>
          </cell>
        </row>
        <row r="26">
          <cell r="I26">
            <v>20000</v>
          </cell>
        </row>
        <row r="27">
          <cell r="I27">
            <v>30000</v>
          </cell>
        </row>
        <row r="28">
          <cell r="I28">
            <v>50000</v>
          </cell>
        </row>
        <row r="29">
          <cell r="I29">
            <v>80000</v>
          </cell>
        </row>
        <row r="30">
          <cell r="I30">
            <v>100000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P30"/>
  <sheetViews>
    <sheetView workbookViewId="0">
      <selection activeCell="L5" sqref="L5:P5"/>
    </sheetView>
  </sheetViews>
  <sheetFormatPr defaultRowHeight="13.5"/>
  <sheetData>
    <row r="4" spans="2:16">
      <c r="B4" s="25" t="s">
        <v>92</v>
      </c>
      <c r="C4" s="58" t="s">
        <v>94</v>
      </c>
      <c r="D4" s="59"/>
      <c r="E4" s="59"/>
      <c r="F4" s="59"/>
      <c r="G4" s="59"/>
      <c r="H4" s="59"/>
      <c r="I4" s="59"/>
      <c r="J4" s="59"/>
      <c r="K4" s="60"/>
      <c r="L4" s="58" t="s">
        <v>96</v>
      </c>
      <c r="M4" s="59"/>
      <c r="N4" s="59"/>
      <c r="O4" s="59"/>
      <c r="P4" s="60"/>
    </row>
    <row r="5" spans="2:16">
      <c r="B5" s="25" t="s">
        <v>93</v>
      </c>
      <c r="C5" s="58" t="s">
        <v>95</v>
      </c>
      <c r="D5" s="59"/>
      <c r="E5" s="59"/>
      <c r="F5" s="59"/>
      <c r="G5" s="59"/>
      <c r="H5" s="59"/>
      <c r="I5" s="59"/>
      <c r="J5" s="59"/>
      <c r="K5" s="60"/>
      <c r="L5" s="58" t="s">
        <v>97</v>
      </c>
      <c r="M5" s="59"/>
      <c r="N5" s="59"/>
      <c r="O5" s="59"/>
      <c r="P5" s="60"/>
    </row>
    <row r="6" spans="2:16">
      <c r="B6" s="25"/>
      <c r="C6" s="58"/>
      <c r="D6" s="59"/>
      <c r="E6" s="59"/>
      <c r="F6" s="59"/>
      <c r="G6" s="59"/>
      <c r="H6" s="59"/>
      <c r="I6" s="59"/>
      <c r="J6" s="59"/>
      <c r="K6" s="60"/>
      <c r="L6" s="58"/>
      <c r="M6" s="59"/>
      <c r="N6" s="59"/>
      <c r="O6" s="59"/>
      <c r="P6" s="60"/>
    </row>
    <row r="7" spans="2:16">
      <c r="B7" s="25"/>
      <c r="C7" s="58"/>
      <c r="D7" s="59"/>
      <c r="E7" s="59"/>
      <c r="F7" s="59"/>
      <c r="G7" s="59"/>
      <c r="H7" s="59"/>
      <c r="I7" s="59"/>
      <c r="J7" s="59"/>
      <c r="K7" s="60"/>
      <c r="L7" s="58"/>
      <c r="M7" s="59"/>
      <c r="N7" s="59"/>
      <c r="O7" s="59"/>
      <c r="P7" s="60"/>
    </row>
    <row r="8" spans="2:16">
      <c r="B8" s="25"/>
      <c r="C8" s="58"/>
      <c r="D8" s="59"/>
      <c r="E8" s="59"/>
      <c r="F8" s="59"/>
      <c r="G8" s="59"/>
      <c r="H8" s="59"/>
      <c r="I8" s="59"/>
      <c r="J8" s="59"/>
      <c r="K8" s="60"/>
      <c r="L8" s="58"/>
      <c r="M8" s="59"/>
      <c r="N8" s="59"/>
      <c r="O8" s="59"/>
      <c r="P8" s="60"/>
    </row>
    <row r="9" spans="2:16">
      <c r="B9" s="25"/>
      <c r="C9" s="58"/>
      <c r="D9" s="59"/>
      <c r="E9" s="59"/>
      <c r="F9" s="59"/>
      <c r="G9" s="59"/>
      <c r="H9" s="59"/>
      <c r="I9" s="59"/>
      <c r="J9" s="59"/>
      <c r="K9" s="60"/>
      <c r="L9" s="58"/>
      <c r="M9" s="59"/>
      <c r="N9" s="59"/>
      <c r="O9" s="59"/>
      <c r="P9" s="60"/>
    </row>
    <row r="10" spans="2:16">
      <c r="B10" s="25"/>
      <c r="C10" s="58"/>
      <c r="D10" s="59"/>
      <c r="E10" s="59"/>
      <c r="F10" s="59"/>
      <c r="G10" s="59"/>
      <c r="H10" s="59"/>
      <c r="I10" s="59"/>
      <c r="J10" s="59"/>
      <c r="K10" s="60"/>
      <c r="L10" s="58"/>
      <c r="M10" s="59"/>
      <c r="N10" s="59"/>
      <c r="O10" s="59"/>
      <c r="P10" s="60"/>
    </row>
    <row r="11" spans="2:16">
      <c r="B11" s="25"/>
      <c r="C11" s="58"/>
      <c r="D11" s="59"/>
      <c r="E11" s="59"/>
      <c r="F11" s="59"/>
      <c r="G11" s="59"/>
      <c r="H11" s="59"/>
      <c r="I11" s="59"/>
      <c r="J11" s="59"/>
      <c r="K11" s="60"/>
      <c r="L11" s="58"/>
      <c r="M11" s="59"/>
      <c r="N11" s="59"/>
      <c r="O11" s="59"/>
      <c r="P11" s="60"/>
    </row>
    <row r="12" spans="2:16">
      <c r="B12" s="25"/>
      <c r="C12" s="58"/>
      <c r="D12" s="59"/>
      <c r="E12" s="59"/>
      <c r="F12" s="59"/>
      <c r="G12" s="59"/>
      <c r="H12" s="59"/>
      <c r="I12" s="59"/>
      <c r="J12" s="59"/>
      <c r="K12" s="60"/>
      <c r="L12" s="58"/>
      <c r="M12" s="59"/>
      <c r="N12" s="59"/>
      <c r="O12" s="59"/>
      <c r="P12" s="60"/>
    </row>
    <row r="13" spans="2:16">
      <c r="B13" s="25"/>
      <c r="C13" s="58"/>
      <c r="D13" s="59"/>
      <c r="E13" s="59"/>
      <c r="F13" s="59"/>
      <c r="G13" s="59"/>
      <c r="H13" s="59"/>
      <c r="I13" s="59"/>
      <c r="J13" s="59"/>
      <c r="K13" s="60"/>
      <c r="L13" s="58"/>
      <c r="M13" s="59"/>
      <c r="N13" s="59"/>
      <c r="O13" s="59"/>
      <c r="P13" s="60"/>
    </row>
    <row r="14" spans="2:16">
      <c r="B14" s="25"/>
      <c r="C14" s="58"/>
      <c r="D14" s="59"/>
      <c r="E14" s="59"/>
      <c r="F14" s="59"/>
      <c r="G14" s="59"/>
      <c r="H14" s="59"/>
      <c r="I14" s="59"/>
      <c r="J14" s="59"/>
      <c r="K14" s="60"/>
      <c r="L14" s="58"/>
      <c r="M14" s="59"/>
      <c r="N14" s="59"/>
      <c r="O14" s="59"/>
      <c r="P14" s="60"/>
    </row>
    <row r="15" spans="2:16">
      <c r="B15" s="25"/>
      <c r="C15" s="58"/>
      <c r="D15" s="59"/>
      <c r="E15" s="59"/>
      <c r="F15" s="59"/>
      <c r="G15" s="59"/>
      <c r="H15" s="59"/>
      <c r="I15" s="59"/>
      <c r="J15" s="59"/>
      <c r="K15" s="60"/>
      <c r="L15" s="58"/>
      <c r="M15" s="59"/>
      <c r="N15" s="59"/>
      <c r="O15" s="59"/>
      <c r="P15" s="60"/>
    </row>
    <row r="16" spans="2:16">
      <c r="B16" s="25"/>
      <c r="C16" s="58"/>
      <c r="D16" s="59"/>
      <c r="E16" s="59"/>
      <c r="F16" s="59"/>
      <c r="G16" s="59"/>
      <c r="H16" s="59"/>
      <c r="I16" s="59"/>
      <c r="J16" s="59"/>
      <c r="K16" s="60"/>
      <c r="L16" s="58"/>
      <c r="M16" s="59"/>
      <c r="N16" s="59"/>
      <c r="O16" s="59"/>
      <c r="P16" s="60"/>
    </row>
    <row r="17" spans="2:16">
      <c r="B17" s="25"/>
      <c r="C17" s="58"/>
      <c r="D17" s="59"/>
      <c r="E17" s="59"/>
      <c r="F17" s="59"/>
      <c r="G17" s="59"/>
      <c r="H17" s="59"/>
      <c r="I17" s="59"/>
      <c r="J17" s="59"/>
      <c r="K17" s="60"/>
      <c r="L17" s="58"/>
      <c r="M17" s="59"/>
      <c r="N17" s="59"/>
      <c r="O17" s="59"/>
      <c r="P17" s="60"/>
    </row>
    <row r="18" spans="2:16">
      <c r="B18" s="25"/>
      <c r="C18" s="58"/>
      <c r="D18" s="59"/>
      <c r="E18" s="59"/>
      <c r="F18" s="59"/>
      <c r="G18" s="59"/>
      <c r="H18" s="59"/>
      <c r="I18" s="59"/>
      <c r="J18" s="59"/>
      <c r="K18" s="60"/>
      <c r="L18" s="58"/>
      <c r="M18" s="59"/>
      <c r="N18" s="59"/>
      <c r="O18" s="59"/>
      <c r="P18" s="60"/>
    </row>
    <row r="19" spans="2:16">
      <c r="B19" s="25"/>
      <c r="C19" s="58"/>
      <c r="D19" s="59"/>
      <c r="E19" s="59"/>
      <c r="F19" s="59"/>
      <c r="G19" s="59"/>
      <c r="H19" s="59"/>
      <c r="I19" s="59"/>
      <c r="J19" s="59"/>
      <c r="K19" s="60"/>
      <c r="L19" s="58"/>
      <c r="M19" s="59"/>
      <c r="N19" s="59"/>
      <c r="O19" s="59"/>
      <c r="P19" s="60"/>
    </row>
    <row r="20" spans="2:16">
      <c r="B20" s="25"/>
      <c r="C20" s="58"/>
      <c r="D20" s="59"/>
      <c r="E20" s="59"/>
      <c r="F20" s="59"/>
      <c r="G20" s="59"/>
      <c r="H20" s="59"/>
      <c r="I20" s="59"/>
      <c r="J20" s="59"/>
      <c r="K20" s="60"/>
      <c r="L20" s="58"/>
      <c r="M20" s="59"/>
      <c r="N20" s="59"/>
      <c r="O20" s="59"/>
      <c r="P20" s="60"/>
    </row>
    <row r="21" spans="2:16">
      <c r="B21" s="25"/>
      <c r="C21" s="58"/>
      <c r="D21" s="59"/>
      <c r="E21" s="59"/>
      <c r="F21" s="59"/>
      <c r="G21" s="59"/>
      <c r="H21" s="59"/>
      <c r="I21" s="59"/>
      <c r="J21" s="59"/>
      <c r="K21" s="60"/>
      <c r="L21" s="58"/>
      <c r="M21" s="59"/>
      <c r="N21" s="59"/>
      <c r="O21" s="59"/>
      <c r="P21" s="60"/>
    </row>
    <row r="22" spans="2:16">
      <c r="B22" s="25"/>
      <c r="C22" s="58"/>
      <c r="D22" s="59"/>
      <c r="E22" s="59"/>
      <c r="F22" s="59"/>
      <c r="G22" s="59"/>
      <c r="H22" s="59"/>
      <c r="I22" s="59"/>
      <c r="J22" s="59"/>
      <c r="K22" s="60"/>
      <c r="L22" s="58"/>
      <c r="M22" s="59"/>
      <c r="N22" s="59"/>
      <c r="O22" s="59"/>
      <c r="P22" s="60"/>
    </row>
    <row r="23" spans="2:16">
      <c r="B23" s="25"/>
      <c r="C23" s="58"/>
      <c r="D23" s="59"/>
      <c r="E23" s="59"/>
      <c r="F23" s="59"/>
      <c r="G23" s="59"/>
      <c r="H23" s="59"/>
      <c r="I23" s="59"/>
      <c r="J23" s="59"/>
      <c r="K23" s="60"/>
      <c r="L23" s="58"/>
      <c r="M23" s="59"/>
      <c r="N23" s="59"/>
      <c r="O23" s="59"/>
      <c r="P23" s="60"/>
    </row>
    <row r="24" spans="2:16">
      <c r="B24" s="25"/>
      <c r="C24" s="58"/>
      <c r="D24" s="59"/>
      <c r="E24" s="59"/>
      <c r="F24" s="59"/>
      <c r="G24" s="59"/>
      <c r="H24" s="59"/>
      <c r="I24" s="59"/>
      <c r="J24" s="59"/>
      <c r="K24" s="60"/>
      <c r="L24" s="58"/>
      <c r="M24" s="59"/>
      <c r="N24" s="59"/>
      <c r="O24" s="59"/>
      <c r="P24" s="60"/>
    </row>
    <row r="25" spans="2:16">
      <c r="B25" s="25"/>
      <c r="C25" s="58"/>
      <c r="D25" s="59"/>
      <c r="E25" s="59"/>
      <c r="F25" s="59"/>
      <c r="G25" s="59"/>
      <c r="H25" s="59"/>
      <c r="I25" s="59"/>
      <c r="J25" s="59"/>
      <c r="K25" s="60"/>
      <c r="L25" s="58"/>
      <c r="M25" s="59"/>
      <c r="N25" s="59"/>
      <c r="O25" s="59"/>
      <c r="P25" s="60"/>
    </row>
    <row r="26" spans="2:16">
      <c r="B26" s="25"/>
      <c r="C26" s="58"/>
      <c r="D26" s="59"/>
      <c r="E26" s="59"/>
      <c r="F26" s="59"/>
      <c r="G26" s="59"/>
      <c r="H26" s="59"/>
      <c r="I26" s="59"/>
      <c r="J26" s="59"/>
      <c r="K26" s="60"/>
      <c r="L26" s="58"/>
      <c r="M26" s="59"/>
      <c r="N26" s="59"/>
      <c r="O26" s="59"/>
      <c r="P26" s="60"/>
    </row>
    <row r="27" spans="2:16">
      <c r="B27" s="25"/>
      <c r="C27" s="58"/>
      <c r="D27" s="59"/>
      <c r="E27" s="59"/>
      <c r="F27" s="59"/>
      <c r="G27" s="59"/>
      <c r="H27" s="59"/>
      <c r="I27" s="59"/>
      <c r="J27" s="59"/>
      <c r="K27" s="60"/>
      <c r="L27" s="58"/>
      <c r="M27" s="59"/>
      <c r="N27" s="59"/>
      <c r="O27" s="59"/>
      <c r="P27" s="60"/>
    </row>
    <row r="28" spans="2:16">
      <c r="B28" s="25"/>
      <c r="C28" s="58"/>
      <c r="D28" s="59"/>
      <c r="E28" s="59"/>
      <c r="F28" s="59"/>
      <c r="G28" s="59"/>
      <c r="H28" s="59"/>
      <c r="I28" s="59"/>
      <c r="J28" s="59"/>
      <c r="K28" s="60"/>
      <c r="L28" s="58"/>
      <c r="M28" s="59"/>
      <c r="N28" s="59"/>
      <c r="O28" s="59"/>
      <c r="P28" s="60"/>
    </row>
    <row r="29" spans="2:16">
      <c r="B29" s="25"/>
      <c r="C29" s="58"/>
      <c r="D29" s="59"/>
      <c r="E29" s="59"/>
      <c r="F29" s="59"/>
      <c r="G29" s="59"/>
      <c r="H29" s="59"/>
      <c r="I29" s="59"/>
      <c r="J29" s="59"/>
      <c r="K29" s="60"/>
      <c r="L29" s="58"/>
      <c r="M29" s="59"/>
      <c r="N29" s="59"/>
      <c r="O29" s="59"/>
      <c r="P29" s="60"/>
    </row>
    <row r="30" spans="2:16">
      <c r="B30" s="25"/>
      <c r="C30" s="58"/>
      <c r="D30" s="59"/>
      <c r="E30" s="59"/>
      <c r="F30" s="59"/>
      <c r="G30" s="59"/>
      <c r="H30" s="59"/>
      <c r="I30" s="59"/>
      <c r="J30" s="59"/>
      <c r="K30" s="60"/>
      <c r="L30" s="58"/>
      <c r="M30" s="59"/>
      <c r="N30" s="59"/>
      <c r="O30" s="59"/>
      <c r="P30" s="60"/>
    </row>
  </sheetData>
  <mergeCells count="54">
    <mergeCell ref="L29:P29"/>
    <mergeCell ref="L30:P30"/>
    <mergeCell ref="L23:P23"/>
    <mergeCell ref="L24:P24"/>
    <mergeCell ref="L25:P25"/>
    <mergeCell ref="L26:P26"/>
    <mergeCell ref="L27:P27"/>
    <mergeCell ref="L28:P28"/>
    <mergeCell ref="L22:P22"/>
    <mergeCell ref="L11:P11"/>
    <mergeCell ref="L12:P12"/>
    <mergeCell ref="L13:P13"/>
    <mergeCell ref="L14:P14"/>
    <mergeCell ref="L15:P15"/>
    <mergeCell ref="L16:P16"/>
    <mergeCell ref="L17:P17"/>
    <mergeCell ref="L18:P18"/>
    <mergeCell ref="L19:P19"/>
    <mergeCell ref="L20:P20"/>
    <mergeCell ref="L21:P21"/>
    <mergeCell ref="C27:K27"/>
    <mergeCell ref="C28:K28"/>
    <mergeCell ref="C29:K29"/>
    <mergeCell ref="C30:K30"/>
    <mergeCell ref="L5:P5"/>
    <mergeCell ref="L6:P6"/>
    <mergeCell ref="L7:P7"/>
    <mergeCell ref="L8:P8"/>
    <mergeCell ref="L9:P9"/>
    <mergeCell ref="L10:P10"/>
    <mergeCell ref="C21:K21"/>
    <mergeCell ref="C22:K22"/>
    <mergeCell ref="C23:K23"/>
    <mergeCell ref="C24:K24"/>
    <mergeCell ref="C25:K25"/>
    <mergeCell ref="C26:K26"/>
    <mergeCell ref="C20:K20"/>
    <mergeCell ref="C9:K9"/>
    <mergeCell ref="C10:K10"/>
    <mergeCell ref="C11:K11"/>
    <mergeCell ref="C12:K12"/>
    <mergeCell ref="C13:K13"/>
    <mergeCell ref="C14:K14"/>
    <mergeCell ref="C15:K15"/>
    <mergeCell ref="C16:K16"/>
    <mergeCell ref="C17:K17"/>
    <mergeCell ref="C18:K18"/>
    <mergeCell ref="C19:K19"/>
    <mergeCell ref="C8:K8"/>
    <mergeCell ref="C4:K4"/>
    <mergeCell ref="L4:P4"/>
    <mergeCell ref="C5:K5"/>
    <mergeCell ref="C6:K6"/>
    <mergeCell ref="C7:K7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97"/>
  <sheetViews>
    <sheetView workbookViewId="0">
      <selection activeCell="D9" sqref="D9"/>
    </sheetView>
  </sheetViews>
  <sheetFormatPr defaultRowHeight="13.5"/>
  <cols>
    <col min="1" max="2" width="13" bestFit="1" customWidth="1"/>
    <col min="3" max="3" width="10.5" bestFit="1" customWidth="1"/>
    <col min="19" max="19" width="10.25" customWidth="1"/>
    <col min="20" max="32" width="9" customWidth="1"/>
  </cols>
  <sheetData>
    <row r="1" spans="1:35">
      <c r="A1" t="s">
        <v>1</v>
      </c>
    </row>
    <row r="2" spans="1:35" ht="14.25" thickBot="1"/>
    <row r="3" spans="1:35">
      <c r="R3" s="26"/>
      <c r="S3" s="27"/>
      <c r="T3" s="27"/>
      <c r="U3" s="28"/>
    </row>
    <row r="4" spans="1:35">
      <c r="C4" t="s">
        <v>3</v>
      </c>
      <c r="G4" t="s">
        <v>4</v>
      </c>
      <c r="K4" t="s">
        <v>27</v>
      </c>
      <c r="O4" t="s">
        <v>23</v>
      </c>
      <c r="R4" s="29"/>
      <c r="S4" s="30" t="s">
        <v>28</v>
      </c>
      <c r="T4" s="30"/>
      <c r="U4" s="31"/>
    </row>
    <row r="5" spans="1:35">
      <c r="B5" t="s">
        <v>5</v>
      </c>
      <c r="D5" s="11">
        <v>70</v>
      </c>
      <c r="H5" s="11">
        <v>97</v>
      </c>
      <c r="L5" s="11">
        <v>500</v>
      </c>
      <c r="P5" s="11">
        <v>130</v>
      </c>
      <c r="R5" s="29"/>
      <c r="S5" s="30"/>
      <c r="T5" s="32">
        <v>484</v>
      </c>
      <c r="U5" s="31"/>
    </row>
    <row r="6" spans="1:35">
      <c r="B6" s="2">
        <v>850</v>
      </c>
      <c r="D6" s="11"/>
      <c r="H6" s="11"/>
      <c r="L6" s="11"/>
      <c r="P6" s="11"/>
      <c r="R6" s="29"/>
      <c r="S6" s="30"/>
      <c r="T6" s="32"/>
      <c r="U6" s="31"/>
    </row>
    <row r="7" spans="1:35">
      <c r="D7" s="11">
        <v>120</v>
      </c>
      <c r="H7" s="11">
        <v>400</v>
      </c>
      <c r="L7" s="11">
        <v>40</v>
      </c>
      <c r="P7" s="11">
        <v>56</v>
      </c>
      <c r="R7" s="29"/>
      <c r="S7" s="30"/>
      <c r="T7" s="32">
        <v>70</v>
      </c>
      <c r="U7" s="31"/>
    </row>
    <row r="8" spans="1:35">
      <c r="D8" s="11"/>
      <c r="H8" s="11"/>
      <c r="L8" s="11"/>
      <c r="P8" s="11"/>
      <c r="R8" s="29"/>
      <c r="S8" s="30"/>
      <c r="T8" s="32"/>
      <c r="U8" s="31"/>
    </row>
    <row r="9" spans="1:35">
      <c r="D9" s="11">
        <v>1350</v>
      </c>
      <c r="H9" s="11">
        <v>770</v>
      </c>
      <c r="L9" s="11">
        <v>250</v>
      </c>
      <c r="P9" s="11">
        <v>350</v>
      </c>
      <c r="R9" s="29"/>
      <c r="S9" s="30"/>
      <c r="T9" s="32">
        <v>460</v>
      </c>
      <c r="U9" s="31"/>
    </row>
    <row r="10" spans="1:35">
      <c r="D10" s="11"/>
      <c r="H10" s="11"/>
      <c r="L10" s="11"/>
      <c r="P10" s="11"/>
      <c r="R10" s="29"/>
      <c r="S10" s="30"/>
      <c r="T10" s="32"/>
      <c r="U10" s="31"/>
    </row>
    <row r="11" spans="1:35">
      <c r="A11" s="11" t="s">
        <v>34</v>
      </c>
      <c r="H11" s="11"/>
      <c r="L11" s="11"/>
      <c r="P11" s="11"/>
      <c r="R11" s="29"/>
      <c r="S11" s="30"/>
      <c r="T11" s="32"/>
      <c r="U11" s="31"/>
    </row>
    <row r="12" spans="1:35" ht="15" customHeight="1">
      <c r="B12" t="s">
        <v>6</v>
      </c>
      <c r="C12" s="3">
        <f>[1]职业定位属性配比!$C$86*$B$6</f>
        <v>531.518987341772</v>
      </c>
      <c r="D12" s="3">
        <f>ROUND(C12+[1]职业定位属性配比!$C$86*$D$5,0)</f>
        <v>575</v>
      </c>
      <c r="G12" s="3">
        <f>[1]职业定位属性配比!$C86*$B$6</f>
        <v>531.518987341772</v>
      </c>
      <c r="H12" s="3">
        <f>ROUND(G12+[1]职业定位属性配比!$C$86*H5,0)</f>
        <v>592</v>
      </c>
      <c r="K12" s="3">
        <f>[1]职业定位属性配比!$D$86*B6</f>
        <v>820.30496043234871</v>
      </c>
      <c r="L12" s="3">
        <f>ROUND(K12+[1]职业定位属性配比!$D$86*L5,0)</f>
        <v>1303</v>
      </c>
      <c r="O12" s="3">
        <f>[1]职业定位属性配比!$D$86*B6</f>
        <v>820.30496043234871</v>
      </c>
      <c r="P12" s="3">
        <f>ROUND(O12+[1]职业定位属性配比!$D$86*P5,0)</f>
        <v>946</v>
      </c>
      <c r="R12" s="29"/>
      <c r="S12" s="33">
        <f>[1]职业定位属性配比!$E$86*$B$6</f>
        <v>563.44696969696975</v>
      </c>
      <c r="T12" s="33">
        <f>ROUND(S12+[1]职业定位属性配比!$E$86*T5,0)</f>
        <v>884</v>
      </c>
      <c r="U12" s="31"/>
    </row>
    <row r="13" spans="1:35">
      <c r="B13" t="s">
        <v>7</v>
      </c>
      <c r="C13" s="3">
        <f>[1]职业定位属性配比!$C$85*$B$6</f>
        <v>958.64152587374065</v>
      </c>
      <c r="D13" s="3">
        <f>ROUND(C13+[1]职业定位属性配比!$C$85*$D7,0)</f>
        <v>1094</v>
      </c>
      <c r="G13" s="3">
        <f>[1]职业定位属性配比!$C85*$B$6</f>
        <v>958.64152587374065</v>
      </c>
      <c r="H13" s="3">
        <f>ROUND(G13+[1]职业定位属性配比!$C$85*H7,0)</f>
        <v>1410</v>
      </c>
      <c r="K13" s="3">
        <f>[1]职业定位属性配比!$D$85*B6</f>
        <v>756.49007113297409</v>
      </c>
      <c r="L13" s="3">
        <f>ROUND(K13+[1]职业定位属性配比!$D$85*L7,0)</f>
        <v>792</v>
      </c>
      <c r="O13" s="3">
        <f>[1]职业定位属性配比!$D$85*B6</f>
        <v>756.49007113297409</v>
      </c>
      <c r="P13" s="3">
        <f>ROUND(O13+[1]职业定位属性配比!$D$85*P7,0)</f>
        <v>806</v>
      </c>
      <c r="R13" s="29"/>
      <c r="S13" s="33">
        <f>[1]职业定位属性配比!$E$85*$B$6</f>
        <v>661.72410253729458</v>
      </c>
      <c r="T13" s="33">
        <f>ROUND(S13+[1]职业定位属性配比!$E$85*T7,0)</f>
        <v>716</v>
      </c>
      <c r="U13" s="31"/>
    </row>
    <row r="14" spans="1:35">
      <c r="B14" t="s">
        <v>8</v>
      </c>
      <c r="C14" s="3">
        <f>[1]职业定位属性配比!$C$84*B6</f>
        <v>1815.608950518448</v>
      </c>
      <c r="D14" s="3">
        <f>ROUND(C14+[1]职业定位属性配比!$C$84*$D9,0)</f>
        <v>4699</v>
      </c>
      <c r="G14" s="3">
        <f>[1]职业定位属性配比!$C84*B6</f>
        <v>1815.608950518448</v>
      </c>
      <c r="H14" s="3">
        <f>ROUND(G14+[1]职业定位属性配比!$C$84*H9,0)</f>
        <v>3460</v>
      </c>
      <c r="K14" s="3">
        <f>[1]职业定位属性配比!$D$84*B6</f>
        <v>1512.9801422659482</v>
      </c>
      <c r="L14" s="3">
        <f>ROUND(K14+[1]职业定位属性配比!$D$84*L9,0)</f>
        <v>1958</v>
      </c>
      <c r="O14" s="3">
        <f>[1]职业定位属性配比!$D$84*B6</f>
        <v>1512.9801422659482</v>
      </c>
      <c r="P14" s="3">
        <f>ROUND(O14+[1]职业定位属性配比!$D$84*P9,0)</f>
        <v>2136</v>
      </c>
      <c r="R14" s="29"/>
      <c r="S14" s="33">
        <f>[1]职业定位属性配比!$E$84*$B$6</f>
        <v>1985.1723076118835</v>
      </c>
      <c r="T14" s="33">
        <f>ROUND(S14+[1]职业定位属性配比!$E$84*T9,0)</f>
        <v>3060</v>
      </c>
      <c r="U14" s="31"/>
    </row>
    <row r="15" spans="1:35"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34"/>
      <c r="S15" s="35"/>
      <c r="T15" s="35"/>
      <c r="U15" s="36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</row>
    <row r="16" spans="1:35">
      <c r="B16" s="9" t="s">
        <v>24</v>
      </c>
      <c r="C16" s="10">
        <v>0.9</v>
      </c>
      <c r="D16" s="10"/>
      <c r="E16" s="10"/>
      <c r="F16" s="10"/>
      <c r="G16" s="10">
        <v>0.85</v>
      </c>
      <c r="H16" s="10"/>
      <c r="I16" s="10"/>
      <c r="J16" s="10"/>
      <c r="K16" s="10">
        <v>1.2</v>
      </c>
      <c r="L16" s="10"/>
      <c r="M16" s="10"/>
      <c r="N16" s="10"/>
      <c r="O16" s="10">
        <v>1.6</v>
      </c>
      <c r="P16" s="10"/>
      <c r="Q16" s="10"/>
      <c r="R16" s="37"/>
      <c r="S16" s="38">
        <v>1</v>
      </c>
      <c r="T16" s="38"/>
      <c r="U16" s="36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</row>
    <row r="17" spans="1:36">
      <c r="B17" s="9" t="s">
        <v>25</v>
      </c>
      <c r="C17" s="3">
        <f>D12*C16</f>
        <v>517.5</v>
      </c>
      <c r="D17" s="9"/>
      <c r="E17" s="9"/>
      <c r="F17" s="9"/>
      <c r="G17" s="3">
        <f>H12*G16</f>
        <v>503.2</v>
      </c>
      <c r="H17" s="9"/>
      <c r="I17" s="9"/>
      <c r="J17" s="9"/>
      <c r="K17" s="3">
        <f>L12*K16</f>
        <v>1563.6</v>
      </c>
      <c r="L17" s="9"/>
      <c r="M17" s="9"/>
      <c r="N17" s="9"/>
      <c r="O17" s="3">
        <f>P12*O16</f>
        <v>1513.6000000000001</v>
      </c>
      <c r="P17" s="9"/>
      <c r="Q17" s="9"/>
      <c r="R17" s="34"/>
      <c r="S17" s="33">
        <f>T12*S16</f>
        <v>884</v>
      </c>
      <c r="T17" s="30"/>
      <c r="U17" s="36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</row>
    <row r="18" spans="1:36">
      <c r="B18" s="9" t="s">
        <v>26</v>
      </c>
      <c r="C18">
        <f>D13*D14/10000</f>
        <v>514.07060000000001</v>
      </c>
      <c r="G18">
        <f>H13*H14/10000</f>
        <v>487.86</v>
      </c>
      <c r="K18">
        <f>L13*L14/10000</f>
        <v>155.0736</v>
      </c>
      <c r="O18">
        <f>P13*P14/10000</f>
        <v>172.16159999999999</v>
      </c>
      <c r="R18" s="29"/>
      <c r="S18" s="30">
        <f>T13*T14/10000</f>
        <v>219.096</v>
      </c>
      <c r="T18" s="30"/>
      <c r="U18" s="31"/>
    </row>
    <row r="19" spans="1:36" ht="14.25" thickBot="1">
      <c r="B19" s="9"/>
      <c r="L19" s="9"/>
      <c r="R19" s="39"/>
      <c r="S19" s="40"/>
      <c r="T19" s="40"/>
      <c r="U19" s="41"/>
    </row>
    <row r="20" spans="1:36">
      <c r="B20" t="s">
        <v>9</v>
      </c>
    </row>
    <row r="21" spans="1:36">
      <c r="B21" t="s">
        <v>10</v>
      </c>
    </row>
    <row r="22" spans="1:36">
      <c r="F22" t="s">
        <v>20</v>
      </c>
    </row>
    <row r="24" spans="1:36">
      <c r="A24" t="s">
        <v>11</v>
      </c>
      <c r="D24" t="s">
        <v>16</v>
      </c>
    </row>
    <row r="25" spans="1:36" ht="26.25" customHeight="1">
      <c r="A25" s="2"/>
      <c r="B25" s="2">
        <v>6</v>
      </c>
      <c r="C25" s="7">
        <f>B25/1000</f>
        <v>6.0000000000000001E-3</v>
      </c>
      <c r="D25" t="s">
        <v>15</v>
      </c>
      <c r="F25" t="s">
        <v>48</v>
      </c>
      <c r="G25" s="2">
        <v>1</v>
      </c>
      <c r="I25" t="s">
        <v>49</v>
      </c>
      <c r="J25" s="2">
        <v>1</v>
      </c>
      <c r="L25" t="s">
        <v>50</v>
      </c>
      <c r="M25" s="2">
        <v>1</v>
      </c>
    </row>
    <row r="26" spans="1:36" ht="26.25" customHeight="1">
      <c r="A26" s="5" t="s">
        <v>12</v>
      </c>
      <c r="B26" s="2">
        <v>50</v>
      </c>
      <c r="G26" s="4"/>
    </row>
    <row r="27" spans="1:36" ht="15" customHeight="1">
      <c r="A27" s="2"/>
      <c r="B27" s="2"/>
      <c r="E27" t="s">
        <v>29</v>
      </c>
    </row>
    <row r="28" spans="1:36">
      <c r="A28" t="s">
        <v>19</v>
      </c>
      <c r="D28">
        <v>50</v>
      </c>
      <c r="E28" s="7">
        <f>D28/100</f>
        <v>0.5</v>
      </c>
    </row>
    <row r="29" spans="1:36">
      <c r="A29" t="s">
        <v>39</v>
      </c>
      <c r="C29" s="4"/>
      <c r="H29" t="s">
        <v>42</v>
      </c>
    </row>
    <row r="30" spans="1:36">
      <c r="A30" t="s">
        <v>41</v>
      </c>
      <c r="C30" s="4"/>
      <c r="H30" t="s">
        <v>43</v>
      </c>
    </row>
    <row r="31" spans="1:36">
      <c r="C31" s="4"/>
    </row>
    <row r="32" spans="1:36">
      <c r="A32" t="s">
        <v>17</v>
      </c>
      <c r="C32" s="3">
        <v>4</v>
      </c>
      <c r="D32" s="3">
        <f>[1]AI!$D$2</f>
        <v>2</v>
      </c>
      <c r="E32" s="9"/>
      <c r="H32" s="3">
        <v>2</v>
      </c>
      <c r="I32" s="3">
        <v>3</v>
      </c>
      <c r="J32" s="9"/>
    </row>
    <row r="33" spans="1:11">
      <c r="A33" t="s">
        <v>18</v>
      </c>
      <c r="B33" s="2">
        <v>0.8</v>
      </c>
      <c r="C33" s="6">
        <f>($B$26-1)*$C$25+C32/100</f>
        <v>0.33399999999999996</v>
      </c>
      <c r="D33" s="6">
        <f>($B$26-1)*$C$25*(B33)+D32/100</f>
        <v>0.25519999999999998</v>
      </c>
      <c r="E33" s="13"/>
      <c r="G33" s="2">
        <v>0.8</v>
      </c>
      <c r="H33" s="6">
        <f>($B$26-1)*$C$25*(G33)+I32/100</f>
        <v>0.26519999999999999</v>
      </c>
      <c r="I33" s="6">
        <f>($B$26-1)*$C$25+H32/100</f>
        <v>0.314</v>
      </c>
      <c r="J33" s="13"/>
    </row>
    <row r="34" spans="1:11">
      <c r="C34" t="s">
        <v>32</v>
      </c>
      <c r="D34" t="s">
        <v>33</v>
      </c>
      <c r="E34" s="9"/>
      <c r="H34" t="s">
        <v>32</v>
      </c>
      <c r="I34" t="s">
        <v>33</v>
      </c>
      <c r="J34" s="9"/>
    </row>
    <row r="35" spans="1:11">
      <c r="C35" s="3">
        <f>ROUND(D12*E28,0)</f>
        <v>288</v>
      </c>
      <c r="D35" s="3">
        <f>ROUND(D12*(1-E28),0)</f>
        <v>288</v>
      </c>
      <c r="E35" s="9"/>
      <c r="H35" s="3">
        <f>ROUND(H12*(1-E28),0)</f>
        <v>296</v>
      </c>
      <c r="I35" s="3">
        <f>ROUND(H12*E28,0)</f>
        <v>296</v>
      </c>
      <c r="J35" s="9"/>
    </row>
    <row r="36" spans="1:11">
      <c r="A36" t="s">
        <v>40</v>
      </c>
      <c r="C36" s="15">
        <f>C35/1000*C33</f>
        <v>9.6191999999999986E-2</v>
      </c>
      <c r="D36" s="15">
        <f>D35/1000*D33</f>
        <v>7.3497599999999996E-2</v>
      </c>
      <c r="E36" s="16">
        <f>(C36+D36)*C16</f>
        <v>0.15272063999999999</v>
      </c>
      <c r="H36" s="15">
        <f>I35/1000*I33</f>
        <v>9.2943999999999999E-2</v>
      </c>
      <c r="I36" s="15">
        <f>H35/1000*H33</f>
        <v>7.8499199999999991E-2</v>
      </c>
      <c r="J36" s="16">
        <f>(H36+I36)*G16</f>
        <v>0.14572671999999998</v>
      </c>
    </row>
    <row r="37" spans="1:11">
      <c r="C37" s="18"/>
      <c r="D37" s="19"/>
      <c r="E37" s="19"/>
      <c r="F37" s="19"/>
      <c r="G37" s="19"/>
      <c r="H37" s="19"/>
      <c r="I37" s="19"/>
      <c r="J37" s="19"/>
      <c r="K37" s="10"/>
    </row>
    <row r="38" spans="1:11">
      <c r="A38" t="s">
        <v>45</v>
      </c>
      <c r="C38" s="21">
        <f>D14</f>
        <v>4699</v>
      </c>
      <c r="D38" s="19"/>
      <c r="E38" s="19"/>
      <c r="F38" s="19"/>
      <c r="G38" t="s">
        <v>45</v>
      </c>
      <c r="H38" s="22">
        <f>H14</f>
        <v>3460</v>
      </c>
      <c r="I38" s="19"/>
      <c r="J38" s="19"/>
      <c r="K38" s="10"/>
    </row>
    <row r="39" spans="1:11">
      <c r="A39" t="s">
        <v>44</v>
      </c>
      <c r="C39" s="21">
        <f>ROUND(C38*G25,0)</f>
        <v>4699</v>
      </c>
      <c r="D39" s="19"/>
      <c r="E39" s="19"/>
      <c r="F39" s="19"/>
      <c r="G39" t="s">
        <v>44</v>
      </c>
      <c r="H39" s="22">
        <f>ROUND(H38*G25,0)</f>
        <v>3460</v>
      </c>
      <c r="I39" s="19"/>
      <c r="J39" s="19"/>
      <c r="K39" s="10"/>
    </row>
    <row r="40" spans="1:11">
      <c r="A40" t="s">
        <v>46</v>
      </c>
      <c r="C40" s="21">
        <f>C35</f>
        <v>288</v>
      </c>
      <c r="D40" s="19"/>
      <c r="E40" s="19"/>
      <c r="F40" s="19"/>
      <c r="G40" t="s">
        <v>46</v>
      </c>
      <c r="H40" s="22">
        <f>H35</f>
        <v>296</v>
      </c>
      <c r="I40" s="19"/>
      <c r="J40" s="19"/>
      <c r="K40" s="10"/>
    </row>
    <row r="41" spans="1:11">
      <c r="A41" t="s">
        <v>47</v>
      </c>
      <c r="C41" s="21">
        <f>D35</f>
        <v>288</v>
      </c>
      <c r="D41" s="19"/>
      <c r="E41" s="19"/>
      <c r="F41" s="19"/>
      <c r="G41" t="s">
        <v>47</v>
      </c>
      <c r="H41" s="22">
        <f>I35</f>
        <v>296</v>
      </c>
      <c r="I41" s="19"/>
      <c r="J41" s="19"/>
      <c r="K41" s="10"/>
    </row>
    <row r="42" spans="1:11">
      <c r="A42" t="s">
        <v>77</v>
      </c>
      <c r="C42" s="21">
        <f>D13</f>
        <v>1094</v>
      </c>
      <c r="D42" s="19"/>
      <c r="E42" s="19"/>
      <c r="F42" s="19"/>
      <c r="G42" t="s">
        <v>77</v>
      </c>
      <c r="H42" s="22">
        <f>H13</f>
        <v>1410</v>
      </c>
      <c r="I42" s="19"/>
      <c r="J42" s="19"/>
      <c r="K42" s="10"/>
    </row>
    <row r="43" spans="1:11">
      <c r="C43" s="20"/>
      <c r="D43" s="20"/>
      <c r="E43" s="20"/>
      <c r="F43" s="20"/>
      <c r="G43" s="20"/>
      <c r="H43" s="20"/>
      <c r="I43" s="20"/>
      <c r="J43" s="20"/>
    </row>
    <row r="44" spans="1:11">
      <c r="C44" s="20"/>
      <c r="D44" s="20"/>
      <c r="E44" s="20"/>
      <c r="F44" s="20"/>
      <c r="G44" s="20"/>
      <c r="H44" s="20"/>
      <c r="I44" s="20"/>
      <c r="J44" s="20"/>
    </row>
    <row r="45" spans="1:11">
      <c r="E45" s="4"/>
    </row>
    <row r="46" spans="1:11">
      <c r="E46" s="4"/>
    </row>
    <row r="47" spans="1:11">
      <c r="E47" s="4"/>
    </row>
    <row r="48" spans="1:11">
      <c r="E48" s="4"/>
    </row>
    <row r="49" spans="1:26">
      <c r="A49" s="2"/>
      <c r="B49" s="2"/>
      <c r="E49" t="s">
        <v>29</v>
      </c>
    </row>
    <row r="50" spans="1:26">
      <c r="A50" t="s">
        <v>19</v>
      </c>
      <c r="D50">
        <v>65</v>
      </c>
      <c r="E50" s="7">
        <f>D50/100</f>
        <v>0.65</v>
      </c>
    </row>
    <row r="51" spans="1:26">
      <c r="E51" s="9"/>
      <c r="T51" s="9"/>
      <c r="U51" s="9"/>
      <c r="V51" s="9"/>
      <c r="W51" s="9"/>
      <c r="X51" s="9"/>
      <c r="Y51" s="9"/>
      <c r="Z51" s="9"/>
    </row>
    <row r="52" spans="1:26">
      <c r="C52" s="12" t="s">
        <v>30</v>
      </c>
      <c r="E52" s="9"/>
      <c r="M52" s="12" t="s">
        <v>31</v>
      </c>
      <c r="T52" s="9"/>
      <c r="U52" s="9"/>
      <c r="V52" s="9"/>
      <c r="W52" s="9"/>
      <c r="X52" s="9"/>
      <c r="Y52" s="9"/>
      <c r="Z52" s="9"/>
    </row>
    <row r="53" spans="1:26">
      <c r="E53" s="9"/>
      <c r="X53" s="9"/>
      <c r="Y53" s="9"/>
      <c r="Z53" s="9"/>
    </row>
    <row r="54" spans="1:26">
      <c r="C54" t="s">
        <v>21</v>
      </c>
      <c r="E54" s="9"/>
      <c r="H54" t="s">
        <v>22</v>
      </c>
      <c r="M54" t="s">
        <v>21</v>
      </c>
      <c r="Q54" t="s">
        <v>22</v>
      </c>
      <c r="X54" s="9"/>
      <c r="Y54" s="9"/>
      <c r="Z54" s="9"/>
    </row>
    <row r="55" spans="1:26">
      <c r="C55" t="s">
        <v>13</v>
      </c>
      <c r="D55" t="s">
        <v>14</v>
      </c>
      <c r="E55" s="9"/>
      <c r="H55" t="s">
        <v>13</v>
      </c>
      <c r="I55" t="s">
        <v>14</v>
      </c>
      <c r="M55" t="s">
        <v>13</v>
      </c>
      <c r="N55" t="s">
        <v>14</v>
      </c>
      <c r="Q55" t="s">
        <v>13</v>
      </c>
      <c r="R55" t="s">
        <v>14</v>
      </c>
      <c r="X55" s="9"/>
      <c r="Y55" s="9"/>
      <c r="Z55" s="9"/>
    </row>
    <row r="56" spans="1:26">
      <c r="A56" t="s">
        <v>17</v>
      </c>
      <c r="C56" s="3">
        <f>[1]AI!$B$2</f>
        <v>16</v>
      </c>
      <c r="D56" s="3">
        <f>[1]AI!$D$2</f>
        <v>2</v>
      </c>
      <c r="E56" s="9"/>
      <c r="F56" t="s">
        <v>17</v>
      </c>
      <c r="H56" s="3">
        <f>[1]AI!$B$3</f>
        <v>2</v>
      </c>
      <c r="I56" s="3">
        <f>[1]AI!$D$3</f>
        <v>16</v>
      </c>
      <c r="M56" s="3">
        <f>[1]AI!$B$2</f>
        <v>16</v>
      </c>
      <c r="N56" s="3">
        <f>[1]AI!$D$2</f>
        <v>2</v>
      </c>
      <c r="O56" t="s">
        <v>17</v>
      </c>
      <c r="Q56" s="3">
        <f>[1]AI!$B$3</f>
        <v>2</v>
      </c>
      <c r="R56" s="3">
        <f>[1]AI!$D$3</f>
        <v>16</v>
      </c>
      <c r="X56" s="9"/>
      <c r="Y56" s="9"/>
      <c r="Z56" s="9"/>
    </row>
    <row r="57" spans="1:26">
      <c r="A57" t="s">
        <v>18</v>
      </c>
      <c r="B57" s="2">
        <v>0.45</v>
      </c>
      <c r="C57" s="6">
        <f>($B$26-1)*$C$25+C56/100</f>
        <v>0.45399999999999996</v>
      </c>
      <c r="D57" s="6">
        <f>($B$26-1)*$C$25*(B57)+D56/100</f>
        <v>0.15229999999999999</v>
      </c>
      <c r="E57" s="13"/>
      <c r="F57" t="s">
        <v>18</v>
      </c>
      <c r="G57" s="2">
        <v>0.45</v>
      </c>
      <c r="H57" s="6">
        <f>($B$26-1)*$C$25*(G57)+H56/100</f>
        <v>0.15229999999999999</v>
      </c>
      <c r="I57" s="8">
        <f>($B$26-1)*$C$25+I56/100</f>
        <v>0.45399999999999996</v>
      </c>
      <c r="L57" s="2">
        <v>0.45</v>
      </c>
      <c r="M57" s="6">
        <f>($B$26-1)*$C$25+M56/100</f>
        <v>0.45399999999999996</v>
      </c>
      <c r="N57" s="6">
        <f>($B$26-1)*$C$25*(L57)+N56/100</f>
        <v>0.15229999999999999</v>
      </c>
      <c r="O57" t="s">
        <v>18</v>
      </c>
      <c r="P57" s="2">
        <v>0.45</v>
      </c>
      <c r="Q57" s="6">
        <f>($B$26-1)*$C$25*(P57)+Q56/100</f>
        <v>0.15229999999999999</v>
      </c>
      <c r="R57" s="8">
        <f>($B$26-1)*$C$25+R56/100</f>
        <v>0.45399999999999996</v>
      </c>
      <c r="X57" s="9"/>
      <c r="Y57" s="9"/>
      <c r="Z57" s="9"/>
    </row>
    <row r="58" spans="1:26">
      <c r="C58" t="s">
        <v>32</v>
      </c>
      <c r="D58" t="s">
        <v>33</v>
      </c>
      <c r="E58" s="9"/>
      <c r="H58" t="s">
        <v>38</v>
      </c>
      <c r="I58" t="s">
        <v>37</v>
      </c>
      <c r="M58" t="s">
        <v>35</v>
      </c>
      <c r="N58" t="s">
        <v>36</v>
      </c>
      <c r="Q58" t="s">
        <v>35</v>
      </c>
      <c r="R58" t="s">
        <v>36</v>
      </c>
      <c r="X58" s="9"/>
      <c r="Y58" s="9"/>
      <c r="Z58" s="9"/>
    </row>
    <row r="59" spans="1:26">
      <c r="C59" s="3">
        <f>ROUND(L12*E50,0)</f>
        <v>847</v>
      </c>
      <c r="D59" s="3">
        <f>ROUND(L12*(1-E50),0)</f>
        <v>456</v>
      </c>
      <c r="E59" s="9"/>
      <c r="H59" s="3">
        <f>ROUND(L12*(1-E50),0)</f>
        <v>456</v>
      </c>
      <c r="I59" s="3">
        <f>ROUND(L12*$E$50,0)</f>
        <v>847</v>
      </c>
      <c r="M59" s="3">
        <f>ROUND(P12*$E$50,0)</f>
        <v>615</v>
      </c>
      <c r="N59" s="3">
        <f>ROUND(P12*(1-$E$50),0)</f>
        <v>331</v>
      </c>
      <c r="Q59" s="3">
        <f>ROUND(P12*(1-$E$50),0)</f>
        <v>331</v>
      </c>
      <c r="R59" s="3">
        <f>ROUND(P12*$E$50,0)</f>
        <v>615</v>
      </c>
      <c r="X59" s="9"/>
      <c r="Y59" s="9"/>
      <c r="Z59" s="9"/>
    </row>
    <row r="60" spans="1:26">
      <c r="A60" t="s">
        <v>40</v>
      </c>
      <c r="C60" s="15">
        <f>C59/1000*C57</f>
        <v>0.38453799999999994</v>
      </c>
      <c r="D60" s="15">
        <f>D59/1000*D57</f>
        <v>6.9448800000000005E-2</v>
      </c>
      <c r="E60" s="16">
        <f>(C60+D60)*K16</f>
        <v>0.54478415999999985</v>
      </c>
      <c r="F60" s="9"/>
      <c r="G60" s="9"/>
      <c r="H60" s="15">
        <f>H59/1000*H57</f>
        <v>6.9448800000000005E-2</v>
      </c>
      <c r="I60" s="15">
        <f>I59/1000*I57</f>
        <v>0.38453799999999994</v>
      </c>
      <c r="J60" s="16">
        <f>(I60+H60)*K16</f>
        <v>0.54478415999999985</v>
      </c>
      <c r="K60" s="9"/>
      <c r="L60" s="9"/>
      <c r="M60" s="15">
        <f>M59/1000*M57</f>
        <v>0.27920999999999996</v>
      </c>
      <c r="N60" s="15">
        <f>N59/1000*N57</f>
        <v>5.0411299999999999E-2</v>
      </c>
      <c r="O60" s="16">
        <f>(M60+N60)*O16</f>
        <v>0.52739407999999999</v>
      </c>
      <c r="P60" s="9"/>
      <c r="Q60" s="15">
        <f>Q59/1000*Q57</f>
        <v>5.0411299999999999E-2</v>
      </c>
      <c r="R60" s="15">
        <f>R59/1000*R57</f>
        <v>0.27920999999999996</v>
      </c>
      <c r="S60" s="16">
        <f>(R60+Q60)*O16</f>
        <v>0.52739407999999999</v>
      </c>
      <c r="X60" s="9"/>
      <c r="Y60" s="9"/>
      <c r="Z60" s="9"/>
    </row>
    <row r="61" spans="1:26">
      <c r="E61" s="4"/>
      <c r="J61" s="9"/>
      <c r="K61" s="9"/>
      <c r="N61" s="9"/>
      <c r="O61" s="9"/>
      <c r="P61" s="9"/>
      <c r="Q61" s="9"/>
      <c r="R61" s="9"/>
      <c r="S61" s="9"/>
      <c r="X61" s="9"/>
      <c r="Y61" s="9"/>
      <c r="Z61" s="9"/>
    </row>
    <row r="62" spans="1:26">
      <c r="A62" t="s">
        <v>45</v>
      </c>
      <c r="C62" s="17">
        <f>L14</f>
        <v>1958</v>
      </c>
      <c r="E62" s="4"/>
      <c r="G62" t="s">
        <v>45</v>
      </c>
      <c r="H62" s="17">
        <f>L14</f>
        <v>1958</v>
      </c>
      <c r="J62" s="9"/>
      <c r="K62" s="9"/>
      <c r="L62" t="s">
        <v>45</v>
      </c>
      <c r="M62" s="17">
        <f>P14</f>
        <v>2136</v>
      </c>
      <c r="N62" s="9"/>
      <c r="O62" s="9"/>
      <c r="P62" t="s">
        <v>45</v>
      </c>
      <c r="Q62" s="17">
        <f>P14</f>
        <v>2136</v>
      </c>
      <c r="R62" s="9"/>
      <c r="S62" s="9"/>
      <c r="X62" s="9"/>
      <c r="Y62" s="9"/>
      <c r="Z62" s="9"/>
    </row>
    <row r="63" spans="1:26">
      <c r="A63" t="s">
        <v>44</v>
      </c>
      <c r="C63" s="17">
        <f>ROUND(C62*G25,0)</f>
        <v>1958</v>
      </c>
      <c r="E63" s="4"/>
      <c r="G63" t="s">
        <v>44</v>
      </c>
      <c r="H63" s="17">
        <f>ROUND(H62*G25,0)</f>
        <v>1958</v>
      </c>
      <c r="J63" s="9"/>
      <c r="K63" s="9"/>
      <c r="L63" t="s">
        <v>44</v>
      </c>
      <c r="M63" s="17">
        <f>ROUND(L14*G25,0)</f>
        <v>1958</v>
      </c>
      <c r="N63" s="9"/>
      <c r="O63" s="9"/>
      <c r="P63" t="s">
        <v>44</v>
      </c>
      <c r="Q63" s="17">
        <f>ROUND(T14*G25,0)</f>
        <v>3060</v>
      </c>
      <c r="R63" s="9"/>
      <c r="S63" s="9"/>
      <c r="X63" s="9"/>
      <c r="Y63" s="9"/>
      <c r="Z63" s="9"/>
    </row>
    <row r="64" spans="1:26">
      <c r="A64" t="s">
        <v>46</v>
      </c>
      <c r="C64" s="17">
        <f>ROUND(C59*J25,0)</f>
        <v>847</v>
      </c>
      <c r="E64" s="4"/>
      <c r="G64" t="s">
        <v>46</v>
      </c>
      <c r="H64" s="17">
        <f>ROUND(H59*J25,0)</f>
        <v>456</v>
      </c>
      <c r="J64" s="9"/>
      <c r="K64" s="9"/>
      <c r="L64" t="s">
        <v>46</v>
      </c>
      <c r="M64" s="17">
        <f>ROUND(M59*J25,0)</f>
        <v>615</v>
      </c>
      <c r="N64" s="9"/>
      <c r="O64" s="9"/>
      <c r="P64" t="s">
        <v>46</v>
      </c>
      <c r="Q64" s="17">
        <f>ROUND(Q59*J25,0)</f>
        <v>331</v>
      </c>
      <c r="R64" s="9"/>
      <c r="S64" s="9"/>
      <c r="X64" s="9"/>
      <c r="Y64" s="9"/>
      <c r="Z64" s="9"/>
    </row>
    <row r="65" spans="1:44">
      <c r="A65" t="s">
        <v>47</v>
      </c>
      <c r="C65" s="17">
        <f>ROUND(D59*M25,0)</f>
        <v>456</v>
      </c>
      <c r="E65" s="4"/>
      <c r="G65" t="s">
        <v>47</v>
      </c>
      <c r="H65" s="17">
        <f>ROUND(I59*M25,0)</f>
        <v>847</v>
      </c>
      <c r="J65" s="9"/>
      <c r="K65" s="9"/>
      <c r="L65" t="s">
        <v>47</v>
      </c>
      <c r="M65" s="17">
        <f>ROUND(N59*M25,0)</f>
        <v>331</v>
      </c>
      <c r="N65" s="9"/>
      <c r="O65" s="9"/>
      <c r="P65" t="s">
        <v>47</v>
      </c>
      <c r="Q65" s="17">
        <f>ROUND(R59*M25,0)</f>
        <v>615</v>
      </c>
      <c r="R65" s="9"/>
      <c r="S65" s="9"/>
      <c r="T65" s="9"/>
      <c r="U65" s="9"/>
      <c r="V65" s="9"/>
      <c r="W65" s="9"/>
      <c r="X65" s="9"/>
      <c r="Y65" s="9"/>
      <c r="Z65" s="9"/>
    </row>
    <row r="66" spans="1:44">
      <c r="A66" t="s">
        <v>77</v>
      </c>
      <c r="E66" s="4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44">
      <c r="B67" s="9"/>
      <c r="C67" s="9"/>
      <c r="D67" s="9"/>
      <c r="E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44">
      <c r="C68">
        <v>50</v>
      </c>
      <c r="D68" s="7">
        <f>C68/100</f>
        <v>0.5</v>
      </c>
      <c r="E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44">
      <c r="E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44" ht="14.25" thickBot="1">
      <c r="E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44">
      <c r="B71" s="26"/>
      <c r="C71" s="27"/>
      <c r="D71" s="27"/>
      <c r="E71" s="42"/>
      <c r="F71" s="28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44">
      <c r="B72" s="29"/>
      <c r="C72" s="35" t="s">
        <v>51</v>
      </c>
      <c r="D72" s="35"/>
      <c r="E72" s="35"/>
      <c r="F72" s="31"/>
      <c r="J72" s="9"/>
      <c r="K72" s="9"/>
      <c r="L72" s="9"/>
      <c r="M72" s="9"/>
      <c r="N72" s="9"/>
      <c r="O72" s="9"/>
      <c r="P72" s="9"/>
      <c r="Q72" s="9"/>
      <c r="R72" s="9"/>
      <c r="S72" s="9"/>
    </row>
    <row r="73" spans="1:44">
      <c r="B73" s="34"/>
      <c r="C73" s="35" t="s">
        <v>52</v>
      </c>
      <c r="D73" s="35" t="s">
        <v>53</v>
      </c>
      <c r="E73" s="35"/>
      <c r="F73" s="31"/>
      <c r="J73" s="9"/>
      <c r="K73" s="9"/>
      <c r="L73" s="9"/>
      <c r="M73" s="9"/>
      <c r="N73" s="9"/>
      <c r="O73" s="9"/>
      <c r="P73" s="9"/>
      <c r="Q73" s="9"/>
      <c r="R73" s="9"/>
      <c r="S73" s="9"/>
    </row>
    <row r="74" spans="1:44">
      <c r="B74" s="34"/>
      <c r="C74" s="35">
        <v>8</v>
      </c>
      <c r="D74" s="35">
        <v>10</v>
      </c>
      <c r="E74" s="35"/>
      <c r="F74" s="31"/>
      <c r="J74" s="9"/>
      <c r="K74" s="9"/>
      <c r="L74" s="9"/>
      <c r="M74" s="9"/>
      <c r="N74" s="9"/>
      <c r="O74" s="9"/>
      <c r="P74" s="9"/>
      <c r="Q74" s="9"/>
      <c r="R74" s="9"/>
      <c r="S74" s="9"/>
    </row>
    <row r="75" spans="1:44">
      <c r="B75" s="37">
        <v>0.5</v>
      </c>
      <c r="C75" s="43">
        <f>($B$26-1)*$C$25*(B75)+C74/100</f>
        <v>0.22699999999999998</v>
      </c>
      <c r="D75" s="44">
        <f>($B$26-1)*$C$25+D74/100</f>
        <v>0.39400000000000002</v>
      </c>
      <c r="E75" s="35"/>
      <c r="F75" s="31"/>
      <c r="J75" s="9"/>
      <c r="K75" s="9"/>
      <c r="L75" s="9"/>
      <c r="M75" s="9"/>
      <c r="N75" s="9"/>
      <c r="O75" s="9"/>
      <c r="P75" s="9"/>
      <c r="Q75" s="9"/>
      <c r="R75" s="9"/>
      <c r="S75" s="9"/>
    </row>
    <row r="76" spans="1:44">
      <c r="B76" s="34"/>
      <c r="C76" s="35" t="s">
        <v>54</v>
      </c>
      <c r="D76" s="35" t="s">
        <v>55</v>
      </c>
      <c r="E76" s="35"/>
      <c r="F76" s="31"/>
      <c r="J76" s="9"/>
      <c r="K76" s="9"/>
      <c r="L76" s="9"/>
      <c r="M76" s="9"/>
      <c r="N76" s="9"/>
      <c r="O76" s="9"/>
      <c r="P76" s="9"/>
      <c r="Q76" s="9"/>
      <c r="R76" s="9"/>
      <c r="S76" s="9"/>
    </row>
    <row r="77" spans="1:44">
      <c r="B77" s="34"/>
      <c r="C77" s="35">
        <f>ROUND(T12*D68,0)</f>
        <v>442</v>
      </c>
      <c r="D77" s="35">
        <f>ROUND((1-D68)*T12,0)</f>
        <v>442</v>
      </c>
      <c r="E77" s="35"/>
      <c r="F77" s="31"/>
      <c r="J77" s="9"/>
      <c r="K77" s="9"/>
      <c r="L77" s="9"/>
      <c r="M77" s="9"/>
      <c r="N77" s="9"/>
      <c r="O77" s="9"/>
      <c r="P77" s="9"/>
      <c r="Q77" s="9"/>
      <c r="R77" s="9"/>
      <c r="S77" s="9"/>
    </row>
    <row r="78" spans="1:44">
      <c r="B78" s="34"/>
      <c r="C78" s="45">
        <f>C77/1000*C75</f>
        <v>0.10033399999999999</v>
      </c>
      <c r="D78" s="45">
        <f>D77/1000*D75</f>
        <v>0.174148</v>
      </c>
      <c r="E78" s="47">
        <f>C78+D78</f>
        <v>0.274482</v>
      </c>
      <c r="F78" s="31"/>
      <c r="G78" t="s">
        <v>105</v>
      </c>
      <c r="J78" s="9"/>
      <c r="K78" s="9"/>
      <c r="L78" s="9"/>
      <c r="M78" s="9"/>
      <c r="N78" s="9"/>
      <c r="O78" s="9"/>
      <c r="P78" s="9"/>
      <c r="Q78" s="9"/>
      <c r="R78" s="9"/>
      <c r="S78" s="9"/>
    </row>
    <row r="79" spans="1:44">
      <c r="B79" s="34"/>
      <c r="C79" s="35"/>
      <c r="D79" s="35"/>
      <c r="E79" s="35"/>
      <c r="F79" s="31"/>
      <c r="J79" s="9"/>
      <c r="K79" s="9"/>
      <c r="L79" s="9"/>
      <c r="M79" s="9"/>
      <c r="N79" s="9"/>
      <c r="O79" s="9"/>
      <c r="P79" s="9"/>
      <c r="Q79" s="9"/>
      <c r="R79" s="9"/>
      <c r="S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</row>
    <row r="80" spans="1:44">
      <c r="A80" t="s">
        <v>78</v>
      </c>
      <c r="B80" s="34"/>
      <c r="C80" s="33">
        <f>T14</f>
        <v>3060</v>
      </c>
      <c r="D80" s="35"/>
      <c r="E80" s="35"/>
      <c r="F80" s="31"/>
      <c r="J80" s="9"/>
      <c r="K80" s="9"/>
      <c r="L80" s="9"/>
      <c r="M80" s="9"/>
      <c r="N80" s="9"/>
      <c r="O80" s="9"/>
      <c r="P80" s="9"/>
      <c r="Q80" s="9"/>
      <c r="R80" s="9"/>
      <c r="S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</row>
    <row r="81" spans="1:44">
      <c r="A81" t="s">
        <v>79</v>
      </c>
      <c r="B81" s="34"/>
      <c r="C81" s="33">
        <f>ROUND(C80*G25,0)</f>
        <v>3060</v>
      </c>
      <c r="D81" s="35"/>
      <c r="E81" s="35"/>
      <c r="F81" s="31"/>
      <c r="J81" s="9"/>
      <c r="K81" s="9"/>
      <c r="L81" s="9"/>
      <c r="M81" s="9"/>
      <c r="N81" s="9"/>
      <c r="O81" s="9"/>
      <c r="P81" s="9"/>
      <c r="Q81" s="9"/>
      <c r="R81" s="9"/>
      <c r="S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</row>
    <row r="82" spans="1:44">
      <c r="A82" t="s">
        <v>80</v>
      </c>
      <c r="B82" s="34"/>
      <c r="C82" s="33">
        <f>C77</f>
        <v>442</v>
      </c>
      <c r="D82" s="35"/>
      <c r="E82" s="35"/>
      <c r="F82" s="31"/>
      <c r="J82" s="9"/>
      <c r="K82" s="9"/>
      <c r="L82" s="9"/>
      <c r="M82" s="9"/>
      <c r="N82" s="9"/>
      <c r="O82" s="9"/>
      <c r="P82" s="9"/>
      <c r="Q82" s="9"/>
      <c r="R82" s="9"/>
      <c r="S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</row>
    <row r="83" spans="1:44">
      <c r="A83" t="s">
        <v>81</v>
      </c>
      <c r="B83" s="34"/>
      <c r="C83" s="33">
        <f>D77</f>
        <v>442</v>
      </c>
      <c r="D83" s="35"/>
      <c r="E83" s="35"/>
      <c r="F83" s="31"/>
      <c r="J83" s="9"/>
      <c r="K83" s="9"/>
      <c r="L83" s="9"/>
      <c r="M83" s="9"/>
      <c r="N83" s="9"/>
      <c r="O83" s="9"/>
      <c r="P83" s="9"/>
      <c r="Q83" s="9"/>
      <c r="R83" s="9"/>
      <c r="S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</row>
    <row r="84" spans="1:44">
      <c r="A84" t="s">
        <v>82</v>
      </c>
      <c r="B84" s="29"/>
      <c r="C84" s="33">
        <f>T13</f>
        <v>716</v>
      </c>
      <c r="D84" s="30"/>
      <c r="E84" s="30"/>
      <c r="F84" s="31"/>
      <c r="J84" s="9"/>
      <c r="K84" s="9"/>
      <c r="L84" s="9"/>
      <c r="M84" s="9"/>
      <c r="N84" s="9"/>
      <c r="O84" s="9"/>
      <c r="P84" s="9"/>
      <c r="Q84" s="9"/>
      <c r="R84" s="9"/>
      <c r="S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</row>
    <row r="85" spans="1:44">
      <c r="B85" s="29"/>
      <c r="C85" s="30"/>
      <c r="D85" s="30"/>
      <c r="E85" s="30"/>
      <c r="F85" s="31"/>
      <c r="L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</row>
    <row r="86" spans="1:44" ht="14.25" thickBot="1">
      <c r="B86" s="39"/>
      <c r="C86" s="40"/>
      <c r="D86" s="40"/>
      <c r="E86" s="40"/>
      <c r="F86" s="41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</row>
    <row r="87" spans="1:44">
      <c r="K87" s="23" t="s">
        <v>90</v>
      </c>
      <c r="N87" s="23" t="s">
        <v>2</v>
      </c>
      <c r="Z87" s="9"/>
      <c r="AA87" s="10"/>
      <c r="AB87" s="13"/>
      <c r="AC87" s="13"/>
      <c r="AD87" s="13"/>
      <c r="AE87" s="9"/>
      <c r="AF87" s="10"/>
      <c r="AG87" s="13"/>
      <c r="AH87" s="14"/>
      <c r="AI87" s="9"/>
      <c r="AJ87" s="9"/>
      <c r="AK87" s="10"/>
      <c r="AL87" s="13"/>
      <c r="AM87" s="13"/>
      <c r="AN87" s="9"/>
      <c r="AO87" s="10"/>
      <c r="AP87" s="13"/>
      <c r="AQ87" s="14"/>
      <c r="AR87" s="9"/>
    </row>
    <row r="88" spans="1:44"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</row>
    <row r="89" spans="1:44"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</row>
    <row r="90" spans="1:44"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</row>
    <row r="197" spans="3:3">
      <c r="C197" s="1"/>
    </row>
  </sheetData>
  <phoneticPr fontId="1" type="noConversion"/>
  <hyperlinks>
    <hyperlink ref="N87" location="战斗验证!A1" display="简单战斗模拟"/>
    <hyperlink ref="K87" location="属性拆分方式!A1" display="属性拆分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2</xdr:col>
                    <xdr:colOff>47625</xdr:colOff>
                    <xdr:row>4</xdr:row>
                    <xdr:rowOff>0</xdr:rowOff>
                  </from>
                  <to>
                    <xdr:col>2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croll Bar 2">
              <controlPr defaultSize="0" autoPict="0">
                <anchor moveWithCells="1">
                  <from>
                    <xdr:col>2</xdr:col>
                    <xdr:colOff>47625</xdr:colOff>
                    <xdr:row>6</xdr:row>
                    <xdr:rowOff>0</xdr:rowOff>
                  </from>
                  <to>
                    <xdr:col>2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croll Bar 3">
              <controlPr defaultSize="0" autoPict="0">
                <anchor moveWithCells="1">
                  <from>
                    <xdr:col>2</xdr:col>
                    <xdr:colOff>47625</xdr:colOff>
                    <xdr:row>8</xdr:row>
                    <xdr:rowOff>0</xdr:rowOff>
                  </from>
                  <to>
                    <xdr:col>2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croll Bar 4">
              <controlPr defaultSize="0" autoPict="0">
                <anchor moveWithCells="1">
                  <from>
                    <xdr:col>6</xdr:col>
                    <xdr:colOff>47625</xdr:colOff>
                    <xdr:row>4</xdr:row>
                    <xdr:rowOff>0</xdr:rowOff>
                  </from>
                  <to>
                    <xdr:col>6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croll Bar 5">
              <controlPr defaultSize="0" autoPict="0">
                <anchor moveWithCells="1">
                  <from>
                    <xdr:col>6</xdr:col>
                    <xdr:colOff>47625</xdr:colOff>
                    <xdr:row>6</xdr:row>
                    <xdr:rowOff>0</xdr:rowOff>
                  </from>
                  <to>
                    <xdr:col>6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croll Bar 6">
              <controlPr defaultSize="0" autoPict="0">
                <anchor moveWithCells="1">
                  <from>
                    <xdr:col>6</xdr:col>
                    <xdr:colOff>47625</xdr:colOff>
                    <xdr:row>8</xdr:row>
                    <xdr:rowOff>0</xdr:rowOff>
                  </from>
                  <to>
                    <xdr:col>6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Scroll Bar 7">
              <controlPr defaultSize="0" autoPict="0">
                <anchor moveWithCells="1">
                  <from>
                    <xdr:col>10</xdr:col>
                    <xdr:colOff>47625</xdr:colOff>
                    <xdr:row>4</xdr:row>
                    <xdr:rowOff>0</xdr:rowOff>
                  </from>
                  <to>
                    <xdr:col>10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Scroll Bar 8">
              <controlPr defaultSize="0" autoPict="0">
                <anchor moveWithCells="1">
                  <from>
                    <xdr:col>10</xdr:col>
                    <xdr:colOff>47625</xdr:colOff>
                    <xdr:row>6</xdr:row>
                    <xdr:rowOff>0</xdr:rowOff>
                  </from>
                  <to>
                    <xdr:col>10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Scroll Bar 9">
              <controlPr defaultSize="0" autoPict="0">
                <anchor moveWithCells="1">
                  <from>
                    <xdr:col>10</xdr:col>
                    <xdr:colOff>47625</xdr:colOff>
                    <xdr:row>8</xdr:row>
                    <xdr:rowOff>0</xdr:rowOff>
                  </from>
                  <to>
                    <xdr:col>10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Scroll Bar 10">
              <controlPr defaultSize="0" autoPict="0">
                <anchor moveWithCells="1">
                  <from>
                    <xdr:col>14</xdr:col>
                    <xdr:colOff>47625</xdr:colOff>
                    <xdr:row>4</xdr:row>
                    <xdr:rowOff>0</xdr:rowOff>
                  </from>
                  <to>
                    <xdr:col>14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Scroll Bar 11">
              <controlPr defaultSize="0" autoPict="0">
                <anchor moveWithCells="1">
                  <from>
                    <xdr:col>14</xdr:col>
                    <xdr:colOff>47625</xdr:colOff>
                    <xdr:row>6</xdr:row>
                    <xdr:rowOff>0</xdr:rowOff>
                  </from>
                  <to>
                    <xdr:col>14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Scroll Bar 12">
              <controlPr defaultSize="0" autoPict="0">
                <anchor moveWithCells="1">
                  <from>
                    <xdr:col>14</xdr:col>
                    <xdr:colOff>47625</xdr:colOff>
                    <xdr:row>8</xdr:row>
                    <xdr:rowOff>0</xdr:rowOff>
                  </from>
                  <to>
                    <xdr:col>14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Scroll Bar 13">
              <controlPr defaultSize="0" autoPict="0">
                <anchor moveWithCells="1">
                  <from>
                    <xdr:col>18</xdr:col>
                    <xdr:colOff>47625</xdr:colOff>
                    <xdr:row>4</xdr:row>
                    <xdr:rowOff>0</xdr:rowOff>
                  </from>
                  <to>
                    <xdr:col>18</xdr:col>
                    <xdr:colOff>628650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Scroll Bar 14">
              <controlPr defaultSize="0" autoPict="0">
                <anchor moveWithCells="1">
                  <from>
                    <xdr:col>18</xdr:col>
                    <xdr:colOff>47625</xdr:colOff>
                    <xdr:row>6</xdr:row>
                    <xdr:rowOff>0</xdr:rowOff>
                  </from>
                  <to>
                    <xdr:col>18</xdr:col>
                    <xdr:colOff>628650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Scroll Bar 15">
              <controlPr defaultSize="0" autoPict="0">
                <anchor moveWithCells="1">
                  <from>
                    <xdr:col>18</xdr:col>
                    <xdr:colOff>47625</xdr:colOff>
                    <xdr:row>8</xdr:row>
                    <xdr:rowOff>0</xdr:rowOff>
                  </from>
                  <to>
                    <xdr:col>18</xdr:col>
                    <xdr:colOff>628650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Scroll Bar 16">
              <controlPr defaultSize="0" autoPict="0">
                <anchor moveWithCells="1">
                  <from>
                    <xdr:col>0</xdr:col>
                    <xdr:colOff>47625</xdr:colOff>
                    <xdr:row>24</xdr:row>
                    <xdr:rowOff>0</xdr:rowOff>
                  </from>
                  <to>
                    <xdr:col>1</xdr:col>
                    <xdr:colOff>723900</xdr:colOff>
                    <xdr:row>24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Scroll Bar 17">
              <controlPr defaultSize="0" autoPict="0">
                <anchor moveWithCells="1">
                  <from>
                    <xdr:col>3</xdr:col>
                    <xdr:colOff>19050</xdr:colOff>
                    <xdr:row>49</xdr:row>
                    <xdr:rowOff>28575</xdr:rowOff>
                  </from>
                  <to>
                    <xdr:col>3</xdr:col>
                    <xdr:colOff>676275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Scroll Bar 19">
              <controlPr defaultSize="0" autoPict="0">
                <anchor moveWithCells="1">
                  <from>
                    <xdr:col>3</xdr:col>
                    <xdr:colOff>19050</xdr:colOff>
                    <xdr:row>27</xdr:row>
                    <xdr:rowOff>19050</xdr:rowOff>
                  </from>
                  <to>
                    <xdr:col>3</xdr:col>
                    <xdr:colOff>676275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Scroll Bar 20">
              <controlPr defaultSize="0" autoPict="0">
                <anchor moveWithCells="1">
                  <from>
                    <xdr:col>2</xdr:col>
                    <xdr:colOff>19050</xdr:colOff>
                    <xdr:row>66</xdr:row>
                    <xdr:rowOff>152400</xdr:rowOff>
                  </from>
                  <to>
                    <xdr:col>3</xdr:col>
                    <xdr:colOff>66675</xdr:colOff>
                    <xdr:row>67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6"/>
  <sheetViews>
    <sheetView topLeftCell="B13" zoomScaleNormal="100" workbookViewId="0">
      <selection activeCell="Q38" sqref="Q38"/>
    </sheetView>
  </sheetViews>
  <sheetFormatPr defaultRowHeight="13.5"/>
  <cols>
    <col min="5" max="5" width="12.75" bestFit="1" customWidth="1"/>
    <col min="6" max="7" width="12" customWidth="1"/>
    <col min="8" max="8" width="13" customWidth="1"/>
    <col min="9" max="9" width="9.5" bestFit="1" customWidth="1"/>
    <col min="10" max="10" width="9.5" customWidth="1"/>
    <col min="11" max="11" width="15" bestFit="1" customWidth="1"/>
    <col min="12" max="12" width="13" bestFit="1" customWidth="1"/>
    <col min="13" max="13" width="10.125" customWidth="1"/>
    <col min="14" max="14" width="9.5" bestFit="1" customWidth="1"/>
  </cols>
  <sheetData>
    <row r="1" spans="2:20">
      <c r="T1" s="49"/>
    </row>
    <row r="2" spans="2:20">
      <c r="B2" t="s">
        <v>0</v>
      </c>
      <c r="D2" t="s">
        <v>56</v>
      </c>
      <c r="E2" t="s">
        <v>137</v>
      </c>
      <c r="F2" t="s">
        <v>138</v>
      </c>
      <c r="H2" t="s">
        <v>88</v>
      </c>
      <c r="J2" t="s">
        <v>136</v>
      </c>
      <c r="K2">
        <v>10</v>
      </c>
      <c r="L2" t="s">
        <v>106</v>
      </c>
      <c r="M2">
        <f>[1]属性分配!$E$29/[1]属性分配!$D$29</f>
        <v>1.1110000000000002</v>
      </c>
    </row>
    <row r="3" spans="2:20">
      <c r="C3">
        <v>1</v>
      </c>
      <c r="D3" s="7">
        <v>1</v>
      </c>
      <c r="F3" s="7"/>
      <c r="G3" s="7"/>
      <c r="H3" s="24">
        <f t="shared" ref="H3:H4" si="0">SUM(D3:F3)</f>
        <v>1</v>
      </c>
      <c r="K3">
        <v>15</v>
      </c>
      <c r="L3" t="s">
        <v>107</v>
      </c>
      <c r="M3">
        <f>[1]属性分配!$F$29/[1]属性分配!$D$29</f>
        <v>1.2110000000000003</v>
      </c>
    </row>
    <row r="4" spans="2:20">
      <c r="C4">
        <v>10</v>
      </c>
      <c r="D4" s="7">
        <v>1.1399999999999999</v>
      </c>
      <c r="E4" s="7">
        <f>(D4-$D$3)*(M2)</f>
        <v>0.15553999999999993</v>
      </c>
      <c r="F4" s="46"/>
      <c r="G4" s="46"/>
      <c r="H4" s="24">
        <f t="shared" si="0"/>
        <v>1.2955399999999999</v>
      </c>
      <c r="K4">
        <v>20</v>
      </c>
      <c r="L4" t="s">
        <v>123</v>
      </c>
      <c r="M4">
        <f>[1]属性分配!$G$29/[1]属性分配!$D$29</f>
        <v>1.4392200000000004</v>
      </c>
    </row>
    <row r="5" spans="2:20">
      <c r="C5">
        <v>15</v>
      </c>
      <c r="D5" s="7">
        <v>1.21</v>
      </c>
      <c r="E5" s="7">
        <f t="shared" ref="E5:E11" si="1">(D5-$D$3)*(M3)</f>
        <v>0.25431000000000004</v>
      </c>
      <c r="F5" s="46"/>
      <c r="G5" s="46"/>
      <c r="H5" s="24">
        <f>SUM(D6:F6)</f>
        <v>1.6829816000000002</v>
      </c>
      <c r="K5">
        <v>25</v>
      </c>
      <c r="L5" t="s">
        <v>124</v>
      </c>
      <c r="M5">
        <f>[1]属性分配!$H$29/[1]属性分配!$D$29</f>
        <v>1.6392200000000003</v>
      </c>
    </row>
    <row r="6" spans="2:20">
      <c r="C6">
        <v>20</v>
      </c>
      <c r="D6" s="7">
        <v>1.28</v>
      </c>
      <c r="E6" s="7">
        <f t="shared" si="1"/>
        <v>0.40298160000000016</v>
      </c>
      <c r="F6" s="4">
        <f>$F$4*2+F4</f>
        <v>0</v>
      </c>
      <c r="G6" s="4"/>
      <c r="H6" s="24">
        <f>SUM(D8:F8)</f>
        <v>2.1924723999999998</v>
      </c>
      <c r="K6">
        <v>30</v>
      </c>
      <c r="L6" t="s">
        <v>125</v>
      </c>
      <c r="M6">
        <f>[1]属性分配!$I$29/[1]属性分配!$D$29</f>
        <v>1.8392200000000003</v>
      </c>
    </row>
    <row r="7" spans="2:20">
      <c r="C7">
        <v>25</v>
      </c>
      <c r="D7" s="7">
        <v>1.35</v>
      </c>
      <c r="E7" s="7">
        <f t="shared" si="1"/>
        <v>0.57372700000000032</v>
      </c>
      <c r="F7" s="4"/>
      <c r="G7" s="4"/>
      <c r="H7" s="24">
        <f>SUM(D10:F10)</f>
        <v>2.9619020960000002</v>
      </c>
      <c r="K7">
        <v>35</v>
      </c>
      <c r="L7" t="s">
        <v>126</v>
      </c>
      <c r="M7">
        <f>[1]属性分配!$J$29/[1]属性分配!$D$29</f>
        <v>2.2033966000000005</v>
      </c>
    </row>
    <row r="8" spans="2:20">
      <c r="C8">
        <v>30</v>
      </c>
      <c r="D8" s="7">
        <v>1.42</v>
      </c>
      <c r="E8" s="7">
        <f t="shared" si="1"/>
        <v>0.77247239999999995</v>
      </c>
      <c r="F8" s="4">
        <f>$F$4*2+F6</f>
        <v>0</v>
      </c>
      <c r="G8" s="4"/>
      <c r="H8" s="24">
        <f t="shared" ref="H8:H13" si="2">SUM(D12:F12)</f>
        <v>3.9423776200000002</v>
      </c>
      <c r="K8">
        <v>40</v>
      </c>
      <c r="L8" t="s">
        <v>127</v>
      </c>
      <c r="M8">
        <f>[1]属性分配!$K$29/[1]属性分配!$D$29</f>
        <v>2.5033966000000003</v>
      </c>
    </row>
    <row r="9" spans="2:20">
      <c r="C9">
        <v>35</v>
      </c>
      <c r="D9" s="7">
        <v>1.49</v>
      </c>
      <c r="E9" s="7">
        <f t="shared" si="1"/>
        <v>1.0796643340000003</v>
      </c>
      <c r="F9" s="4"/>
      <c r="G9" s="4"/>
      <c r="H9" s="24">
        <f t="shared" si="2"/>
        <v>1.84</v>
      </c>
      <c r="K9">
        <v>45</v>
      </c>
      <c r="L9" t="s">
        <v>128</v>
      </c>
      <c r="M9">
        <f>[1]属性分配!$L$29/[1]属性分配!$D$29</f>
        <v>2.8033966000000001</v>
      </c>
    </row>
    <row r="10" spans="2:20">
      <c r="C10">
        <v>40</v>
      </c>
      <c r="D10" s="7">
        <v>1.56</v>
      </c>
      <c r="E10" s="7">
        <f t="shared" si="1"/>
        <v>1.4019020960000004</v>
      </c>
      <c r="F10" s="4">
        <f t="shared" ref="F10" si="3">$F$4*2+F8</f>
        <v>0</v>
      </c>
      <c r="G10" s="4"/>
      <c r="H10" s="24">
        <f t="shared" si="2"/>
        <v>1.98</v>
      </c>
      <c r="K10">
        <v>50</v>
      </c>
      <c r="L10" t="s">
        <v>129</v>
      </c>
      <c r="M10">
        <f>[1]属性分配!$M$29/[1]属性分配!$D$29</f>
        <v>3.2033966</v>
      </c>
    </row>
    <row r="11" spans="2:20">
      <c r="C11">
        <v>45</v>
      </c>
      <c r="D11" s="7">
        <v>1.63</v>
      </c>
      <c r="E11" s="7">
        <f t="shared" si="1"/>
        <v>1.7661398579999998</v>
      </c>
      <c r="F11" s="4"/>
      <c r="G11" s="4"/>
      <c r="H11" s="24">
        <f t="shared" si="2"/>
        <v>2.12</v>
      </c>
      <c r="K11" s="48">
        <v>55</v>
      </c>
      <c r="L11" s="48" t="s">
        <v>130</v>
      </c>
      <c r="M11">
        <f>[1]属性分配!$N$29/[1]属性分配!$D$29</f>
        <v>3.7475324640000003</v>
      </c>
    </row>
    <row r="12" spans="2:20">
      <c r="C12">
        <v>50</v>
      </c>
      <c r="D12" s="7">
        <v>1.7</v>
      </c>
      <c r="E12" s="7">
        <f>(D12-$D$3)*(M10)</f>
        <v>2.2423776200000001</v>
      </c>
      <c r="F12" s="4">
        <f>$F$4*2+F10</f>
        <v>0</v>
      </c>
      <c r="G12" s="4"/>
      <c r="H12" s="24">
        <f t="shared" si="2"/>
        <v>2.2599999999999998</v>
      </c>
      <c r="K12" s="48">
        <v>60</v>
      </c>
      <c r="L12" s="48" t="s">
        <v>131</v>
      </c>
      <c r="M12">
        <f>[1]属性分配!$O$29/[1]属性分配!$D$29</f>
        <v>4.1475324640000002</v>
      </c>
    </row>
    <row r="13" spans="2:20">
      <c r="C13">
        <v>60</v>
      </c>
      <c r="D13" s="7">
        <v>1.84</v>
      </c>
      <c r="E13" s="7"/>
      <c r="F13" s="4">
        <f t="shared" ref="F13:F17" si="4">$F$4*2+F12</f>
        <v>0</v>
      </c>
      <c r="G13" s="4"/>
      <c r="H13" s="24">
        <f t="shared" si="2"/>
        <v>2.4</v>
      </c>
      <c r="K13" s="48">
        <v>65</v>
      </c>
      <c r="L13" s="48" t="s">
        <v>132</v>
      </c>
      <c r="M13">
        <f>[1]属性分配!$P$29/[1]属性分配!$D$29</f>
        <v>4.5475324640000006</v>
      </c>
    </row>
    <row r="14" spans="2:20">
      <c r="C14">
        <v>70</v>
      </c>
      <c r="D14" s="7">
        <v>1.98</v>
      </c>
      <c r="E14" s="7"/>
      <c r="F14" s="4">
        <f t="shared" si="4"/>
        <v>0</v>
      </c>
      <c r="G14" s="4"/>
      <c r="H14" s="24"/>
      <c r="K14" s="48">
        <v>70</v>
      </c>
      <c r="L14" s="48" t="s">
        <v>133</v>
      </c>
      <c r="M14">
        <f>[1]属性分配!$Q$29/[1]属性分配!$D$29</f>
        <v>4.9475324640000009</v>
      </c>
    </row>
    <row r="15" spans="2:20">
      <c r="C15">
        <v>80</v>
      </c>
      <c r="D15" s="7">
        <v>2.12</v>
      </c>
      <c r="E15" s="7"/>
      <c r="F15" s="4">
        <f t="shared" si="4"/>
        <v>0</v>
      </c>
      <c r="G15" s="4"/>
      <c r="H15" s="24"/>
      <c r="K15" s="48">
        <v>75</v>
      </c>
      <c r="L15" s="48" t="s">
        <v>134</v>
      </c>
      <c r="M15">
        <f>[1]属性分配!$R$29/[1]属性分配!$D$29</f>
        <v>5.3475324640000013</v>
      </c>
    </row>
    <row r="16" spans="2:20">
      <c r="C16">
        <v>90</v>
      </c>
      <c r="D16" s="7">
        <v>2.2599999999999998</v>
      </c>
      <c r="E16" s="7"/>
      <c r="F16" s="4">
        <f t="shared" si="4"/>
        <v>0</v>
      </c>
      <c r="G16" s="4"/>
      <c r="H16" s="1"/>
      <c r="K16" s="48">
        <v>80</v>
      </c>
      <c r="L16" s="48" t="s">
        <v>135</v>
      </c>
      <c r="M16">
        <f>[1]属性分配!$S$29/[1]属性分配!$D$29</f>
        <v>6.1399090872000013</v>
      </c>
    </row>
    <row r="17" spans="1:14">
      <c r="C17">
        <v>100</v>
      </c>
      <c r="D17" s="7">
        <v>2.4</v>
      </c>
      <c r="E17" s="7"/>
      <c r="F17" s="4">
        <f t="shared" si="4"/>
        <v>0</v>
      </c>
      <c r="G17" s="4"/>
      <c r="H17" s="1"/>
      <c r="I17" s="1"/>
      <c r="J17" s="4"/>
      <c r="L17" s="4"/>
    </row>
    <row r="18" spans="1:14">
      <c r="D18" s="7"/>
      <c r="E18" s="4"/>
      <c r="F18" s="46"/>
      <c r="G18" s="46"/>
      <c r="H18" s="1"/>
      <c r="I18" s="1"/>
      <c r="J18" s="4"/>
      <c r="L18" s="4"/>
    </row>
    <row r="19" spans="1:14">
      <c r="D19" s="7"/>
      <c r="E19" s="46"/>
      <c r="F19" s="46"/>
      <c r="G19" s="46"/>
      <c r="I19" t="s">
        <v>99</v>
      </c>
      <c r="J19" s="4" t="s">
        <v>100</v>
      </c>
    </row>
    <row r="20" spans="1:14">
      <c r="D20" s="1"/>
      <c r="E20" s="1"/>
      <c r="F20" s="1"/>
      <c r="G20" s="1"/>
      <c r="I20" s="3">
        <f>职业调整模型!C81</f>
        <v>3060</v>
      </c>
      <c r="J20" s="3">
        <f>ROUND($D$3/$H$8*I20,0)</f>
        <v>776</v>
      </c>
    </row>
    <row r="21" spans="1:14">
      <c r="D21" s="1"/>
      <c r="E21" s="1"/>
      <c r="F21" s="1"/>
      <c r="G21" s="1"/>
      <c r="I21" s="3">
        <f>职业调整模型!C82</f>
        <v>442</v>
      </c>
      <c r="J21" s="3">
        <f>ROUND($D$3/$H$8*I21,0)</f>
        <v>112</v>
      </c>
    </row>
    <row r="22" spans="1:14">
      <c r="D22" s="1"/>
      <c r="E22" s="1"/>
      <c r="F22" s="1"/>
      <c r="G22" s="1"/>
      <c r="I22" s="3">
        <f>职业调整模型!C83</f>
        <v>442</v>
      </c>
      <c r="J22" s="3">
        <f>ROUND($D$3/$H$8*I22,0)</f>
        <v>112</v>
      </c>
    </row>
    <row r="23" spans="1:14">
      <c r="B23" t="s">
        <v>87</v>
      </c>
      <c r="C23" s="23" t="s">
        <v>86</v>
      </c>
      <c r="I23" s="3">
        <f>职业调整模型!C84</f>
        <v>716</v>
      </c>
      <c r="J23" s="3">
        <f>ROUND($D$3/$H$8*I23,0)</f>
        <v>182</v>
      </c>
    </row>
    <row r="24" spans="1:14">
      <c r="A24" t="s">
        <v>83</v>
      </c>
    </row>
    <row r="26" spans="1:14">
      <c r="A26" t="s">
        <v>84</v>
      </c>
      <c r="B26" t="s">
        <v>85</v>
      </c>
      <c r="C26" t="s">
        <v>79</v>
      </c>
      <c r="D26" t="s">
        <v>80</v>
      </c>
      <c r="E26" t="s">
        <v>81</v>
      </c>
      <c r="F26" t="s">
        <v>89</v>
      </c>
      <c r="G26" t="s">
        <v>265</v>
      </c>
    </row>
    <row r="27" spans="1:14">
      <c r="B27">
        <v>1</v>
      </c>
      <c r="C27" s="3">
        <f>J20</f>
        <v>776</v>
      </c>
      <c r="D27" s="3">
        <f>J21</f>
        <v>112</v>
      </c>
      <c r="E27" s="3">
        <f>J22</f>
        <v>112</v>
      </c>
      <c r="F27" s="3">
        <f>J23</f>
        <v>182</v>
      </c>
      <c r="G27" s="3"/>
    </row>
    <row r="28" spans="1:14">
      <c r="B28">
        <v>2</v>
      </c>
      <c r="C28" s="3">
        <f>ROUND((C$36-C$27)/9*($B28-1)+C$27,0)</f>
        <v>788</v>
      </c>
      <c r="D28" s="3">
        <f t="shared" ref="D28:F28" si="5">ROUND((D$36-D$27)/9*($B28-1)+D$27,0)</f>
        <v>114</v>
      </c>
      <c r="E28" s="3">
        <f t="shared" si="5"/>
        <v>114</v>
      </c>
      <c r="F28" s="3">
        <f t="shared" si="5"/>
        <v>185</v>
      </c>
      <c r="G28" s="3"/>
    </row>
    <row r="29" spans="1:14">
      <c r="B29">
        <v>3</v>
      </c>
      <c r="C29" s="3">
        <f t="shared" ref="C29:F35" si="6">ROUND((C$36-C$27)/9*($B29-1)+C$27,0)</f>
        <v>800</v>
      </c>
      <c r="D29" s="3">
        <f t="shared" si="6"/>
        <v>116</v>
      </c>
      <c r="E29" s="3">
        <f t="shared" si="6"/>
        <v>116</v>
      </c>
      <c r="F29" s="3">
        <f t="shared" si="6"/>
        <v>188</v>
      </c>
      <c r="G29" s="3"/>
      <c r="I29" t="s">
        <v>98</v>
      </c>
      <c r="J29" t="s">
        <v>101</v>
      </c>
      <c r="K29" t="s">
        <v>102</v>
      </c>
      <c r="L29" t="s">
        <v>103</v>
      </c>
      <c r="M29" t="s">
        <v>104</v>
      </c>
    </row>
    <row r="30" spans="1:14">
      <c r="B30">
        <v>4</v>
      </c>
      <c r="C30" s="3">
        <f t="shared" si="6"/>
        <v>812</v>
      </c>
      <c r="D30" s="3">
        <f t="shared" si="6"/>
        <v>117</v>
      </c>
      <c r="E30" s="3">
        <f t="shared" si="6"/>
        <v>117</v>
      </c>
      <c r="F30" s="3">
        <f t="shared" si="6"/>
        <v>190</v>
      </c>
      <c r="G30" s="3"/>
    </row>
    <row r="31" spans="1:14">
      <c r="B31">
        <v>5</v>
      </c>
      <c r="C31" s="3">
        <f t="shared" si="6"/>
        <v>824</v>
      </c>
      <c r="D31" s="3">
        <f>ROUND((D$36-D$27)/9*($B31-1)+D$27,0)</f>
        <v>119</v>
      </c>
      <c r="E31" s="3">
        <f t="shared" si="6"/>
        <v>119</v>
      </c>
      <c r="F31" s="3">
        <f t="shared" si="6"/>
        <v>193</v>
      </c>
      <c r="G31" s="3"/>
      <c r="H31" t="s">
        <v>91</v>
      </c>
      <c r="I31">
        <v>1</v>
      </c>
      <c r="J31" s="3">
        <f>ROUNDDOWN($E4*C$27,0)</f>
        <v>120</v>
      </c>
      <c r="K31" s="3">
        <f>ROUNDDOWN($E4*D$27,0)</f>
        <v>17</v>
      </c>
      <c r="L31" s="3">
        <f>ROUNDDOWN($E4*E$27,0)</f>
        <v>17</v>
      </c>
      <c r="M31" s="3">
        <f>ROUNDDOWN($E4*F$27,0)</f>
        <v>28</v>
      </c>
      <c r="N31" t="s">
        <v>106</v>
      </c>
    </row>
    <row r="32" spans="1:14">
      <c r="B32">
        <v>6</v>
      </c>
      <c r="C32" s="3">
        <f t="shared" si="6"/>
        <v>837</v>
      </c>
      <c r="D32" s="3">
        <f t="shared" si="6"/>
        <v>121</v>
      </c>
      <c r="E32" s="3">
        <f t="shared" si="6"/>
        <v>121</v>
      </c>
      <c r="F32" s="3">
        <f t="shared" si="6"/>
        <v>196</v>
      </c>
      <c r="G32" s="3"/>
      <c r="I32">
        <v>2</v>
      </c>
      <c r="J32">
        <f t="shared" ref="J32:M39" si="7">ROUND($M3/$M$2*J$31+J31,0)</f>
        <v>251</v>
      </c>
      <c r="K32">
        <f t="shared" si="7"/>
        <v>36</v>
      </c>
      <c r="L32">
        <f t="shared" si="7"/>
        <v>36</v>
      </c>
      <c r="M32">
        <f t="shared" si="7"/>
        <v>59</v>
      </c>
      <c r="N32" t="s">
        <v>107</v>
      </c>
    </row>
    <row r="33" spans="2:15">
      <c r="B33">
        <v>7</v>
      </c>
      <c r="C33" s="3">
        <f t="shared" si="6"/>
        <v>849</v>
      </c>
      <c r="D33" s="3">
        <f t="shared" si="6"/>
        <v>123</v>
      </c>
      <c r="E33" s="3">
        <f t="shared" si="6"/>
        <v>123</v>
      </c>
      <c r="F33" s="3">
        <f t="shared" si="6"/>
        <v>199</v>
      </c>
      <c r="G33" s="3"/>
      <c r="I33">
        <v>3</v>
      </c>
      <c r="J33">
        <f t="shared" si="7"/>
        <v>406</v>
      </c>
      <c r="K33">
        <f t="shared" si="7"/>
        <v>58</v>
      </c>
      <c r="L33">
        <f t="shared" si="7"/>
        <v>58</v>
      </c>
      <c r="M33">
        <f t="shared" si="7"/>
        <v>95</v>
      </c>
      <c r="N33" t="s">
        <v>123</v>
      </c>
    </row>
    <row r="34" spans="2:15">
      <c r="B34">
        <v>8</v>
      </c>
      <c r="C34" s="3">
        <f t="shared" si="6"/>
        <v>861</v>
      </c>
      <c r="D34" s="3">
        <f t="shared" si="6"/>
        <v>124</v>
      </c>
      <c r="E34" s="3">
        <f t="shared" si="6"/>
        <v>124</v>
      </c>
      <c r="F34" s="3">
        <f t="shared" si="6"/>
        <v>201</v>
      </c>
      <c r="G34" s="3"/>
      <c r="I34">
        <v>4</v>
      </c>
      <c r="J34">
        <f t="shared" si="7"/>
        <v>583</v>
      </c>
      <c r="K34">
        <f t="shared" si="7"/>
        <v>83</v>
      </c>
      <c r="L34">
        <f t="shared" si="7"/>
        <v>83</v>
      </c>
      <c r="M34">
        <f t="shared" si="7"/>
        <v>136</v>
      </c>
      <c r="N34" t="s">
        <v>124</v>
      </c>
    </row>
    <row r="35" spans="2:15">
      <c r="B35" s="9">
        <v>9</v>
      </c>
      <c r="C35" s="3">
        <f t="shared" si="6"/>
        <v>873</v>
      </c>
      <c r="D35" s="3">
        <f t="shared" si="6"/>
        <v>126</v>
      </c>
      <c r="E35" s="3">
        <f t="shared" si="6"/>
        <v>126</v>
      </c>
      <c r="F35" s="3">
        <f t="shared" si="6"/>
        <v>204</v>
      </c>
      <c r="G35" s="3"/>
      <c r="I35">
        <v>5</v>
      </c>
      <c r="J35">
        <f t="shared" si="7"/>
        <v>782</v>
      </c>
      <c r="K35">
        <f t="shared" si="7"/>
        <v>111</v>
      </c>
      <c r="L35">
        <f t="shared" si="7"/>
        <v>111</v>
      </c>
      <c r="M35">
        <f t="shared" si="7"/>
        <v>182</v>
      </c>
      <c r="N35" t="s">
        <v>125</v>
      </c>
      <c r="O35">
        <v>10</v>
      </c>
    </row>
    <row r="36" spans="2:15">
      <c r="B36" s="9">
        <v>10</v>
      </c>
      <c r="C36" s="3">
        <f>ROUND(C27*$D$4,0)</f>
        <v>885</v>
      </c>
      <c r="D36" s="3">
        <f t="shared" ref="D36:F36" si="8">ROUND(D27*$D$4,0)</f>
        <v>128</v>
      </c>
      <c r="E36" s="3">
        <f t="shared" si="8"/>
        <v>128</v>
      </c>
      <c r="F36" s="3">
        <f t="shared" si="8"/>
        <v>207</v>
      </c>
      <c r="G36" s="3"/>
      <c r="I36">
        <v>6</v>
      </c>
      <c r="J36">
        <f t="shared" si="7"/>
        <v>1020</v>
      </c>
      <c r="K36">
        <f t="shared" si="7"/>
        <v>145</v>
      </c>
      <c r="L36">
        <f t="shared" si="7"/>
        <v>145</v>
      </c>
      <c r="M36">
        <f t="shared" si="7"/>
        <v>238</v>
      </c>
      <c r="N36" t="s">
        <v>126</v>
      </c>
      <c r="O36">
        <v>15</v>
      </c>
    </row>
    <row r="37" spans="2:15">
      <c r="B37" s="9">
        <v>11</v>
      </c>
      <c r="C37" s="3">
        <f>ROUND((C$46-C$36)/10*($B37-10)+C$36,0)</f>
        <v>896</v>
      </c>
      <c r="D37" s="3">
        <f t="shared" ref="D37:F37" si="9">ROUND((D$46-D$36)/10*($B37-10)+D$36,0)</f>
        <v>130</v>
      </c>
      <c r="E37" s="3">
        <f t="shared" si="9"/>
        <v>130</v>
      </c>
      <c r="F37" s="3">
        <f t="shared" si="9"/>
        <v>210</v>
      </c>
      <c r="G37" s="3"/>
      <c r="I37">
        <v>7</v>
      </c>
      <c r="J37">
        <f t="shared" si="7"/>
        <v>1290</v>
      </c>
      <c r="K37">
        <f t="shared" si="7"/>
        <v>183</v>
      </c>
      <c r="L37">
        <f t="shared" si="7"/>
        <v>183</v>
      </c>
      <c r="M37">
        <f t="shared" si="7"/>
        <v>301</v>
      </c>
      <c r="N37" t="s">
        <v>127</v>
      </c>
      <c r="O37">
        <v>20</v>
      </c>
    </row>
    <row r="38" spans="2:15">
      <c r="B38" s="9">
        <v>12</v>
      </c>
      <c r="C38" s="3">
        <f t="shared" ref="C38:F45" si="10">ROUND((C$46-C$36)/10*($B38-10)+C$36,0)</f>
        <v>907</v>
      </c>
      <c r="D38" s="3">
        <f t="shared" si="10"/>
        <v>131</v>
      </c>
      <c r="E38" s="3">
        <f t="shared" si="10"/>
        <v>131</v>
      </c>
      <c r="F38" s="3">
        <f t="shared" si="10"/>
        <v>212</v>
      </c>
      <c r="G38" s="3"/>
      <c r="I38">
        <v>8</v>
      </c>
      <c r="J38">
        <f t="shared" si="7"/>
        <v>1593</v>
      </c>
      <c r="K38">
        <f t="shared" si="7"/>
        <v>226</v>
      </c>
      <c r="L38">
        <f t="shared" si="7"/>
        <v>226</v>
      </c>
      <c r="M38">
        <f t="shared" si="7"/>
        <v>372</v>
      </c>
      <c r="N38" t="s">
        <v>128</v>
      </c>
      <c r="O38">
        <v>25</v>
      </c>
    </row>
    <row r="39" spans="2:15">
      <c r="B39" s="9">
        <v>13</v>
      </c>
      <c r="C39" s="3">
        <f t="shared" si="10"/>
        <v>917</v>
      </c>
      <c r="D39" s="3">
        <f t="shared" si="10"/>
        <v>133</v>
      </c>
      <c r="E39" s="3">
        <f t="shared" si="10"/>
        <v>133</v>
      </c>
      <c r="F39" s="3">
        <f t="shared" si="10"/>
        <v>215</v>
      </c>
      <c r="G39" s="3"/>
      <c r="I39">
        <v>9</v>
      </c>
      <c r="J39">
        <f t="shared" si="7"/>
        <v>1939</v>
      </c>
      <c r="K39">
        <f t="shared" si="7"/>
        <v>275</v>
      </c>
      <c r="L39">
        <f t="shared" si="7"/>
        <v>275</v>
      </c>
      <c r="M39">
        <f t="shared" si="7"/>
        <v>453</v>
      </c>
      <c r="N39" t="s">
        <v>129</v>
      </c>
      <c r="O39">
        <v>30</v>
      </c>
    </row>
    <row r="40" spans="2:15">
      <c r="B40" s="9">
        <v>14</v>
      </c>
      <c r="C40" s="3">
        <f t="shared" si="10"/>
        <v>928</v>
      </c>
      <c r="D40" s="3">
        <f t="shared" si="10"/>
        <v>134</v>
      </c>
      <c r="E40" s="3">
        <f t="shared" si="10"/>
        <v>134</v>
      </c>
      <c r="F40" s="3">
        <f t="shared" si="10"/>
        <v>217</v>
      </c>
      <c r="G40" s="3"/>
      <c r="I40" s="48">
        <v>10</v>
      </c>
      <c r="J40" s="48"/>
      <c r="K40" s="48"/>
      <c r="L40" s="48"/>
      <c r="M40" s="48"/>
      <c r="N40" s="48" t="s">
        <v>130</v>
      </c>
      <c r="O40">
        <v>35</v>
      </c>
    </row>
    <row r="41" spans="2:15">
      <c r="B41" s="9">
        <v>15</v>
      </c>
      <c r="C41" s="3">
        <f t="shared" si="10"/>
        <v>939</v>
      </c>
      <c r="D41" s="3">
        <f t="shared" si="10"/>
        <v>136</v>
      </c>
      <c r="E41" s="3">
        <f t="shared" si="10"/>
        <v>136</v>
      </c>
      <c r="F41" s="3">
        <f t="shared" si="10"/>
        <v>220</v>
      </c>
      <c r="G41" s="3"/>
      <c r="I41" s="48">
        <v>11</v>
      </c>
      <c r="J41" s="48"/>
      <c r="K41" s="48"/>
      <c r="L41" s="48"/>
      <c r="M41" s="48"/>
      <c r="N41" s="48" t="s">
        <v>131</v>
      </c>
      <c r="O41">
        <v>40</v>
      </c>
    </row>
    <row r="42" spans="2:15">
      <c r="B42" s="9">
        <v>16</v>
      </c>
      <c r="C42" s="3">
        <f t="shared" si="10"/>
        <v>950</v>
      </c>
      <c r="D42" s="3">
        <f t="shared" si="10"/>
        <v>137</v>
      </c>
      <c r="E42" s="3">
        <f t="shared" si="10"/>
        <v>137</v>
      </c>
      <c r="F42" s="3">
        <f t="shared" si="10"/>
        <v>223</v>
      </c>
      <c r="G42" s="3"/>
      <c r="I42" s="48">
        <v>12</v>
      </c>
      <c r="J42" s="48"/>
      <c r="K42" s="48"/>
      <c r="L42" s="48"/>
      <c r="M42" s="48"/>
      <c r="N42" s="48" t="s">
        <v>132</v>
      </c>
      <c r="O42">
        <v>45</v>
      </c>
    </row>
    <row r="43" spans="2:15">
      <c r="B43" s="9">
        <v>17</v>
      </c>
      <c r="C43" s="3">
        <f t="shared" si="10"/>
        <v>961</v>
      </c>
      <c r="D43" s="3">
        <f t="shared" si="10"/>
        <v>139</v>
      </c>
      <c r="E43" s="3">
        <f t="shared" si="10"/>
        <v>139</v>
      </c>
      <c r="F43" s="3">
        <f t="shared" si="10"/>
        <v>225</v>
      </c>
      <c r="G43" s="3"/>
      <c r="I43" s="48">
        <v>13</v>
      </c>
      <c r="J43" s="48"/>
      <c r="K43" s="48"/>
      <c r="L43" s="48"/>
      <c r="M43" s="48"/>
      <c r="N43" s="48" t="s">
        <v>133</v>
      </c>
      <c r="O43">
        <v>50</v>
      </c>
    </row>
    <row r="44" spans="2:15">
      <c r="B44" s="9">
        <v>18</v>
      </c>
      <c r="C44" s="3">
        <f t="shared" si="10"/>
        <v>971</v>
      </c>
      <c r="D44" s="3">
        <f t="shared" si="10"/>
        <v>140</v>
      </c>
      <c r="E44" s="3">
        <f t="shared" si="10"/>
        <v>140</v>
      </c>
      <c r="F44" s="3">
        <f t="shared" si="10"/>
        <v>228</v>
      </c>
      <c r="G44" s="3"/>
      <c r="I44" s="48">
        <v>14</v>
      </c>
      <c r="J44" s="48"/>
      <c r="K44" s="48"/>
      <c r="L44" s="48"/>
      <c r="M44" s="48"/>
      <c r="N44" s="48" t="s">
        <v>134</v>
      </c>
    </row>
    <row r="45" spans="2:15">
      <c r="B45" s="9">
        <v>19</v>
      </c>
      <c r="C45" s="3">
        <f t="shared" si="10"/>
        <v>982</v>
      </c>
      <c r="D45" s="3">
        <f t="shared" si="10"/>
        <v>142</v>
      </c>
      <c r="E45" s="3">
        <f t="shared" si="10"/>
        <v>142</v>
      </c>
      <c r="F45" s="3">
        <f t="shared" si="10"/>
        <v>230</v>
      </c>
      <c r="G45" s="3"/>
      <c r="I45" s="48">
        <v>15</v>
      </c>
      <c r="J45" s="48"/>
      <c r="K45" s="48"/>
      <c r="L45" s="48"/>
      <c r="M45" s="48"/>
      <c r="N45" s="48" t="s">
        <v>135</v>
      </c>
    </row>
    <row r="46" spans="2:15">
      <c r="B46" s="9">
        <v>20</v>
      </c>
      <c r="C46" s="3">
        <f>ROUND($D$6*C27,0)</f>
        <v>993</v>
      </c>
      <c r="D46" s="3">
        <f t="shared" ref="D46:F46" si="11">ROUND($D$6*D27,0)</f>
        <v>143</v>
      </c>
      <c r="E46" s="3">
        <f t="shared" si="11"/>
        <v>143</v>
      </c>
      <c r="F46" s="3">
        <f t="shared" si="11"/>
        <v>233</v>
      </c>
      <c r="G46" s="3"/>
      <c r="I46" s="48"/>
      <c r="J46" s="48"/>
      <c r="K46" s="48"/>
      <c r="L46" s="48"/>
      <c r="M46" s="48"/>
      <c r="N46" s="48"/>
    </row>
    <row r="47" spans="2:15">
      <c r="B47" s="9">
        <v>21</v>
      </c>
      <c r="C47" s="3">
        <f>ROUND((C$56-C$46)/10*($B47-20)+C$46,0)</f>
        <v>1004</v>
      </c>
      <c r="D47" s="3">
        <f t="shared" ref="D47:F47" si="12">ROUND((D$56-D$46)/10*($B47-20)+D$46,0)</f>
        <v>145</v>
      </c>
      <c r="E47" s="3">
        <f t="shared" si="12"/>
        <v>145</v>
      </c>
      <c r="F47" s="3">
        <f t="shared" si="12"/>
        <v>236</v>
      </c>
      <c r="G47" s="3"/>
      <c r="I47" s="48"/>
      <c r="J47" s="48"/>
      <c r="K47" s="48"/>
      <c r="L47" s="48"/>
      <c r="M47" s="48"/>
      <c r="N47" s="48"/>
    </row>
    <row r="48" spans="2:15">
      <c r="B48">
        <v>22</v>
      </c>
      <c r="C48" s="3">
        <f t="shared" ref="C48:F55" si="13">ROUND((C$56-C$46)/10*($B48-20)+C$46,0)</f>
        <v>1015</v>
      </c>
      <c r="D48" s="3">
        <f t="shared" si="13"/>
        <v>146</v>
      </c>
      <c r="E48" s="3">
        <f t="shared" si="13"/>
        <v>146</v>
      </c>
      <c r="F48" s="3">
        <f t="shared" si="13"/>
        <v>238</v>
      </c>
      <c r="G48" s="3"/>
    </row>
    <row r="49" spans="2:7">
      <c r="B49">
        <v>23</v>
      </c>
      <c r="C49" s="3">
        <f t="shared" si="13"/>
        <v>1026</v>
      </c>
      <c r="D49" s="3">
        <f t="shared" si="13"/>
        <v>148</v>
      </c>
      <c r="E49" s="3">
        <f t="shared" si="13"/>
        <v>148</v>
      </c>
      <c r="F49" s="3">
        <f t="shared" si="13"/>
        <v>241</v>
      </c>
      <c r="G49" s="3"/>
    </row>
    <row r="50" spans="2:7">
      <c r="B50">
        <v>24</v>
      </c>
      <c r="C50" s="3">
        <f t="shared" si="13"/>
        <v>1037</v>
      </c>
      <c r="D50" s="3">
        <f t="shared" si="13"/>
        <v>149</v>
      </c>
      <c r="E50" s="3">
        <f t="shared" si="13"/>
        <v>149</v>
      </c>
      <c r="F50" s="3">
        <f t="shared" si="13"/>
        <v>243</v>
      </c>
      <c r="G50" s="3"/>
    </row>
    <row r="51" spans="2:7">
      <c r="B51">
        <v>25</v>
      </c>
      <c r="C51" s="3">
        <f t="shared" si="13"/>
        <v>1048</v>
      </c>
      <c r="D51" s="3">
        <f t="shared" si="13"/>
        <v>151</v>
      </c>
      <c r="E51" s="3">
        <f t="shared" si="13"/>
        <v>151</v>
      </c>
      <c r="F51" s="3">
        <f t="shared" si="13"/>
        <v>246</v>
      </c>
      <c r="G51" s="3"/>
    </row>
    <row r="52" spans="2:7">
      <c r="B52">
        <v>26</v>
      </c>
      <c r="C52" s="3">
        <f t="shared" si="13"/>
        <v>1058</v>
      </c>
      <c r="D52" s="3">
        <f t="shared" si="13"/>
        <v>153</v>
      </c>
      <c r="E52" s="3">
        <f t="shared" si="13"/>
        <v>153</v>
      </c>
      <c r="F52" s="3">
        <f t="shared" si="13"/>
        <v>248</v>
      </c>
      <c r="G52" s="3"/>
    </row>
    <row r="53" spans="2:7">
      <c r="B53">
        <v>27</v>
      </c>
      <c r="C53" s="3">
        <f t="shared" si="13"/>
        <v>1069</v>
      </c>
      <c r="D53" s="3">
        <f t="shared" si="13"/>
        <v>154</v>
      </c>
      <c r="E53" s="3">
        <f t="shared" si="13"/>
        <v>154</v>
      </c>
      <c r="F53" s="3">
        <f t="shared" si="13"/>
        <v>251</v>
      </c>
      <c r="G53" s="3"/>
    </row>
    <row r="54" spans="2:7">
      <c r="B54">
        <v>28</v>
      </c>
      <c r="C54" s="3">
        <f t="shared" si="13"/>
        <v>1080</v>
      </c>
      <c r="D54" s="3">
        <f t="shared" si="13"/>
        <v>156</v>
      </c>
      <c r="E54" s="3">
        <f t="shared" si="13"/>
        <v>156</v>
      </c>
      <c r="F54" s="3">
        <f t="shared" si="13"/>
        <v>253</v>
      </c>
      <c r="G54" s="3"/>
    </row>
    <row r="55" spans="2:7">
      <c r="B55">
        <v>29</v>
      </c>
      <c r="C55" s="3">
        <f t="shared" si="13"/>
        <v>1091</v>
      </c>
      <c r="D55" s="3">
        <f t="shared" si="13"/>
        <v>157</v>
      </c>
      <c r="E55" s="3">
        <f t="shared" si="13"/>
        <v>157</v>
      </c>
      <c r="F55" s="3">
        <f t="shared" si="13"/>
        <v>256</v>
      </c>
      <c r="G55" s="3"/>
    </row>
    <row r="56" spans="2:7">
      <c r="B56">
        <v>30</v>
      </c>
      <c r="C56" s="3">
        <f>ROUND(C27*$D$8,0)</f>
        <v>1102</v>
      </c>
      <c r="D56" s="3">
        <f t="shared" ref="D56:F56" si="14">ROUND(D27*$D$8,0)</f>
        <v>159</v>
      </c>
      <c r="E56" s="3">
        <f t="shared" si="14"/>
        <v>159</v>
      </c>
      <c r="F56" s="3">
        <f t="shared" si="14"/>
        <v>258</v>
      </c>
      <c r="G56" s="3"/>
    </row>
    <row r="57" spans="2:7">
      <c r="B57">
        <v>31</v>
      </c>
      <c r="C57" s="3">
        <f>ROUND((C$66-C$56)/10*($B57-30)+C$56,0)</f>
        <v>1113</v>
      </c>
      <c r="D57" s="3">
        <f t="shared" ref="D57:F58" si="15">ROUND((D$66-D$56)/10*($B57-30)+D$56,0)</f>
        <v>161</v>
      </c>
      <c r="E57" s="3">
        <f t="shared" si="15"/>
        <v>161</v>
      </c>
      <c r="F57" s="3">
        <f t="shared" si="15"/>
        <v>261</v>
      </c>
      <c r="G57" s="3"/>
    </row>
    <row r="58" spans="2:7">
      <c r="B58">
        <v>32</v>
      </c>
      <c r="C58" s="3">
        <f>ROUND((C$66-C$56)/10*($B58-30)+C$56,0)</f>
        <v>1124</v>
      </c>
      <c r="D58" s="3">
        <f t="shared" si="15"/>
        <v>162</v>
      </c>
      <c r="E58" s="3">
        <f t="shared" si="15"/>
        <v>162</v>
      </c>
      <c r="F58" s="3">
        <f t="shared" si="15"/>
        <v>263</v>
      </c>
      <c r="G58" s="3"/>
    </row>
    <row r="59" spans="2:7">
      <c r="B59">
        <v>33</v>
      </c>
      <c r="C59" s="3">
        <f t="shared" ref="C59:F65" si="16">ROUND((C$66-C$56)/10*($B59-30)+C$56,0)</f>
        <v>1135</v>
      </c>
      <c r="D59" s="3">
        <f t="shared" si="16"/>
        <v>164</v>
      </c>
      <c r="E59" s="3">
        <f t="shared" si="16"/>
        <v>164</v>
      </c>
      <c r="F59" s="3">
        <f t="shared" si="16"/>
        <v>266</v>
      </c>
      <c r="G59" s="3"/>
    </row>
    <row r="60" spans="2:7">
      <c r="B60">
        <v>34</v>
      </c>
      <c r="C60" s="3">
        <f t="shared" si="16"/>
        <v>1146</v>
      </c>
      <c r="D60" s="3">
        <f t="shared" si="16"/>
        <v>165</v>
      </c>
      <c r="E60" s="3">
        <f t="shared" si="16"/>
        <v>165</v>
      </c>
      <c r="F60" s="3">
        <f t="shared" si="16"/>
        <v>268</v>
      </c>
      <c r="G60" s="3"/>
    </row>
    <row r="61" spans="2:7">
      <c r="B61">
        <v>35</v>
      </c>
      <c r="C61" s="3">
        <f t="shared" si="16"/>
        <v>1157</v>
      </c>
      <c r="D61" s="3">
        <f t="shared" si="16"/>
        <v>167</v>
      </c>
      <c r="E61" s="3">
        <f t="shared" si="16"/>
        <v>167</v>
      </c>
      <c r="F61" s="3">
        <f t="shared" si="16"/>
        <v>271</v>
      </c>
      <c r="G61" s="3"/>
    </row>
    <row r="62" spans="2:7">
      <c r="B62">
        <v>36</v>
      </c>
      <c r="C62" s="3">
        <f t="shared" si="16"/>
        <v>1167</v>
      </c>
      <c r="D62" s="3">
        <f t="shared" si="16"/>
        <v>169</v>
      </c>
      <c r="E62" s="3">
        <f t="shared" si="16"/>
        <v>169</v>
      </c>
      <c r="F62" s="3">
        <f t="shared" si="16"/>
        <v>274</v>
      </c>
      <c r="G62" s="3"/>
    </row>
    <row r="63" spans="2:7">
      <c r="B63">
        <v>37</v>
      </c>
      <c r="C63" s="3">
        <f t="shared" si="16"/>
        <v>1178</v>
      </c>
      <c r="D63" s="3">
        <f t="shared" si="16"/>
        <v>170</v>
      </c>
      <c r="E63" s="3">
        <f t="shared" si="16"/>
        <v>170</v>
      </c>
      <c r="F63" s="3">
        <f t="shared" si="16"/>
        <v>276</v>
      </c>
      <c r="G63" s="3"/>
    </row>
    <row r="64" spans="2:7">
      <c r="B64">
        <v>38</v>
      </c>
      <c r="C64" s="3">
        <f t="shared" si="16"/>
        <v>1189</v>
      </c>
      <c r="D64" s="3">
        <f t="shared" si="16"/>
        <v>172</v>
      </c>
      <c r="E64" s="3">
        <f t="shared" si="16"/>
        <v>172</v>
      </c>
      <c r="F64" s="3">
        <f t="shared" si="16"/>
        <v>279</v>
      </c>
      <c r="G64" s="3"/>
    </row>
    <row r="65" spans="2:7">
      <c r="B65">
        <v>39</v>
      </c>
      <c r="C65" s="3">
        <f t="shared" si="16"/>
        <v>1200</v>
      </c>
      <c r="D65" s="3">
        <f t="shared" si="16"/>
        <v>173</v>
      </c>
      <c r="E65" s="3">
        <f t="shared" si="16"/>
        <v>173</v>
      </c>
      <c r="F65" s="3">
        <f t="shared" si="16"/>
        <v>281</v>
      </c>
      <c r="G65" s="3"/>
    </row>
    <row r="66" spans="2:7">
      <c r="B66">
        <v>40</v>
      </c>
      <c r="C66" s="3">
        <f>ROUND(C27*$D$10,0)</f>
        <v>1211</v>
      </c>
      <c r="D66" s="3">
        <f t="shared" ref="D66:F66" si="17">ROUND(D27*$D$10,0)</f>
        <v>175</v>
      </c>
      <c r="E66" s="3">
        <f t="shared" si="17"/>
        <v>175</v>
      </c>
      <c r="F66" s="3">
        <f t="shared" si="17"/>
        <v>284</v>
      </c>
      <c r="G66" s="3"/>
    </row>
    <row r="67" spans="2:7">
      <c r="B67">
        <v>41</v>
      </c>
      <c r="C67" s="3">
        <f>ROUND((C$76-C$66)/10*($B67-40)+C$66,0)</f>
        <v>1222</v>
      </c>
      <c r="D67" s="3">
        <f t="shared" ref="D67:F67" si="18">ROUND((D$76-D$66)/10*($B67-40)+D$66,0)</f>
        <v>177</v>
      </c>
      <c r="E67" s="3">
        <f t="shared" si="18"/>
        <v>177</v>
      </c>
      <c r="F67" s="3">
        <f t="shared" si="18"/>
        <v>287</v>
      </c>
      <c r="G67" s="3"/>
    </row>
    <row r="68" spans="2:7">
      <c r="B68">
        <v>42</v>
      </c>
      <c r="C68" s="3">
        <f t="shared" ref="C68:F75" si="19">ROUND((C$76-C$66)/10*($B68-40)+C$66,0)</f>
        <v>1233</v>
      </c>
      <c r="D68" s="3">
        <f t="shared" si="19"/>
        <v>178</v>
      </c>
      <c r="E68" s="3">
        <f t="shared" si="19"/>
        <v>178</v>
      </c>
      <c r="F68" s="3">
        <f t="shared" si="19"/>
        <v>289</v>
      </c>
      <c r="G68" s="3"/>
    </row>
    <row r="69" spans="2:7">
      <c r="B69">
        <v>43</v>
      </c>
      <c r="C69" s="3">
        <f t="shared" si="19"/>
        <v>1243</v>
      </c>
      <c r="D69" s="3">
        <f t="shared" si="19"/>
        <v>180</v>
      </c>
      <c r="E69" s="3">
        <f t="shared" si="19"/>
        <v>180</v>
      </c>
      <c r="F69" s="3">
        <f t="shared" si="19"/>
        <v>292</v>
      </c>
      <c r="G69" s="3"/>
    </row>
    <row r="70" spans="2:7">
      <c r="B70">
        <v>44</v>
      </c>
      <c r="C70" s="3">
        <f t="shared" si="19"/>
        <v>1254</v>
      </c>
      <c r="D70" s="3">
        <f t="shared" si="19"/>
        <v>181</v>
      </c>
      <c r="E70" s="3">
        <f t="shared" si="19"/>
        <v>181</v>
      </c>
      <c r="F70" s="3">
        <f t="shared" si="19"/>
        <v>294</v>
      </c>
      <c r="G70" s="3"/>
    </row>
    <row r="71" spans="2:7">
      <c r="B71">
        <v>45</v>
      </c>
      <c r="C71" s="3">
        <f t="shared" si="19"/>
        <v>1265</v>
      </c>
      <c r="D71" s="3">
        <f t="shared" si="19"/>
        <v>183</v>
      </c>
      <c r="E71" s="3">
        <f t="shared" si="19"/>
        <v>183</v>
      </c>
      <c r="F71" s="3">
        <f t="shared" si="19"/>
        <v>297</v>
      </c>
      <c r="G71" s="3"/>
    </row>
    <row r="72" spans="2:7">
      <c r="B72">
        <v>46</v>
      </c>
      <c r="C72" s="3">
        <f t="shared" si="19"/>
        <v>1276</v>
      </c>
      <c r="D72" s="3">
        <f t="shared" si="19"/>
        <v>184</v>
      </c>
      <c r="E72" s="3">
        <f t="shared" si="19"/>
        <v>184</v>
      </c>
      <c r="F72" s="3">
        <f t="shared" si="19"/>
        <v>299</v>
      </c>
      <c r="G72" s="3"/>
    </row>
    <row r="73" spans="2:7">
      <c r="B73">
        <v>47</v>
      </c>
      <c r="C73" s="3">
        <f t="shared" si="19"/>
        <v>1287</v>
      </c>
      <c r="D73" s="3">
        <f t="shared" si="19"/>
        <v>186</v>
      </c>
      <c r="E73" s="3">
        <f t="shared" si="19"/>
        <v>186</v>
      </c>
      <c r="F73" s="3">
        <f t="shared" si="19"/>
        <v>302</v>
      </c>
      <c r="G73" s="3"/>
    </row>
    <row r="74" spans="2:7">
      <c r="B74">
        <v>48</v>
      </c>
      <c r="C74" s="3">
        <f t="shared" si="19"/>
        <v>1297</v>
      </c>
      <c r="D74" s="3">
        <f t="shared" si="19"/>
        <v>187</v>
      </c>
      <c r="E74" s="3">
        <f t="shared" si="19"/>
        <v>187</v>
      </c>
      <c r="F74" s="3">
        <f t="shared" si="19"/>
        <v>304</v>
      </c>
      <c r="G74" s="3"/>
    </row>
    <row r="75" spans="2:7">
      <c r="B75">
        <v>49</v>
      </c>
      <c r="C75" s="3">
        <f t="shared" si="19"/>
        <v>1308</v>
      </c>
      <c r="D75" s="3">
        <f t="shared" si="19"/>
        <v>189</v>
      </c>
      <c r="E75" s="3">
        <f t="shared" si="19"/>
        <v>189</v>
      </c>
      <c r="F75" s="3">
        <f t="shared" si="19"/>
        <v>307</v>
      </c>
      <c r="G75" s="3"/>
    </row>
    <row r="76" spans="2:7">
      <c r="B76">
        <v>50</v>
      </c>
      <c r="C76" s="3">
        <f>ROUND(C27*$D$12,0)</f>
        <v>1319</v>
      </c>
      <c r="D76" s="3">
        <f t="shared" ref="D76:F76" si="20">ROUND(D27*$D$12,0)</f>
        <v>190</v>
      </c>
      <c r="E76" s="3">
        <f t="shared" si="20"/>
        <v>190</v>
      </c>
      <c r="F76" s="3">
        <f t="shared" si="20"/>
        <v>309</v>
      </c>
      <c r="G76" s="3"/>
    </row>
  </sheetData>
  <phoneticPr fontId="1" type="noConversion"/>
  <hyperlinks>
    <hyperlink ref="C23" location="职业调整模型!A1" display="标准模型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2" sqref="B2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U82"/>
  <sheetViews>
    <sheetView tabSelected="1" topLeftCell="A43" workbookViewId="0">
      <selection activeCell="J66" sqref="J66"/>
    </sheetView>
  </sheetViews>
  <sheetFormatPr defaultRowHeight="13.5"/>
  <cols>
    <col min="2" max="2" width="13" bestFit="1" customWidth="1"/>
    <col min="3" max="3" width="11.625" bestFit="1" customWidth="1"/>
    <col min="6" max="6" width="12.75" bestFit="1" customWidth="1"/>
    <col min="8" max="8" width="17.25" bestFit="1" customWidth="1"/>
  </cols>
  <sheetData>
    <row r="2" spans="1:10">
      <c r="B2" t="s">
        <v>154</v>
      </c>
      <c r="C2" t="s">
        <v>152</v>
      </c>
      <c r="D2" t="s">
        <v>165</v>
      </c>
      <c r="E2" t="s">
        <v>172</v>
      </c>
      <c r="F2" t="s">
        <v>224</v>
      </c>
      <c r="G2" t="s">
        <v>170</v>
      </c>
      <c r="H2" t="s">
        <v>225</v>
      </c>
      <c r="I2" t="s">
        <v>171</v>
      </c>
      <c r="J2" t="s">
        <v>173</v>
      </c>
    </row>
    <row r="3" spans="1:10">
      <c r="A3">
        <v>1</v>
      </c>
      <c r="B3" t="s">
        <v>153</v>
      </c>
      <c r="C3" s="6">
        <f>属性拆分生成!D3</f>
        <v>1</v>
      </c>
      <c r="D3" s="6">
        <f>属性拆分生成!H3</f>
        <v>1</v>
      </c>
      <c r="E3" s="4">
        <f t="shared" ref="E3:E16" si="0">H3-F3-G3</f>
        <v>0.5</v>
      </c>
      <c r="H3" s="6">
        <f>C3*[1]属性分配!$E$4</f>
        <v>0.5</v>
      </c>
    </row>
    <row r="4" spans="1:10">
      <c r="A4">
        <v>10</v>
      </c>
      <c r="B4" t="s">
        <v>155</v>
      </c>
      <c r="C4" s="6">
        <f>属性拆分生成!$D$4</f>
        <v>1.1399999999999999</v>
      </c>
      <c r="D4" s="6">
        <f>属性拆分生成!H4</f>
        <v>1.2955399999999999</v>
      </c>
      <c r="E4" s="4">
        <f t="shared" si="0"/>
        <v>0.5</v>
      </c>
      <c r="F4" s="4">
        <f>H4-H3</f>
        <v>0.22389999999999988</v>
      </c>
      <c r="H4" s="6">
        <f>C4*[1]属性分配!$F$7/[1]属性分配!$F$6</f>
        <v>0.72389999999999988</v>
      </c>
    </row>
    <row r="5" spans="1:10">
      <c r="A5">
        <v>10</v>
      </c>
      <c r="B5" t="s">
        <v>166</v>
      </c>
      <c r="C5" s="6">
        <f>属性拆分生成!$D$4</f>
        <v>1.1399999999999999</v>
      </c>
      <c r="D5" s="6">
        <f>属性拆分生成!H4</f>
        <v>1.2955399999999999</v>
      </c>
      <c r="E5" s="4">
        <f t="shared" si="0"/>
        <v>0.5</v>
      </c>
      <c r="F5" s="4">
        <f>F4</f>
        <v>0.22389999999999988</v>
      </c>
      <c r="G5" s="4">
        <f>H5-H4</f>
        <v>4.3434000000000195E-2</v>
      </c>
      <c r="H5" s="6">
        <f>C5*[1]属性分配!$G$7/[1]属性分配!$G$6</f>
        <v>0.76733400000000007</v>
      </c>
    </row>
    <row r="6" spans="1:10">
      <c r="A6">
        <v>20</v>
      </c>
      <c r="B6" t="s">
        <v>159</v>
      </c>
      <c r="C6" s="6">
        <f>属性拆分生成!$D$6</f>
        <v>1.28</v>
      </c>
      <c r="D6" s="6">
        <f>属性拆分生成!H5</f>
        <v>1.6829816000000002</v>
      </c>
      <c r="E6" s="4">
        <f t="shared" si="0"/>
        <v>0.5</v>
      </c>
      <c r="F6" s="4">
        <f>H6-H5+F5</f>
        <v>0.55075735999999997</v>
      </c>
      <c r="G6" s="4">
        <f>G5</f>
        <v>4.3434000000000195E-2</v>
      </c>
      <c r="H6" s="6">
        <f>C6*[1]属性分配!$H$7/[1]属性分配!$H$6</f>
        <v>1.0941913600000002</v>
      </c>
    </row>
    <row r="7" spans="1:10">
      <c r="A7">
        <v>20</v>
      </c>
      <c r="B7" t="s">
        <v>156</v>
      </c>
      <c r="C7" s="6">
        <f>属性拆分生成!$D$6</f>
        <v>1.28</v>
      </c>
      <c r="D7" s="6">
        <f>属性拆分生成!H5</f>
        <v>1.6829816000000002</v>
      </c>
      <c r="E7" s="4">
        <f t="shared" si="0"/>
        <v>0.5</v>
      </c>
      <c r="F7" s="4">
        <f>F6</f>
        <v>0.55075735999999997</v>
      </c>
      <c r="G7" s="4">
        <f>H7-H6+G6</f>
        <v>0.15285313600000028</v>
      </c>
      <c r="H7" s="6">
        <f>[1]属性分配!$I$7/[1]属性分配!$I$6*C7</f>
        <v>1.2036104960000003</v>
      </c>
    </row>
    <row r="8" spans="1:10">
      <c r="A8">
        <v>30</v>
      </c>
      <c r="B8" t="s">
        <v>160</v>
      </c>
      <c r="C8" s="6">
        <f>属性拆分生成!D8</f>
        <v>1.42</v>
      </c>
      <c r="D8" s="6">
        <f>属性拆分生成!H6</f>
        <v>2.1924723999999998</v>
      </c>
      <c r="E8" s="4">
        <f t="shared" si="0"/>
        <v>0.5</v>
      </c>
      <c r="F8" s="4">
        <f>H8-H7+F7</f>
        <v>1.04292121438</v>
      </c>
      <c r="G8" s="4">
        <f>G7</f>
        <v>0.15285313600000028</v>
      </c>
      <c r="H8" s="6">
        <f>C8*[1]属性分配!$J$7/[1]属性分配!$J$6</f>
        <v>1.6957743503800002</v>
      </c>
    </row>
    <row r="9" spans="1:10">
      <c r="A9">
        <v>40</v>
      </c>
      <c r="B9" t="s">
        <v>161</v>
      </c>
      <c r="C9" s="6">
        <f>属性拆分生成!D10</f>
        <v>1.56</v>
      </c>
      <c r="D9" s="6">
        <f>属性拆分生成!H7</f>
        <v>2.9619020960000002</v>
      </c>
      <c r="E9" s="4">
        <f t="shared" si="0"/>
        <v>0.5</v>
      </c>
      <c r="F9" s="4">
        <f>F8</f>
        <v>1.04292121438</v>
      </c>
      <c r="G9" s="4">
        <f>H9-H8+G8</f>
        <v>0.59948666208600021</v>
      </c>
      <c r="H9" s="6">
        <f>C9*[1]属性分配!$K$7/[1]属性分配!$K$6</f>
        <v>2.1424078764660002</v>
      </c>
    </row>
    <row r="10" spans="1:10">
      <c r="A10">
        <v>50</v>
      </c>
      <c r="B10" t="s">
        <v>163</v>
      </c>
      <c r="C10" s="6">
        <f>属性拆分生成!D12</f>
        <v>1.7</v>
      </c>
      <c r="D10" s="6">
        <f>属性拆分生成!H8</f>
        <v>3.9423776200000002</v>
      </c>
      <c r="E10" s="4">
        <f t="shared" si="0"/>
        <v>0.5</v>
      </c>
      <c r="F10" s="4">
        <f>H10-H9+F9</f>
        <v>1.5853898754082494</v>
      </c>
      <c r="G10" s="4">
        <f>G9</f>
        <v>0.59948666208600021</v>
      </c>
      <c r="H10" s="6">
        <f>[1]属性分配!$Q$7/[1]属性分配!$Q$6*C10</f>
        <v>2.6848765374942496</v>
      </c>
    </row>
    <row r="11" spans="1:10">
      <c r="A11">
        <v>60</v>
      </c>
      <c r="B11" t="s">
        <v>164</v>
      </c>
      <c r="C11" s="6">
        <f>属性拆分生成!$D$13</f>
        <v>1.84</v>
      </c>
      <c r="D11" s="6">
        <f>属性拆分生成!$H$9</f>
        <v>1.84</v>
      </c>
      <c r="E11" s="4">
        <f t="shared" si="0"/>
        <v>0.50000000000000022</v>
      </c>
      <c r="F11" s="4">
        <f>H11-H10+F10</f>
        <v>2.1097304697894792</v>
      </c>
      <c r="G11" s="4">
        <f>G10</f>
        <v>0.59948666208600021</v>
      </c>
      <c r="H11" s="6">
        <f>[1]属性分配!$L$7/[1]属性分配!$L$6*C11</f>
        <v>3.2092171318754796</v>
      </c>
    </row>
    <row r="12" spans="1:10">
      <c r="A12">
        <v>60</v>
      </c>
      <c r="B12" t="s">
        <v>167</v>
      </c>
      <c r="C12" s="6">
        <f>属性拆分生成!$D$13</f>
        <v>1.84</v>
      </c>
      <c r="D12" s="6">
        <f>属性拆分生成!$H$9</f>
        <v>1.84</v>
      </c>
      <c r="E12" s="4">
        <f t="shared" si="0"/>
        <v>0.50000000000000022</v>
      </c>
      <c r="F12" s="4">
        <f>F11</f>
        <v>2.1097304697894792</v>
      </c>
      <c r="G12" s="4">
        <f>H12-H11+G11</f>
        <v>1.2734222597798517</v>
      </c>
      <c r="H12" s="6">
        <f>[1]属性分配!$M$7/[1]属性分配!$M$6*C12</f>
        <v>3.8831527295693311</v>
      </c>
    </row>
    <row r="13" spans="1:10">
      <c r="A13">
        <v>70</v>
      </c>
      <c r="B13" t="s">
        <v>162</v>
      </c>
      <c r="C13" s="6">
        <f>属性拆分生成!D14</f>
        <v>1.98</v>
      </c>
      <c r="D13" s="6">
        <f>属性拆分生成!H10</f>
        <v>1.98</v>
      </c>
      <c r="E13" s="4">
        <f t="shared" si="0"/>
        <v>0.50000000000000022</v>
      </c>
      <c r="F13" s="4">
        <f>H13-H12+F12</f>
        <v>2.7812626429139149</v>
      </c>
      <c r="G13" s="4">
        <f>G12</f>
        <v>1.2734222597798517</v>
      </c>
      <c r="H13" s="6">
        <f>[1]属性分配!$R$7/[1]属性分配!$R$6*C13</f>
        <v>4.5546849026937668</v>
      </c>
    </row>
    <row r="14" spans="1:10">
      <c r="A14">
        <v>80</v>
      </c>
      <c r="B14" t="s">
        <v>157</v>
      </c>
      <c r="C14" s="6">
        <f>属性拆分生成!D15</f>
        <v>2.12</v>
      </c>
      <c r="D14" s="6">
        <f>属性拆分生成!H11</f>
        <v>2.12</v>
      </c>
      <c r="E14" s="4">
        <f t="shared" si="0"/>
        <v>0.50000000000000022</v>
      </c>
      <c r="F14" s="4">
        <f>H14-H13+F13</f>
        <v>3.3717551068995117</v>
      </c>
      <c r="G14" s="4">
        <f>G13</f>
        <v>1.2734222597798517</v>
      </c>
      <c r="H14" s="6">
        <f>[1]属性分配!$S$7/[1]属性分配!$S$6*C14</f>
        <v>5.1451773666793637</v>
      </c>
    </row>
    <row r="15" spans="1:10">
      <c r="A15">
        <v>90</v>
      </c>
      <c r="B15" t="s">
        <v>158</v>
      </c>
      <c r="C15" s="6">
        <f>属性拆分生成!D16</f>
        <v>2.2599999999999998</v>
      </c>
      <c r="D15" s="6">
        <f>属性拆分生成!H12</f>
        <v>2.2599999999999998</v>
      </c>
      <c r="E15" s="4">
        <f t="shared" si="0"/>
        <v>0.50000000000000022</v>
      </c>
      <c r="F15" s="4">
        <f>H15-H14+F14</f>
        <v>4.2838739165298723</v>
      </c>
      <c r="G15" s="4">
        <f>G14</f>
        <v>1.2734222597798517</v>
      </c>
      <c r="H15" s="6">
        <f>[1]属性分配!$N$7/[1]属性分配!$N$6*C15</f>
        <v>6.0572961763097242</v>
      </c>
    </row>
    <row r="16" spans="1:10">
      <c r="A16">
        <v>100</v>
      </c>
      <c r="B16" t="s">
        <v>266</v>
      </c>
      <c r="C16" s="6">
        <f>属性拆分生成!D17</f>
        <v>2.4</v>
      </c>
      <c r="D16" s="6">
        <f>属性拆分生成!H13</f>
        <v>2.4</v>
      </c>
      <c r="E16" s="4">
        <f t="shared" si="0"/>
        <v>0.49999999999999933</v>
      </c>
      <c r="F16" s="4">
        <f>H16-H15+F15</f>
        <v>8.0733184044292372</v>
      </c>
      <c r="G16" s="4">
        <f>G15</f>
        <v>1.2734222597798517</v>
      </c>
      <c r="H16" s="6">
        <f>[1]属性分配!$P$7/[1]属性分配!$P$6*C15</f>
        <v>9.8467406642090882</v>
      </c>
    </row>
    <row r="19" spans="1:6">
      <c r="C19" t="s">
        <v>193</v>
      </c>
    </row>
    <row r="20" spans="1:6">
      <c r="B20" t="s">
        <v>176</v>
      </c>
      <c r="C20">
        <f>属性拆分生成!J20</f>
        <v>776</v>
      </c>
      <c r="D20">
        <f>属性拆分生成!J21</f>
        <v>112</v>
      </c>
      <c r="E20">
        <f>属性拆分生成!J22</f>
        <v>112</v>
      </c>
      <c r="F20">
        <f>属性拆分生成!J23</f>
        <v>182</v>
      </c>
    </row>
    <row r="21" spans="1:6">
      <c r="B21" t="s">
        <v>179</v>
      </c>
      <c r="C21">
        <f>C20*$E$3</f>
        <v>388</v>
      </c>
      <c r="D21">
        <f t="shared" ref="D21:F21" si="1">D20*$E$3</f>
        <v>56</v>
      </c>
      <c r="E21">
        <f t="shared" si="1"/>
        <v>56</v>
      </c>
      <c r="F21">
        <f t="shared" si="1"/>
        <v>91</v>
      </c>
    </row>
    <row r="24" spans="1:6">
      <c r="B24" t="s">
        <v>174</v>
      </c>
      <c r="C24">
        <f>ROUND(C25,0)</f>
        <v>174</v>
      </c>
      <c r="D24">
        <f t="shared" ref="D24:F24" si="2">ROUND(D25,0)</f>
        <v>25</v>
      </c>
      <c r="E24">
        <f t="shared" si="2"/>
        <v>25</v>
      </c>
      <c r="F24">
        <f t="shared" si="2"/>
        <v>41</v>
      </c>
    </row>
    <row r="25" spans="1:6">
      <c r="A25" t="s">
        <v>175</v>
      </c>
      <c r="B25" t="s">
        <v>177</v>
      </c>
      <c r="C25">
        <f>C20*$F$5</f>
        <v>173.74639999999991</v>
      </c>
      <c r="D25">
        <f t="shared" ref="D25:F25" si="3">D20*$F$5</f>
        <v>25.076799999999984</v>
      </c>
      <c r="E25">
        <f t="shared" si="3"/>
        <v>25.076799999999984</v>
      </c>
      <c r="F25">
        <f t="shared" si="3"/>
        <v>40.749799999999979</v>
      </c>
    </row>
    <row r="26" spans="1:6">
      <c r="B26" t="s">
        <v>180</v>
      </c>
      <c r="C26" s="51">
        <f>C24/9</f>
        <v>19.333333333333332</v>
      </c>
      <c r="D26" s="51">
        <f t="shared" ref="D26:F26" si="4">D24/9</f>
        <v>2.7777777777777777</v>
      </c>
      <c r="E26" s="51">
        <f t="shared" si="4"/>
        <v>2.7777777777777777</v>
      </c>
      <c r="F26" s="51">
        <f t="shared" si="4"/>
        <v>4.5555555555555554</v>
      </c>
    </row>
    <row r="27" spans="1:6">
      <c r="B27" t="s">
        <v>181</v>
      </c>
      <c r="C27" s="50">
        <f>C$26+C26</f>
        <v>38.666666666666664</v>
      </c>
      <c r="D27" s="50">
        <f t="shared" ref="D27:F27" si="5">D$26+D26</f>
        <v>5.5555555555555554</v>
      </c>
      <c r="E27" s="50">
        <f t="shared" si="5"/>
        <v>5.5555555555555554</v>
      </c>
      <c r="F27" s="50">
        <f t="shared" si="5"/>
        <v>9.1111111111111107</v>
      </c>
    </row>
    <row r="28" spans="1:6">
      <c r="B28" t="s">
        <v>182</v>
      </c>
      <c r="C28" s="50">
        <f t="shared" ref="C28:C34" si="6">C$26+C27</f>
        <v>58</v>
      </c>
      <c r="D28" s="50">
        <f t="shared" ref="D28:D34" si="7">D$26+D27</f>
        <v>8.3333333333333321</v>
      </c>
      <c r="E28" s="50">
        <f t="shared" ref="E28:E34" si="8">E$26+E27</f>
        <v>8.3333333333333321</v>
      </c>
      <c r="F28" s="50">
        <f t="shared" ref="F28:F34" si="9">F$26+F27</f>
        <v>13.666666666666666</v>
      </c>
    </row>
    <row r="29" spans="1:6">
      <c r="B29" t="s">
        <v>183</v>
      </c>
      <c r="C29" s="50">
        <f t="shared" si="6"/>
        <v>77.333333333333329</v>
      </c>
      <c r="D29" s="50">
        <f t="shared" si="7"/>
        <v>11.111111111111111</v>
      </c>
      <c r="E29" s="50">
        <f t="shared" si="8"/>
        <v>11.111111111111111</v>
      </c>
      <c r="F29" s="50">
        <f t="shared" si="9"/>
        <v>18.222222222222221</v>
      </c>
    </row>
    <row r="30" spans="1:6">
      <c r="B30" t="s">
        <v>184</v>
      </c>
      <c r="C30" s="50">
        <f t="shared" si="6"/>
        <v>96.666666666666657</v>
      </c>
      <c r="D30" s="50">
        <f t="shared" si="7"/>
        <v>13.888888888888889</v>
      </c>
      <c r="E30" s="50">
        <f t="shared" si="8"/>
        <v>13.888888888888889</v>
      </c>
      <c r="F30" s="50">
        <f t="shared" si="9"/>
        <v>22.777777777777779</v>
      </c>
    </row>
    <row r="31" spans="1:6">
      <c r="B31" t="s">
        <v>185</v>
      </c>
      <c r="C31" s="50">
        <f t="shared" si="6"/>
        <v>115.99999999999999</v>
      </c>
      <c r="D31" s="50">
        <f t="shared" si="7"/>
        <v>16.666666666666668</v>
      </c>
      <c r="E31" s="50">
        <f t="shared" si="8"/>
        <v>16.666666666666668</v>
      </c>
      <c r="F31" s="50">
        <f t="shared" si="9"/>
        <v>27.333333333333336</v>
      </c>
    </row>
    <row r="32" spans="1:6">
      <c r="B32" t="s">
        <v>186</v>
      </c>
      <c r="C32" s="50">
        <f t="shared" si="6"/>
        <v>135.33333333333331</v>
      </c>
      <c r="D32" s="50">
        <f t="shared" si="7"/>
        <v>19.444444444444446</v>
      </c>
      <c r="E32" s="50">
        <f t="shared" si="8"/>
        <v>19.444444444444446</v>
      </c>
      <c r="F32" s="50">
        <f t="shared" si="9"/>
        <v>31.888888888888893</v>
      </c>
    </row>
    <row r="33" spans="1:21">
      <c r="B33" t="s">
        <v>187</v>
      </c>
      <c r="C33" s="50">
        <f t="shared" si="6"/>
        <v>154.66666666666666</v>
      </c>
      <c r="D33" s="50">
        <f t="shared" si="7"/>
        <v>22.222222222222225</v>
      </c>
      <c r="E33" s="50">
        <f t="shared" si="8"/>
        <v>22.222222222222225</v>
      </c>
      <c r="F33" s="50">
        <f t="shared" si="9"/>
        <v>36.44444444444445</v>
      </c>
    </row>
    <row r="34" spans="1:21">
      <c r="B34" t="s">
        <v>188</v>
      </c>
      <c r="C34" s="50">
        <f t="shared" si="6"/>
        <v>174</v>
      </c>
      <c r="D34" s="50">
        <f t="shared" si="7"/>
        <v>25.000000000000004</v>
      </c>
      <c r="E34" s="50">
        <f t="shared" si="8"/>
        <v>25.000000000000004</v>
      </c>
      <c r="F34" s="50">
        <f t="shared" si="9"/>
        <v>41.000000000000007</v>
      </c>
    </row>
    <row r="35" spans="1:21" ht="5.25" customHeight="1">
      <c r="A35" s="53"/>
      <c r="B35" s="53"/>
      <c r="C35" s="54"/>
      <c r="D35" s="54"/>
      <c r="E35" s="54"/>
      <c r="F35" s="54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</row>
    <row r="36" spans="1:21">
      <c r="A36" t="s">
        <v>189</v>
      </c>
      <c r="B36" t="s">
        <v>174</v>
      </c>
      <c r="C36">
        <f>ROUND(C37,0)</f>
        <v>254</v>
      </c>
      <c r="D36">
        <f t="shared" ref="D36:F36" si="10">ROUND(D37,0)</f>
        <v>37</v>
      </c>
      <c r="E36">
        <f t="shared" si="10"/>
        <v>37</v>
      </c>
      <c r="F36">
        <f t="shared" si="10"/>
        <v>59</v>
      </c>
    </row>
    <row r="37" spans="1:21">
      <c r="B37" t="s">
        <v>177</v>
      </c>
      <c r="C37">
        <f>($F$6-$F$5)*C20</f>
        <v>253.64131136000009</v>
      </c>
      <c r="D37">
        <f t="shared" ref="D37:F37" si="11">($F$6-$F$5)*D20</f>
        <v>36.608024320000013</v>
      </c>
      <c r="E37">
        <f t="shared" si="11"/>
        <v>36.608024320000013</v>
      </c>
      <c r="F37">
        <f t="shared" si="11"/>
        <v>59.488039520000015</v>
      </c>
    </row>
    <row r="38" spans="1:21">
      <c r="B38" t="s">
        <v>180</v>
      </c>
      <c r="C38" s="51">
        <f>C36/9</f>
        <v>28.222222222222221</v>
      </c>
      <c r="D38" s="51">
        <f t="shared" ref="D38:F38" si="12">D36/9</f>
        <v>4.1111111111111107</v>
      </c>
      <c r="E38" s="51">
        <f t="shared" si="12"/>
        <v>4.1111111111111107</v>
      </c>
      <c r="F38" s="51">
        <f t="shared" si="12"/>
        <v>6.5555555555555554</v>
      </c>
    </row>
    <row r="39" spans="1:21">
      <c r="B39" t="s">
        <v>181</v>
      </c>
      <c r="C39" s="50">
        <f>C$38+C38</f>
        <v>56.444444444444443</v>
      </c>
      <c r="D39" s="50">
        <f t="shared" ref="D39:F39" si="13">D$38+D38</f>
        <v>8.2222222222222214</v>
      </c>
      <c r="E39" s="50">
        <f t="shared" si="13"/>
        <v>8.2222222222222214</v>
      </c>
      <c r="F39" s="50">
        <f t="shared" si="13"/>
        <v>13.111111111111111</v>
      </c>
    </row>
    <row r="40" spans="1:21">
      <c r="B40" t="s">
        <v>182</v>
      </c>
      <c r="C40" s="50">
        <f t="shared" ref="C40:C46" si="14">C$38+C39</f>
        <v>84.666666666666657</v>
      </c>
      <c r="D40" s="50">
        <f t="shared" ref="D40:D46" si="15">D$38+D39</f>
        <v>12.333333333333332</v>
      </c>
      <c r="E40" s="50">
        <f t="shared" ref="E40:E46" si="16">E$38+E39</f>
        <v>12.333333333333332</v>
      </c>
      <c r="F40" s="50">
        <f t="shared" ref="F40:F46" si="17">F$38+F39</f>
        <v>19.666666666666664</v>
      </c>
    </row>
    <row r="41" spans="1:21">
      <c r="B41" t="s">
        <v>183</v>
      </c>
      <c r="C41" s="50">
        <f t="shared" si="14"/>
        <v>112.88888888888889</v>
      </c>
      <c r="D41" s="50">
        <f t="shared" si="15"/>
        <v>16.444444444444443</v>
      </c>
      <c r="E41" s="50">
        <f t="shared" si="16"/>
        <v>16.444444444444443</v>
      </c>
      <c r="F41" s="50">
        <f t="shared" si="17"/>
        <v>26.222222222222221</v>
      </c>
    </row>
    <row r="42" spans="1:21">
      <c r="B42" t="s">
        <v>184</v>
      </c>
      <c r="C42" s="50">
        <f t="shared" si="14"/>
        <v>141.11111111111111</v>
      </c>
      <c r="D42" s="50">
        <f t="shared" si="15"/>
        <v>20.555555555555554</v>
      </c>
      <c r="E42" s="50">
        <f t="shared" si="16"/>
        <v>20.555555555555554</v>
      </c>
      <c r="F42" s="50">
        <f t="shared" si="17"/>
        <v>32.777777777777779</v>
      </c>
    </row>
    <row r="43" spans="1:21">
      <c r="B43" t="s">
        <v>185</v>
      </c>
      <c r="C43" s="50">
        <f t="shared" si="14"/>
        <v>169.33333333333334</v>
      </c>
      <c r="D43" s="50">
        <f t="shared" si="15"/>
        <v>24.666666666666664</v>
      </c>
      <c r="E43" s="50">
        <f t="shared" si="16"/>
        <v>24.666666666666664</v>
      </c>
      <c r="F43" s="50">
        <f t="shared" si="17"/>
        <v>39.333333333333336</v>
      </c>
    </row>
    <row r="44" spans="1:21">
      <c r="B44" t="s">
        <v>186</v>
      </c>
      <c r="C44" s="50">
        <f t="shared" si="14"/>
        <v>197.55555555555557</v>
      </c>
      <c r="D44" s="50">
        <f t="shared" si="15"/>
        <v>28.777777777777775</v>
      </c>
      <c r="E44" s="50">
        <f t="shared" si="16"/>
        <v>28.777777777777775</v>
      </c>
      <c r="F44" s="50">
        <f t="shared" si="17"/>
        <v>45.888888888888893</v>
      </c>
    </row>
    <row r="45" spans="1:21">
      <c r="B45" t="s">
        <v>187</v>
      </c>
      <c r="C45" s="50">
        <f t="shared" si="14"/>
        <v>225.7777777777778</v>
      </c>
      <c r="D45" s="50">
        <f t="shared" si="15"/>
        <v>32.888888888888886</v>
      </c>
      <c r="E45" s="50">
        <f t="shared" si="16"/>
        <v>32.888888888888886</v>
      </c>
      <c r="F45" s="50">
        <f t="shared" si="17"/>
        <v>52.44444444444445</v>
      </c>
    </row>
    <row r="46" spans="1:21">
      <c r="B46" t="s">
        <v>188</v>
      </c>
      <c r="C46" s="50">
        <f t="shared" si="14"/>
        <v>254.00000000000003</v>
      </c>
      <c r="D46" s="50">
        <f t="shared" si="15"/>
        <v>37</v>
      </c>
      <c r="E46" s="50">
        <f t="shared" si="16"/>
        <v>37</v>
      </c>
      <c r="F46" s="50">
        <f t="shared" si="17"/>
        <v>59.000000000000007</v>
      </c>
    </row>
    <row r="47" spans="1:21" ht="6" customHeight="1">
      <c r="A47" s="53"/>
      <c r="B47" s="53"/>
      <c r="C47" s="54"/>
      <c r="D47" s="54"/>
      <c r="E47" s="54"/>
      <c r="F47" s="54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</row>
    <row r="48" spans="1:21">
      <c r="A48" t="s">
        <v>190</v>
      </c>
      <c r="B48" t="s">
        <v>174</v>
      </c>
      <c r="C48">
        <f>ROUND(C49,0)</f>
        <v>382</v>
      </c>
      <c r="D48">
        <f t="shared" ref="D48:F48" si="18">ROUND(D49,0)</f>
        <v>55</v>
      </c>
      <c r="E48">
        <f t="shared" si="18"/>
        <v>55</v>
      </c>
      <c r="F48">
        <f t="shared" si="18"/>
        <v>90</v>
      </c>
    </row>
    <row r="49" spans="1:21">
      <c r="B49" t="s">
        <v>177</v>
      </c>
      <c r="C49">
        <f>($F$8-$F$6)*C20</f>
        <v>381.91915099888001</v>
      </c>
      <c r="D49">
        <f t="shared" ref="D49:F49" si="19">($F$8-$F$6)*D20</f>
        <v>55.122351690559995</v>
      </c>
      <c r="E49">
        <f t="shared" si="19"/>
        <v>55.122351690559995</v>
      </c>
      <c r="F49">
        <f t="shared" si="19"/>
        <v>89.573821497159997</v>
      </c>
    </row>
    <row r="50" spans="1:21">
      <c r="B50" t="s">
        <v>180</v>
      </c>
      <c r="C50" s="51">
        <f>C48/9</f>
        <v>42.444444444444443</v>
      </c>
      <c r="D50" s="51">
        <f t="shared" ref="D50:F50" si="20">D48/9</f>
        <v>6.1111111111111107</v>
      </c>
      <c r="E50" s="51">
        <f t="shared" si="20"/>
        <v>6.1111111111111107</v>
      </c>
      <c r="F50" s="51">
        <f t="shared" si="20"/>
        <v>10</v>
      </c>
    </row>
    <row r="51" spans="1:21">
      <c r="B51" t="s">
        <v>181</v>
      </c>
      <c r="C51" s="50">
        <f>C$50+C50</f>
        <v>84.888888888888886</v>
      </c>
      <c r="D51" s="50">
        <f t="shared" ref="D51:F51" si="21">D$50+D50</f>
        <v>12.222222222222221</v>
      </c>
      <c r="E51" s="50">
        <f t="shared" si="21"/>
        <v>12.222222222222221</v>
      </c>
      <c r="F51" s="50">
        <f t="shared" si="21"/>
        <v>20</v>
      </c>
    </row>
    <row r="52" spans="1:21">
      <c r="B52" t="s">
        <v>182</v>
      </c>
      <c r="C52" s="50">
        <f t="shared" ref="C52:C58" si="22">C$50+C51</f>
        <v>127.33333333333333</v>
      </c>
      <c r="D52" s="50">
        <f t="shared" ref="D52:D58" si="23">D$50+D51</f>
        <v>18.333333333333332</v>
      </c>
      <c r="E52" s="50">
        <f t="shared" ref="E52:E58" si="24">E$50+E51</f>
        <v>18.333333333333332</v>
      </c>
      <c r="F52" s="50">
        <f t="shared" ref="F52:F58" si="25">F$50+F51</f>
        <v>30</v>
      </c>
    </row>
    <row r="53" spans="1:21">
      <c r="B53" t="s">
        <v>183</v>
      </c>
      <c r="C53" s="50">
        <f t="shared" si="22"/>
        <v>169.77777777777777</v>
      </c>
      <c r="D53" s="50">
        <f t="shared" si="23"/>
        <v>24.444444444444443</v>
      </c>
      <c r="E53" s="50">
        <f t="shared" si="24"/>
        <v>24.444444444444443</v>
      </c>
      <c r="F53" s="50">
        <f t="shared" si="25"/>
        <v>40</v>
      </c>
    </row>
    <row r="54" spans="1:21">
      <c r="B54" t="s">
        <v>184</v>
      </c>
      <c r="C54" s="50">
        <f t="shared" si="22"/>
        <v>212.22222222222223</v>
      </c>
      <c r="D54" s="50">
        <f t="shared" si="23"/>
        <v>30.555555555555554</v>
      </c>
      <c r="E54" s="50">
        <f t="shared" si="24"/>
        <v>30.555555555555554</v>
      </c>
      <c r="F54" s="50">
        <f t="shared" si="25"/>
        <v>50</v>
      </c>
    </row>
    <row r="55" spans="1:21">
      <c r="B55" t="s">
        <v>185</v>
      </c>
      <c r="C55" s="50">
        <f t="shared" si="22"/>
        <v>254.66666666666669</v>
      </c>
      <c r="D55" s="50">
        <f t="shared" si="23"/>
        <v>36.666666666666664</v>
      </c>
      <c r="E55" s="50">
        <f t="shared" si="24"/>
        <v>36.666666666666664</v>
      </c>
      <c r="F55" s="50">
        <f t="shared" si="25"/>
        <v>60</v>
      </c>
    </row>
    <row r="56" spans="1:21">
      <c r="B56" t="s">
        <v>186</v>
      </c>
      <c r="C56" s="50">
        <f t="shared" si="22"/>
        <v>297.11111111111114</v>
      </c>
      <c r="D56" s="50">
        <f t="shared" si="23"/>
        <v>42.777777777777771</v>
      </c>
      <c r="E56" s="50">
        <f t="shared" si="24"/>
        <v>42.777777777777771</v>
      </c>
      <c r="F56" s="50">
        <f t="shared" si="25"/>
        <v>70</v>
      </c>
    </row>
    <row r="57" spans="1:21">
      <c r="B57" t="s">
        <v>187</v>
      </c>
      <c r="C57" s="50">
        <f t="shared" si="22"/>
        <v>339.5555555555556</v>
      </c>
      <c r="D57" s="50">
        <f t="shared" si="23"/>
        <v>48.888888888888886</v>
      </c>
      <c r="E57" s="50">
        <f t="shared" si="24"/>
        <v>48.888888888888886</v>
      </c>
      <c r="F57" s="50">
        <f t="shared" si="25"/>
        <v>80</v>
      </c>
    </row>
    <row r="58" spans="1:21">
      <c r="B58" t="s">
        <v>188</v>
      </c>
      <c r="C58" s="50">
        <f t="shared" si="22"/>
        <v>382.00000000000006</v>
      </c>
      <c r="D58" s="50">
        <f t="shared" si="23"/>
        <v>55</v>
      </c>
      <c r="E58" s="50">
        <f t="shared" si="24"/>
        <v>55</v>
      </c>
      <c r="F58" s="50">
        <f t="shared" si="25"/>
        <v>90</v>
      </c>
    </row>
    <row r="59" spans="1:21" ht="6" customHeight="1">
      <c r="A59" s="53"/>
      <c r="B59" s="53"/>
      <c r="C59" s="54"/>
      <c r="D59" s="54"/>
      <c r="E59" s="54"/>
      <c r="F59" s="54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</row>
    <row r="60" spans="1:21">
      <c r="A60" t="s">
        <v>191</v>
      </c>
      <c r="B60" t="s">
        <v>174</v>
      </c>
      <c r="C60">
        <f>ROUND(C61,0)</f>
        <v>828</v>
      </c>
      <c r="D60">
        <f t="shared" ref="D60" si="26">ROUND(D61,0)</f>
        <v>119</v>
      </c>
      <c r="E60">
        <f t="shared" ref="E60" si="27">ROUND(E61,0)</f>
        <v>119</v>
      </c>
      <c r="F60">
        <f t="shared" ref="F60" si="28">ROUND(F61,0)</f>
        <v>194</v>
      </c>
    </row>
    <row r="61" spans="1:21">
      <c r="B61" t="s">
        <v>177</v>
      </c>
      <c r="C61">
        <f>($F$11-$F$8)*C20</f>
        <v>827.84398219775585</v>
      </c>
      <c r="D61">
        <f t="shared" ref="D61:F61" si="29">($F$11-$F$8)*D20</f>
        <v>119.48263660586167</v>
      </c>
      <c r="E61">
        <f t="shared" si="29"/>
        <v>119.48263660586167</v>
      </c>
      <c r="F61">
        <f t="shared" si="29"/>
        <v>194.15928448452522</v>
      </c>
    </row>
    <row r="62" spans="1:21">
      <c r="B62" t="s">
        <v>180</v>
      </c>
      <c r="C62" s="51">
        <f>C60/9</f>
        <v>92</v>
      </c>
      <c r="D62" s="51">
        <f t="shared" ref="D62:F62" si="30">D60/9</f>
        <v>13.222222222222221</v>
      </c>
      <c r="E62" s="51">
        <f t="shared" si="30"/>
        <v>13.222222222222221</v>
      </c>
      <c r="F62" s="51">
        <f t="shared" si="30"/>
        <v>21.555555555555557</v>
      </c>
    </row>
    <row r="63" spans="1:21">
      <c r="B63" t="s">
        <v>181</v>
      </c>
      <c r="C63" s="50">
        <f>C$62+C62</f>
        <v>184</v>
      </c>
      <c r="D63" s="50">
        <f t="shared" ref="D63:F63" si="31">D$62+D62</f>
        <v>26.444444444444443</v>
      </c>
      <c r="E63" s="50">
        <f t="shared" si="31"/>
        <v>26.444444444444443</v>
      </c>
      <c r="F63" s="50">
        <f t="shared" si="31"/>
        <v>43.111111111111114</v>
      </c>
    </row>
    <row r="64" spans="1:21">
      <c r="B64" t="s">
        <v>182</v>
      </c>
      <c r="C64" s="50">
        <f t="shared" ref="C64:C70" si="32">C$62+C63</f>
        <v>276</v>
      </c>
      <c r="D64" s="50">
        <f t="shared" ref="D64:D70" si="33">D$62+D63</f>
        <v>39.666666666666664</v>
      </c>
      <c r="E64" s="50">
        <f t="shared" ref="E64:E70" si="34">E$62+E63</f>
        <v>39.666666666666664</v>
      </c>
      <c r="F64" s="50">
        <f t="shared" ref="F64:F70" si="35">F$62+F63</f>
        <v>64.666666666666671</v>
      </c>
    </row>
    <row r="65" spans="1:21">
      <c r="B65" t="s">
        <v>183</v>
      </c>
      <c r="C65" s="50">
        <f t="shared" si="32"/>
        <v>368</v>
      </c>
      <c r="D65" s="50">
        <f t="shared" si="33"/>
        <v>52.888888888888886</v>
      </c>
      <c r="E65" s="50">
        <f t="shared" si="34"/>
        <v>52.888888888888886</v>
      </c>
      <c r="F65" s="50">
        <f t="shared" si="35"/>
        <v>86.222222222222229</v>
      </c>
    </row>
    <row r="66" spans="1:21">
      <c r="B66" t="s">
        <v>184</v>
      </c>
      <c r="C66" s="50">
        <f t="shared" si="32"/>
        <v>460</v>
      </c>
      <c r="D66" s="50">
        <f t="shared" si="33"/>
        <v>66.111111111111114</v>
      </c>
      <c r="E66" s="50">
        <f t="shared" si="34"/>
        <v>66.111111111111114</v>
      </c>
      <c r="F66" s="50">
        <f t="shared" si="35"/>
        <v>107.77777777777779</v>
      </c>
    </row>
    <row r="67" spans="1:21">
      <c r="B67" t="s">
        <v>185</v>
      </c>
      <c r="C67" s="50">
        <f t="shared" si="32"/>
        <v>552</v>
      </c>
      <c r="D67" s="50">
        <f t="shared" si="33"/>
        <v>79.333333333333343</v>
      </c>
      <c r="E67" s="50">
        <f t="shared" si="34"/>
        <v>79.333333333333343</v>
      </c>
      <c r="F67" s="50">
        <f t="shared" si="35"/>
        <v>129.33333333333334</v>
      </c>
    </row>
    <row r="68" spans="1:21">
      <c r="B68" t="s">
        <v>186</v>
      </c>
      <c r="C68" s="50">
        <f t="shared" si="32"/>
        <v>644</v>
      </c>
      <c r="D68" s="50">
        <f t="shared" si="33"/>
        <v>92.555555555555571</v>
      </c>
      <c r="E68" s="50">
        <f t="shared" si="34"/>
        <v>92.555555555555571</v>
      </c>
      <c r="F68" s="50">
        <f t="shared" si="35"/>
        <v>150.88888888888891</v>
      </c>
    </row>
    <row r="69" spans="1:21">
      <c r="B69" t="s">
        <v>187</v>
      </c>
      <c r="C69" s="50">
        <f t="shared" si="32"/>
        <v>736</v>
      </c>
      <c r="D69" s="50">
        <f t="shared" si="33"/>
        <v>105.7777777777778</v>
      </c>
      <c r="E69" s="50">
        <f t="shared" si="34"/>
        <v>105.7777777777778</v>
      </c>
      <c r="F69" s="50">
        <f t="shared" si="35"/>
        <v>172.44444444444446</v>
      </c>
    </row>
    <row r="70" spans="1:21">
      <c r="B70" t="s">
        <v>188</v>
      </c>
      <c r="C70" s="50">
        <f t="shared" si="32"/>
        <v>828</v>
      </c>
      <c r="D70" s="50">
        <f t="shared" si="33"/>
        <v>119.00000000000003</v>
      </c>
      <c r="E70" s="50">
        <f t="shared" si="34"/>
        <v>119.00000000000003</v>
      </c>
      <c r="F70" s="50">
        <f t="shared" si="35"/>
        <v>194</v>
      </c>
    </row>
    <row r="71" spans="1:21" ht="5.25" customHeight="1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3"/>
      <c r="T71" s="53"/>
      <c r="U71" s="53"/>
    </row>
    <row r="72" spans="1:21">
      <c r="A72" t="s">
        <v>192</v>
      </c>
      <c r="B72" t="s">
        <v>174</v>
      </c>
      <c r="C72">
        <f>ROUND(C73,0)</f>
        <v>1687</v>
      </c>
      <c r="D72">
        <f t="shared" ref="D72" si="36">ROUND(D73,0)</f>
        <v>244</v>
      </c>
      <c r="E72">
        <f t="shared" ref="E72" si="37">ROUND(E73,0)</f>
        <v>244</v>
      </c>
      <c r="F72">
        <f t="shared" ref="F72" si="38">ROUND(F73,0)</f>
        <v>396</v>
      </c>
    </row>
    <row r="73" spans="1:21">
      <c r="B73" t="s">
        <v>177</v>
      </c>
      <c r="C73">
        <f>($F$15-$F$12)*C20</f>
        <v>1687.1353146705451</v>
      </c>
      <c r="D73">
        <f t="shared" ref="D73:F73" si="39">($F$15-$F$12)*D20</f>
        <v>243.50406603492402</v>
      </c>
      <c r="E73">
        <f t="shared" si="39"/>
        <v>243.50406603492402</v>
      </c>
      <c r="F73">
        <f t="shared" si="39"/>
        <v>395.69410730675156</v>
      </c>
    </row>
    <row r="74" spans="1:21">
      <c r="B74" t="s">
        <v>180</v>
      </c>
      <c r="C74" s="51">
        <f>C72/9</f>
        <v>187.44444444444446</v>
      </c>
      <c r="D74" s="51">
        <f t="shared" ref="D74:F74" si="40">D72/9</f>
        <v>27.111111111111111</v>
      </c>
      <c r="E74" s="51">
        <f t="shared" si="40"/>
        <v>27.111111111111111</v>
      </c>
      <c r="F74" s="51">
        <f t="shared" si="40"/>
        <v>44</v>
      </c>
    </row>
    <row r="75" spans="1:21">
      <c r="B75" t="s">
        <v>181</v>
      </c>
      <c r="C75" s="50">
        <f>C$74+C74</f>
        <v>374.88888888888891</v>
      </c>
      <c r="D75" s="50">
        <f t="shared" ref="D75:F75" si="41">D$74+D74</f>
        <v>54.222222222222221</v>
      </c>
      <c r="E75" s="50">
        <f t="shared" si="41"/>
        <v>54.222222222222221</v>
      </c>
      <c r="F75" s="50">
        <f t="shared" si="41"/>
        <v>88</v>
      </c>
    </row>
    <row r="76" spans="1:21">
      <c r="B76" t="s">
        <v>182</v>
      </c>
      <c r="C76" s="50">
        <f t="shared" ref="C76:C82" si="42">C$74+C75</f>
        <v>562.33333333333337</v>
      </c>
      <c r="D76" s="50">
        <f t="shared" ref="D76:D82" si="43">D$74+D75</f>
        <v>81.333333333333329</v>
      </c>
      <c r="E76" s="50">
        <f t="shared" ref="E76:E82" si="44">E$74+E75</f>
        <v>81.333333333333329</v>
      </c>
      <c r="F76" s="50">
        <f t="shared" ref="F76:F82" si="45">F$74+F75</f>
        <v>132</v>
      </c>
    </row>
    <row r="77" spans="1:21">
      <c r="B77" t="s">
        <v>183</v>
      </c>
      <c r="C77" s="50">
        <f t="shared" si="42"/>
        <v>749.77777777777783</v>
      </c>
      <c r="D77" s="50">
        <f t="shared" si="43"/>
        <v>108.44444444444444</v>
      </c>
      <c r="E77" s="50">
        <f t="shared" si="44"/>
        <v>108.44444444444444</v>
      </c>
      <c r="F77" s="50">
        <f t="shared" si="45"/>
        <v>176</v>
      </c>
    </row>
    <row r="78" spans="1:21">
      <c r="B78" t="s">
        <v>184</v>
      </c>
      <c r="C78" s="50">
        <f t="shared" si="42"/>
        <v>937.22222222222229</v>
      </c>
      <c r="D78" s="50">
        <f t="shared" si="43"/>
        <v>135.55555555555554</v>
      </c>
      <c r="E78" s="50">
        <f t="shared" si="44"/>
        <v>135.55555555555554</v>
      </c>
      <c r="F78" s="50">
        <f t="shared" si="45"/>
        <v>220</v>
      </c>
    </row>
    <row r="79" spans="1:21">
      <c r="B79" t="s">
        <v>185</v>
      </c>
      <c r="C79" s="50">
        <f t="shared" si="42"/>
        <v>1124.6666666666667</v>
      </c>
      <c r="D79" s="50">
        <f t="shared" si="43"/>
        <v>162.66666666666666</v>
      </c>
      <c r="E79" s="50">
        <f t="shared" si="44"/>
        <v>162.66666666666666</v>
      </c>
      <c r="F79" s="50">
        <f t="shared" si="45"/>
        <v>264</v>
      </c>
    </row>
    <row r="80" spans="1:21">
      <c r="B80" t="s">
        <v>186</v>
      </c>
      <c r="C80" s="50">
        <f t="shared" si="42"/>
        <v>1312.1111111111113</v>
      </c>
      <c r="D80" s="50">
        <f t="shared" si="43"/>
        <v>189.77777777777777</v>
      </c>
      <c r="E80" s="50">
        <f t="shared" si="44"/>
        <v>189.77777777777777</v>
      </c>
      <c r="F80" s="50">
        <f t="shared" si="45"/>
        <v>308</v>
      </c>
    </row>
    <row r="81" spans="2:6">
      <c r="B81" t="s">
        <v>187</v>
      </c>
      <c r="C81" s="50">
        <f t="shared" si="42"/>
        <v>1499.5555555555557</v>
      </c>
      <c r="D81" s="50">
        <f t="shared" si="43"/>
        <v>216.88888888888889</v>
      </c>
      <c r="E81" s="50">
        <f t="shared" si="44"/>
        <v>216.88888888888889</v>
      </c>
      <c r="F81" s="50">
        <f t="shared" si="45"/>
        <v>352</v>
      </c>
    </row>
    <row r="82" spans="2:6">
      <c r="B82" t="s">
        <v>188</v>
      </c>
      <c r="C82" s="50">
        <f t="shared" si="42"/>
        <v>1687</v>
      </c>
      <c r="D82" s="50">
        <f t="shared" si="43"/>
        <v>244</v>
      </c>
      <c r="E82" s="50">
        <f t="shared" si="44"/>
        <v>244</v>
      </c>
      <c r="F82" s="50">
        <f t="shared" si="45"/>
        <v>396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03"/>
  <sheetViews>
    <sheetView topLeftCell="A19" workbookViewId="0">
      <selection activeCell="C53" sqref="C53"/>
    </sheetView>
  </sheetViews>
  <sheetFormatPr defaultRowHeight="13.5"/>
  <sheetData>
    <row r="2" spans="2:10">
      <c r="B2" t="s">
        <v>57</v>
      </c>
      <c r="C2" t="s">
        <v>58</v>
      </c>
      <c r="D2" t="s">
        <v>58</v>
      </c>
      <c r="E2" t="s">
        <v>58</v>
      </c>
      <c r="F2" t="s">
        <v>58</v>
      </c>
      <c r="G2" t="s">
        <v>58</v>
      </c>
      <c r="H2" t="s">
        <v>58</v>
      </c>
      <c r="I2" t="s">
        <v>58</v>
      </c>
      <c r="J2" t="s">
        <v>58</v>
      </c>
    </row>
    <row r="3" spans="2:10"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</row>
    <row r="4" spans="2:10">
      <c r="B4" t="s">
        <v>68</v>
      </c>
      <c r="C4" t="s">
        <v>69</v>
      </c>
      <c r="D4" t="s">
        <v>70</v>
      </c>
      <c r="E4" t="s">
        <v>71</v>
      </c>
      <c r="F4" t="s">
        <v>72</v>
      </c>
      <c r="G4" t="s">
        <v>73</v>
      </c>
      <c r="H4" t="s">
        <v>74</v>
      </c>
      <c r="I4" t="s">
        <v>75</v>
      </c>
      <c r="J4" t="s">
        <v>76</v>
      </c>
    </row>
    <row r="5" spans="2:10">
      <c r="B5">
        <v>1</v>
      </c>
      <c r="C5">
        <f>'[2]宠物经验(副本关联表)'!$H15</f>
        <v>90</v>
      </c>
      <c r="D5">
        <f>属性拆分生成!C27</f>
        <v>776</v>
      </c>
      <c r="E5">
        <f>属性拆分生成!D27</f>
        <v>112</v>
      </c>
      <c r="F5">
        <f>属性拆分生成!E27</f>
        <v>112</v>
      </c>
      <c r="G5">
        <v>100</v>
      </c>
      <c r="H5">
        <f>属性拆分生成!F27</f>
        <v>182</v>
      </c>
      <c r="I5">
        <v>0</v>
      </c>
      <c r="J5">
        <v>0</v>
      </c>
    </row>
    <row r="6" spans="2:10">
      <c r="B6">
        <v>2</v>
      </c>
      <c r="C6">
        <f>'[2]宠物经验(副本关联表)'!$H16</f>
        <v>110</v>
      </c>
      <c r="D6">
        <f>属性拆分生成!C28</f>
        <v>788</v>
      </c>
      <c r="E6">
        <f>属性拆分生成!D28</f>
        <v>114</v>
      </c>
      <c r="F6">
        <f>属性拆分生成!E28</f>
        <v>114</v>
      </c>
      <c r="G6">
        <v>100</v>
      </c>
      <c r="H6">
        <f>属性拆分生成!F28</f>
        <v>185</v>
      </c>
      <c r="I6">
        <v>0</v>
      </c>
      <c r="J6">
        <v>0</v>
      </c>
    </row>
    <row r="7" spans="2:10">
      <c r="B7">
        <v>3</v>
      </c>
      <c r="C7">
        <f>'[2]宠物经验(副本关联表)'!$H17</f>
        <v>140</v>
      </c>
      <c r="D7">
        <f>属性拆分生成!C29</f>
        <v>800</v>
      </c>
      <c r="E7">
        <f>属性拆分生成!D29</f>
        <v>116</v>
      </c>
      <c r="F7">
        <f>属性拆分生成!E29</f>
        <v>116</v>
      </c>
      <c r="G7">
        <v>100</v>
      </c>
      <c r="H7">
        <f>属性拆分生成!F29</f>
        <v>188</v>
      </c>
      <c r="I7">
        <v>0</v>
      </c>
      <c r="J7">
        <v>0</v>
      </c>
    </row>
    <row r="8" spans="2:10">
      <c r="B8">
        <v>4</v>
      </c>
      <c r="C8">
        <f>'[2]宠物经验(副本关联表)'!$H18</f>
        <v>180</v>
      </c>
      <c r="D8">
        <f>属性拆分生成!C30</f>
        <v>812</v>
      </c>
      <c r="E8">
        <f>属性拆分生成!D30</f>
        <v>117</v>
      </c>
      <c r="F8">
        <f>属性拆分生成!E30</f>
        <v>117</v>
      </c>
      <c r="G8">
        <v>100</v>
      </c>
      <c r="H8">
        <f>属性拆分生成!F30</f>
        <v>190</v>
      </c>
      <c r="I8">
        <v>0</v>
      </c>
      <c r="J8">
        <v>0</v>
      </c>
    </row>
    <row r="9" spans="2:10">
      <c r="B9">
        <v>5</v>
      </c>
      <c r="C9">
        <f>'[2]宠物经验(副本关联表)'!$H19</f>
        <v>240</v>
      </c>
      <c r="D9">
        <f>属性拆分生成!C31</f>
        <v>824</v>
      </c>
      <c r="E9">
        <f>属性拆分生成!D31</f>
        <v>119</v>
      </c>
      <c r="F9">
        <f>属性拆分生成!E31</f>
        <v>119</v>
      </c>
      <c r="G9">
        <v>100</v>
      </c>
      <c r="H9">
        <f>属性拆分生成!F31</f>
        <v>193</v>
      </c>
      <c r="I9">
        <v>0</v>
      </c>
      <c r="J9">
        <v>0</v>
      </c>
    </row>
    <row r="10" spans="2:10">
      <c r="B10">
        <v>6</v>
      </c>
      <c r="C10">
        <f>'[2]宠物经验(副本关联表)'!$H20</f>
        <v>320</v>
      </c>
      <c r="D10">
        <f>属性拆分生成!C32</f>
        <v>837</v>
      </c>
      <c r="E10">
        <f>属性拆分生成!D32</f>
        <v>121</v>
      </c>
      <c r="F10">
        <f>属性拆分生成!E32</f>
        <v>121</v>
      </c>
      <c r="G10">
        <v>100</v>
      </c>
      <c r="H10">
        <f>属性拆分生成!F32</f>
        <v>196</v>
      </c>
      <c r="I10">
        <v>0</v>
      </c>
      <c r="J10">
        <v>0</v>
      </c>
    </row>
    <row r="11" spans="2:10">
      <c r="B11">
        <v>7</v>
      </c>
      <c r="C11">
        <f>'[2]宠物经验(副本关联表)'!$H21</f>
        <v>420</v>
      </c>
      <c r="D11">
        <f>属性拆分生成!C33</f>
        <v>849</v>
      </c>
      <c r="E11">
        <f>属性拆分生成!D33</f>
        <v>123</v>
      </c>
      <c r="F11">
        <f>属性拆分生成!E33</f>
        <v>123</v>
      </c>
      <c r="G11">
        <v>100</v>
      </c>
      <c r="H11">
        <f>属性拆分生成!F33</f>
        <v>199</v>
      </c>
      <c r="I11">
        <v>0</v>
      </c>
      <c r="J11">
        <v>0</v>
      </c>
    </row>
    <row r="12" spans="2:10">
      <c r="B12">
        <v>8</v>
      </c>
      <c r="C12">
        <f>'[2]宠物经验(副本关联表)'!$H22</f>
        <v>540</v>
      </c>
      <c r="D12">
        <f>属性拆分生成!C34</f>
        <v>861</v>
      </c>
      <c r="E12">
        <f>属性拆分生成!D34</f>
        <v>124</v>
      </c>
      <c r="F12">
        <f>属性拆分生成!E34</f>
        <v>124</v>
      </c>
      <c r="G12">
        <v>100</v>
      </c>
      <c r="H12">
        <f>属性拆分生成!F34</f>
        <v>201</v>
      </c>
      <c r="I12">
        <v>0</v>
      </c>
      <c r="J12">
        <v>0</v>
      </c>
    </row>
    <row r="13" spans="2:10">
      <c r="B13">
        <v>9</v>
      </c>
      <c r="C13">
        <f>'[2]宠物经验(副本关联表)'!$H23</f>
        <v>700</v>
      </c>
      <c r="D13">
        <f>属性拆分生成!C35</f>
        <v>873</v>
      </c>
      <c r="E13">
        <f>属性拆分生成!D35</f>
        <v>126</v>
      </c>
      <c r="F13">
        <f>属性拆分生成!E35</f>
        <v>126</v>
      </c>
      <c r="G13">
        <v>100</v>
      </c>
      <c r="H13">
        <f>属性拆分生成!F35</f>
        <v>204</v>
      </c>
      <c r="I13">
        <v>0</v>
      </c>
      <c r="J13">
        <v>0</v>
      </c>
    </row>
    <row r="14" spans="2:10">
      <c r="B14">
        <v>10</v>
      </c>
      <c r="C14">
        <f>'[2]宠物经验(副本关联表)'!$H24</f>
        <v>880</v>
      </c>
      <c r="D14">
        <f>属性拆分生成!C36</f>
        <v>885</v>
      </c>
      <c r="E14">
        <f>属性拆分生成!D36</f>
        <v>128</v>
      </c>
      <c r="F14">
        <f>属性拆分生成!E36</f>
        <v>128</v>
      </c>
      <c r="G14">
        <v>100</v>
      </c>
      <c r="H14">
        <f>属性拆分生成!F36</f>
        <v>207</v>
      </c>
      <c r="I14">
        <v>0</v>
      </c>
      <c r="J14">
        <v>0</v>
      </c>
    </row>
    <row r="15" spans="2:10">
      <c r="B15">
        <v>11</v>
      </c>
      <c r="C15">
        <f>'[2]宠物经验(副本关联表)'!$H25</f>
        <v>1100</v>
      </c>
      <c r="D15">
        <f>属性拆分生成!C37</f>
        <v>896</v>
      </c>
      <c r="E15">
        <f>属性拆分生成!D37</f>
        <v>130</v>
      </c>
      <c r="F15">
        <f>属性拆分生成!E37</f>
        <v>130</v>
      </c>
      <c r="G15">
        <v>100</v>
      </c>
      <c r="H15">
        <f>属性拆分生成!F37</f>
        <v>210</v>
      </c>
      <c r="I15">
        <v>0</v>
      </c>
      <c r="J15">
        <v>0</v>
      </c>
    </row>
    <row r="16" spans="2:10">
      <c r="B16">
        <v>12</v>
      </c>
      <c r="C16">
        <f>'[2]宠物经验(副本关联表)'!$H26</f>
        <v>1350</v>
      </c>
      <c r="D16">
        <f>属性拆分生成!C38</f>
        <v>907</v>
      </c>
      <c r="E16">
        <f>属性拆分生成!D38</f>
        <v>131</v>
      </c>
      <c r="F16">
        <f>属性拆分生成!E38</f>
        <v>131</v>
      </c>
      <c r="G16">
        <v>100</v>
      </c>
      <c r="H16">
        <f>属性拆分生成!F38</f>
        <v>212</v>
      </c>
      <c r="I16">
        <v>0</v>
      </c>
      <c r="J16">
        <v>0</v>
      </c>
    </row>
    <row r="17" spans="2:10">
      <c r="B17">
        <v>13</v>
      </c>
      <c r="C17">
        <f>'[2]宠物经验(副本关联表)'!$H27</f>
        <v>1650</v>
      </c>
      <c r="D17">
        <f>属性拆分生成!C39</f>
        <v>917</v>
      </c>
      <c r="E17">
        <f>属性拆分生成!D39</f>
        <v>133</v>
      </c>
      <c r="F17">
        <f>属性拆分生成!E39</f>
        <v>133</v>
      </c>
      <c r="G17">
        <v>100</v>
      </c>
      <c r="H17">
        <f>属性拆分生成!F39</f>
        <v>215</v>
      </c>
      <c r="I17">
        <v>0</v>
      </c>
      <c r="J17">
        <v>0</v>
      </c>
    </row>
    <row r="18" spans="2:10">
      <c r="B18">
        <v>14</v>
      </c>
      <c r="C18">
        <f>'[2]宠物经验(副本关联表)'!$H28</f>
        <v>1980</v>
      </c>
      <c r="D18">
        <f>属性拆分生成!C40</f>
        <v>928</v>
      </c>
      <c r="E18">
        <f>属性拆分生成!D40</f>
        <v>134</v>
      </c>
      <c r="F18">
        <f>属性拆分生成!E40</f>
        <v>134</v>
      </c>
      <c r="G18">
        <v>100</v>
      </c>
      <c r="H18">
        <f>属性拆分生成!F40</f>
        <v>217</v>
      </c>
      <c r="I18">
        <v>0</v>
      </c>
      <c r="J18">
        <v>0</v>
      </c>
    </row>
    <row r="19" spans="2:10">
      <c r="B19">
        <v>15</v>
      </c>
      <c r="C19">
        <f>'[2]宠物经验(副本关联表)'!$H29</f>
        <v>2370</v>
      </c>
      <c r="D19">
        <f>属性拆分生成!C41</f>
        <v>939</v>
      </c>
      <c r="E19">
        <f>属性拆分生成!D41</f>
        <v>136</v>
      </c>
      <c r="F19">
        <f>属性拆分生成!E41</f>
        <v>136</v>
      </c>
      <c r="G19">
        <v>100</v>
      </c>
      <c r="H19">
        <f>属性拆分生成!F41</f>
        <v>220</v>
      </c>
      <c r="I19">
        <v>0</v>
      </c>
      <c r="J19">
        <v>160</v>
      </c>
    </row>
    <row r="20" spans="2:10">
      <c r="B20">
        <v>16</v>
      </c>
      <c r="C20">
        <f>'[2]宠物经验(副本关联表)'!$H30</f>
        <v>2800</v>
      </c>
      <c r="D20">
        <f>属性拆分生成!C42</f>
        <v>950</v>
      </c>
      <c r="E20">
        <f>属性拆分生成!D42</f>
        <v>137</v>
      </c>
      <c r="F20">
        <f>属性拆分生成!E42</f>
        <v>137</v>
      </c>
      <c r="G20">
        <v>100</v>
      </c>
      <c r="H20">
        <f>属性拆分生成!F42</f>
        <v>223</v>
      </c>
      <c r="I20">
        <v>0</v>
      </c>
      <c r="J20">
        <v>0</v>
      </c>
    </row>
    <row r="21" spans="2:10">
      <c r="B21">
        <v>17</v>
      </c>
      <c r="C21">
        <f>'[2]宠物经验(副本关联表)'!$H31</f>
        <v>3280</v>
      </c>
      <c r="D21">
        <f>属性拆分生成!C43</f>
        <v>961</v>
      </c>
      <c r="E21">
        <f>属性拆分生成!D43</f>
        <v>139</v>
      </c>
      <c r="F21">
        <f>属性拆分生成!E43</f>
        <v>139</v>
      </c>
      <c r="G21">
        <v>100</v>
      </c>
      <c r="H21">
        <f>属性拆分生成!F43</f>
        <v>225</v>
      </c>
      <c r="I21">
        <v>0</v>
      </c>
      <c r="J21">
        <v>0</v>
      </c>
    </row>
    <row r="22" spans="2:10">
      <c r="B22">
        <v>18</v>
      </c>
      <c r="C22">
        <f>'[2]宠物经验(副本关联表)'!$H32</f>
        <v>3820</v>
      </c>
      <c r="D22">
        <f>属性拆分生成!C44</f>
        <v>971</v>
      </c>
      <c r="E22">
        <f>属性拆分生成!D44</f>
        <v>140</v>
      </c>
      <c r="F22">
        <f>属性拆分生成!E44</f>
        <v>140</v>
      </c>
      <c r="G22">
        <v>100</v>
      </c>
      <c r="H22">
        <f>属性拆分生成!F44</f>
        <v>228</v>
      </c>
      <c r="I22">
        <v>0</v>
      </c>
      <c r="J22">
        <v>0</v>
      </c>
    </row>
    <row r="23" spans="2:10">
      <c r="B23">
        <v>19</v>
      </c>
      <c r="C23">
        <f>'[2]宠物经验(副本关联表)'!$H33</f>
        <v>4420</v>
      </c>
      <c r="D23">
        <f>属性拆分生成!C45</f>
        <v>982</v>
      </c>
      <c r="E23">
        <f>属性拆分生成!D45</f>
        <v>142</v>
      </c>
      <c r="F23">
        <f>属性拆分生成!E45</f>
        <v>142</v>
      </c>
      <c r="G23">
        <v>100</v>
      </c>
      <c r="H23">
        <f>属性拆分生成!F45</f>
        <v>230</v>
      </c>
      <c r="I23">
        <v>0</v>
      </c>
      <c r="J23">
        <v>0</v>
      </c>
    </row>
    <row r="24" spans="2:10">
      <c r="B24">
        <v>20</v>
      </c>
      <c r="C24">
        <f>'[2]宠物经验(副本关联表)'!$H34</f>
        <v>5080</v>
      </c>
      <c r="D24">
        <f>属性拆分生成!C46</f>
        <v>993</v>
      </c>
      <c r="E24">
        <f>属性拆分生成!D46</f>
        <v>143</v>
      </c>
      <c r="F24">
        <f>属性拆分生成!E46</f>
        <v>143</v>
      </c>
      <c r="G24">
        <v>100</v>
      </c>
      <c r="H24">
        <f>属性拆分生成!F46</f>
        <v>233</v>
      </c>
      <c r="I24">
        <v>0</v>
      </c>
      <c r="J24">
        <v>0</v>
      </c>
    </row>
    <row r="25" spans="2:10">
      <c r="B25">
        <v>21</v>
      </c>
      <c r="C25">
        <f>'[2]宠物经验(副本关联表)'!$H35</f>
        <v>7310</v>
      </c>
      <c r="D25">
        <f>属性拆分生成!C47</f>
        <v>1004</v>
      </c>
      <c r="E25">
        <f>属性拆分生成!D47</f>
        <v>145</v>
      </c>
      <c r="F25">
        <f>属性拆分生成!E47</f>
        <v>145</v>
      </c>
      <c r="G25">
        <v>100</v>
      </c>
      <c r="H25">
        <f>属性拆分生成!F47</f>
        <v>236</v>
      </c>
      <c r="I25">
        <v>0</v>
      </c>
      <c r="J25">
        <v>0</v>
      </c>
    </row>
    <row r="26" spans="2:10">
      <c r="B26">
        <v>22</v>
      </c>
      <c r="C26">
        <f>'[2]宠物经验(副本关联表)'!$H36</f>
        <v>8160</v>
      </c>
      <c r="D26">
        <f>属性拆分生成!C48</f>
        <v>1015</v>
      </c>
      <c r="E26">
        <f>属性拆分生成!D48</f>
        <v>146</v>
      </c>
      <c r="F26">
        <f>属性拆分生成!E48</f>
        <v>146</v>
      </c>
      <c r="G26">
        <v>100</v>
      </c>
      <c r="H26">
        <f>属性拆分生成!F48</f>
        <v>238</v>
      </c>
      <c r="I26">
        <v>0</v>
      </c>
      <c r="J26">
        <v>0</v>
      </c>
    </row>
    <row r="27" spans="2:10">
      <c r="B27">
        <v>23</v>
      </c>
      <c r="C27">
        <f>'[2]宠物经验(副本关联表)'!$H37</f>
        <v>9080</v>
      </c>
      <c r="D27">
        <f>属性拆分生成!C49</f>
        <v>1026</v>
      </c>
      <c r="E27">
        <f>属性拆分生成!D49</f>
        <v>148</v>
      </c>
      <c r="F27">
        <f>属性拆分生成!E49</f>
        <v>148</v>
      </c>
      <c r="G27">
        <v>100</v>
      </c>
      <c r="H27">
        <f>属性拆分生成!F49</f>
        <v>241</v>
      </c>
      <c r="I27">
        <v>0</v>
      </c>
      <c r="J27">
        <v>0</v>
      </c>
    </row>
    <row r="28" spans="2:10">
      <c r="B28">
        <v>24</v>
      </c>
      <c r="C28">
        <f>'[2]宠物经验(副本关联表)'!$H38</f>
        <v>10070</v>
      </c>
      <c r="D28">
        <f>属性拆分生成!C50</f>
        <v>1037</v>
      </c>
      <c r="E28">
        <f>属性拆分生成!D50</f>
        <v>149</v>
      </c>
      <c r="F28">
        <f>属性拆分生成!E50</f>
        <v>149</v>
      </c>
      <c r="G28">
        <v>100</v>
      </c>
      <c r="H28">
        <f>属性拆分生成!F50</f>
        <v>243</v>
      </c>
      <c r="I28">
        <v>0</v>
      </c>
      <c r="J28">
        <v>0</v>
      </c>
    </row>
    <row r="29" spans="2:10">
      <c r="B29">
        <v>25</v>
      </c>
      <c r="C29">
        <f>'[2]宠物经验(副本关联表)'!$H39</f>
        <v>11140</v>
      </c>
      <c r="D29">
        <f>属性拆分生成!C51</f>
        <v>1048</v>
      </c>
      <c r="E29">
        <f>属性拆分生成!D51</f>
        <v>151</v>
      </c>
      <c r="F29">
        <f>属性拆分生成!E51</f>
        <v>151</v>
      </c>
      <c r="G29">
        <v>100</v>
      </c>
      <c r="H29">
        <f>属性拆分生成!F51</f>
        <v>246</v>
      </c>
      <c r="I29">
        <v>0</v>
      </c>
      <c r="J29">
        <v>0</v>
      </c>
    </row>
    <row r="30" spans="2:10">
      <c r="B30">
        <v>26</v>
      </c>
      <c r="C30">
        <f>'[2]宠物经验(副本关联表)'!$H40</f>
        <v>12290</v>
      </c>
      <c r="D30">
        <f>属性拆分生成!C52</f>
        <v>1058</v>
      </c>
      <c r="E30">
        <f>属性拆分生成!D52</f>
        <v>153</v>
      </c>
      <c r="F30">
        <f>属性拆分生成!E52</f>
        <v>153</v>
      </c>
      <c r="G30">
        <v>100</v>
      </c>
      <c r="H30">
        <f>属性拆分生成!F52</f>
        <v>248</v>
      </c>
      <c r="I30">
        <v>0</v>
      </c>
      <c r="J30">
        <v>0</v>
      </c>
    </row>
    <row r="31" spans="2:10">
      <c r="B31">
        <v>27</v>
      </c>
      <c r="C31">
        <f>'[2]宠物经验(副本关联表)'!$H41</f>
        <v>13520</v>
      </c>
      <c r="D31">
        <f>属性拆分生成!C53</f>
        <v>1069</v>
      </c>
      <c r="E31">
        <f>属性拆分生成!D53</f>
        <v>154</v>
      </c>
      <c r="F31">
        <f>属性拆分生成!E53</f>
        <v>154</v>
      </c>
      <c r="G31">
        <v>100</v>
      </c>
      <c r="H31">
        <f>属性拆分生成!F53</f>
        <v>251</v>
      </c>
      <c r="I31">
        <v>0</v>
      </c>
      <c r="J31">
        <v>0</v>
      </c>
    </row>
    <row r="32" spans="2:10">
      <c r="B32">
        <v>28</v>
      </c>
      <c r="C32">
        <f>'[2]宠物经验(副本关联表)'!$H42</f>
        <v>14830</v>
      </c>
      <c r="D32">
        <f>属性拆分生成!C54</f>
        <v>1080</v>
      </c>
      <c r="E32">
        <f>属性拆分生成!D54</f>
        <v>156</v>
      </c>
      <c r="F32">
        <f>属性拆分生成!E54</f>
        <v>156</v>
      </c>
      <c r="G32">
        <v>100</v>
      </c>
      <c r="H32">
        <f>属性拆分生成!F54</f>
        <v>253</v>
      </c>
      <c r="I32">
        <v>0</v>
      </c>
      <c r="J32">
        <v>0</v>
      </c>
    </row>
    <row r="33" spans="2:10">
      <c r="B33">
        <v>29</v>
      </c>
      <c r="C33">
        <f>'[2]宠物经验(副本关联表)'!$H43</f>
        <v>16230</v>
      </c>
      <c r="D33">
        <f>属性拆分生成!C55</f>
        <v>1091</v>
      </c>
      <c r="E33">
        <f>属性拆分生成!D55</f>
        <v>157</v>
      </c>
      <c r="F33">
        <f>属性拆分生成!E55</f>
        <v>157</v>
      </c>
      <c r="G33">
        <v>100</v>
      </c>
      <c r="H33">
        <f>属性拆分生成!F55</f>
        <v>256</v>
      </c>
      <c r="I33">
        <v>0</v>
      </c>
      <c r="J33">
        <v>0</v>
      </c>
    </row>
    <row r="34" spans="2:10">
      <c r="B34">
        <v>30</v>
      </c>
      <c r="C34">
        <f>'[2]宠物经验(副本关联表)'!$H44</f>
        <v>17730</v>
      </c>
      <c r="D34">
        <f>属性拆分生成!C56</f>
        <v>1102</v>
      </c>
      <c r="E34">
        <f>属性拆分生成!D56</f>
        <v>159</v>
      </c>
      <c r="F34">
        <f>属性拆分生成!E56</f>
        <v>159</v>
      </c>
      <c r="G34">
        <v>100</v>
      </c>
      <c r="H34">
        <f>属性拆分生成!F56</f>
        <v>258</v>
      </c>
      <c r="I34">
        <v>0</v>
      </c>
      <c r="J34">
        <v>0</v>
      </c>
    </row>
    <row r="35" spans="2:10">
      <c r="B35">
        <v>31</v>
      </c>
      <c r="C35">
        <f>'[2]宠物经验(副本关联表)'!$H45</f>
        <v>28010</v>
      </c>
      <c r="D35">
        <f>属性拆分生成!C57</f>
        <v>1113</v>
      </c>
      <c r="E35">
        <f>属性拆分生成!D57</f>
        <v>161</v>
      </c>
      <c r="F35">
        <f>属性拆分生成!E57</f>
        <v>161</v>
      </c>
      <c r="G35">
        <v>100</v>
      </c>
      <c r="H35">
        <f>属性拆分生成!F57</f>
        <v>261</v>
      </c>
      <c r="I35">
        <v>0</v>
      </c>
      <c r="J35">
        <v>0</v>
      </c>
    </row>
    <row r="36" spans="2:10">
      <c r="B36">
        <v>32</v>
      </c>
      <c r="C36">
        <f>'[2]宠物经验(副本关联表)'!$H46</f>
        <v>30340</v>
      </c>
      <c r="D36">
        <f>属性拆分生成!C58</f>
        <v>1124</v>
      </c>
      <c r="E36">
        <f>属性拆分生成!D58</f>
        <v>162</v>
      </c>
      <c r="F36">
        <f>属性拆分生成!E58</f>
        <v>162</v>
      </c>
      <c r="G36">
        <v>100</v>
      </c>
      <c r="H36">
        <f>属性拆分生成!F58</f>
        <v>263</v>
      </c>
      <c r="I36">
        <v>0</v>
      </c>
      <c r="J36">
        <v>0</v>
      </c>
    </row>
    <row r="37" spans="2:10">
      <c r="B37">
        <v>33</v>
      </c>
      <c r="C37">
        <f>'[2]宠物经验(副本关联表)'!$H47</f>
        <v>32810</v>
      </c>
      <c r="D37">
        <f>属性拆分生成!C59</f>
        <v>1135</v>
      </c>
      <c r="E37">
        <f>属性拆分生成!D59</f>
        <v>164</v>
      </c>
      <c r="F37">
        <f>属性拆分生成!E59</f>
        <v>164</v>
      </c>
      <c r="G37">
        <v>100</v>
      </c>
      <c r="H37">
        <f>属性拆分生成!F59</f>
        <v>266</v>
      </c>
      <c r="I37">
        <v>0</v>
      </c>
      <c r="J37">
        <v>0</v>
      </c>
    </row>
    <row r="38" spans="2:10">
      <c r="B38">
        <v>34</v>
      </c>
      <c r="C38">
        <f>'[2]宠物经验(副本关联表)'!$H48</f>
        <v>35420</v>
      </c>
      <c r="D38">
        <f>属性拆分生成!C60</f>
        <v>1146</v>
      </c>
      <c r="E38">
        <f>属性拆分生成!D60</f>
        <v>165</v>
      </c>
      <c r="F38">
        <f>属性拆分生成!E60</f>
        <v>165</v>
      </c>
      <c r="G38">
        <v>100</v>
      </c>
      <c r="H38">
        <f>属性拆分生成!F60</f>
        <v>268</v>
      </c>
      <c r="I38">
        <v>0</v>
      </c>
      <c r="J38">
        <v>0</v>
      </c>
    </row>
    <row r="39" spans="2:10">
      <c r="B39">
        <v>35</v>
      </c>
      <c r="C39">
        <f>'[2]宠物经验(副本关联表)'!$H49</f>
        <v>38180</v>
      </c>
      <c r="D39">
        <f>属性拆分生成!C61</f>
        <v>1157</v>
      </c>
      <c r="E39">
        <f>属性拆分生成!D61</f>
        <v>167</v>
      </c>
      <c r="F39">
        <f>属性拆分生成!E61</f>
        <v>167</v>
      </c>
      <c r="G39">
        <v>100</v>
      </c>
      <c r="H39">
        <f>属性拆分生成!F61</f>
        <v>271</v>
      </c>
      <c r="I39">
        <v>0</v>
      </c>
      <c r="J39">
        <v>0</v>
      </c>
    </row>
    <row r="40" spans="2:10">
      <c r="B40">
        <v>36</v>
      </c>
      <c r="C40">
        <f>'[2]宠物经验(副本关联表)'!$H50</f>
        <v>41090</v>
      </c>
      <c r="D40">
        <f>属性拆分生成!C62</f>
        <v>1167</v>
      </c>
      <c r="E40">
        <f>属性拆分生成!D62</f>
        <v>169</v>
      </c>
      <c r="F40">
        <f>属性拆分生成!E62</f>
        <v>169</v>
      </c>
      <c r="G40">
        <v>100</v>
      </c>
      <c r="H40">
        <f>属性拆分生成!F62</f>
        <v>274</v>
      </c>
      <c r="I40">
        <v>0</v>
      </c>
      <c r="J40">
        <v>0</v>
      </c>
    </row>
    <row r="41" spans="2:10">
      <c r="B41">
        <v>37</v>
      </c>
      <c r="C41">
        <f>'[2]宠物经验(副本关联表)'!$H51</f>
        <v>44150</v>
      </c>
      <c r="D41">
        <f>属性拆分生成!C63</f>
        <v>1178</v>
      </c>
      <c r="E41">
        <f>属性拆分生成!D63</f>
        <v>170</v>
      </c>
      <c r="F41">
        <f>属性拆分生成!E63</f>
        <v>170</v>
      </c>
      <c r="G41">
        <v>100</v>
      </c>
      <c r="H41">
        <f>属性拆分生成!F63</f>
        <v>276</v>
      </c>
      <c r="I41">
        <v>0</v>
      </c>
      <c r="J41">
        <v>0</v>
      </c>
    </row>
    <row r="42" spans="2:10">
      <c r="B42">
        <v>38</v>
      </c>
      <c r="C42">
        <f>'[2]宠物经验(副本关联表)'!$H52</f>
        <v>47370</v>
      </c>
      <c r="D42">
        <f>属性拆分生成!C64</f>
        <v>1189</v>
      </c>
      <c r="E42">
        <f>属性拆分生成!D64</f>
        <v>172</v>
      </c>
      <c r="F42">
        <f>属性拆分生成!E64</f>
        <v>172</v>
      </c>
      <c r="G42">
        <v>100</v>
      </c>
      <c r="H42">
        <f>属性拆分生成!F64</f>
        <v>279</v>
      </c>
      <c r="I42">
        <v>0</v>
      </c>
      <c r="J42">
        <v>0</v>
      </c>
    </row>
    <row r="43" spans="2:10">
      <c r="B43">
        <v>39</v>
      </c>
      <c r="C43">
        <f>'[2]宠物经验(副本关联表)'!$H53</f>
        <v>50760</v>
      </c>
      <c r="D43">
        <f>属性拆分生成!C65</f>
        <v>1200</v>
      </c>
      <c r="E43">
        <f>属性拆分生成!D65</f>
        <v>173</v>
      </c>
      <c r="F43">
        <f>属性拆分生成!E65</f>
        <v>173</v>
      </c>
      <c r="G43">
        <v>100</v>
      </c>
      <c r="H43">
        <f>属性拆分生成!F65</f>
        <v>281</v>
      </c>
      <c r="I43">
        <v>0</v>
      </c>
      <c r="J43">
        <v>0</v>
      </c>
    </row>
    <row r="44" spans="2:10">
      <c r="B44">
        <v>40</v>
      </c>
      <c r="C44">
        <f>'[2]宠物经验(副本关联表)'!$H54</f>
        <v>54320</v>
      </c>
      <c r="D44">
        <f>属性拆分生成!C66</f>
        <v>1211</v>
      </c>
      <c r="E44">
        <f>属性拆分生成!D66</f>
        <v>175</v>
      </c>
      <c r="F44">
        <f>属性拆分生成!E66</f>
        <v>175</v>
      </c>
      <c r="G44">
        <v>100</v>
      </c>
      <c r="H44">
        <f>属性拆分生成!F66</f>
        <v>284</v>
      </c>
      <c r="I44">
        <v>0</v>
      </c>
      <c r="J44">
        <v>300</v>
      </c>
    </row>
    <row r="45" spans="2:10">
      <c r="B45">
        <v>41</v>
      </c>
      <c r="C45">
        <f>'[2]宠物经验(副本关联表)'!$H55</f>
        <v>58040</v>
      </c>
      <c r="D45">
        <f>属性拆分生成!C67</f>
        <v>1222</v>
      </c>
      <c r="E45">
        <f>属性拆分生成!D67</f>
        <v>177</v>
      </c>
      <c r="F45">
        <f>属性拆分生成!E67</f>
        <v>177</v>
      </c>
      <c r="G45">
        <v>100</v>
      </c>
      <c r="H45">
        <f>属性拆分生成!F67</f>
        <v>287</v>
      </c>
      <c r="I45">
        <v>0</v>
      </c>
      <c r="J45">
        <v>0</v>
      </c>
    </row>
    <row r="46" spans="2:10">
      <c r="B46">
        <v>42</v>
      </c>
      <c r="C46">
        <f>'[2]宠物经验(副本关联表)'!$H56</f>
        <v>61950</v>
      </c>
      <c r="D46">
        <f>属性拆分生成!C68</f>
        <v>1233</v>
      </c>
      <c r="E46">
        <f>属性拆分生成!D68</f>
        <v>178</v>
      </c>
      <c r="F46">
        <f>属性拆分生成!E68</f>
        <v>178</v>
      </c>
      <c r="G46">
        <v>100</v>
      </c>
      <c r="H46">
        <f>属性拆分生成!F68</f>
        <v>289</v>
      </c>
      <c r="I46">
        <v>0</v>
      </c>
      <c r="J46">
        <v>0</v>
      </c>
    </row>
    <row r="47" spans="2:10">
      <c r="B47">
        <v>43</v>
      </c>
      <c r="C47">
        <f>'[2]宠物经验(副本关联表)'!$H57</f>
        <v>66030</v>
      </c>
      <c r="D47">
        <f>属性拆分生成!C69</f>
        <v>1243</v>
      </c>
      <c r="E47">
        <f>属性拆分生成!D69</f>
        <v>180</v>
      </c>
      <c r="F47">
        <f>属性拆分生成!E69</f>
        <v>180</v>
      </c>
      <c r="G47">
        <v>100</v>
      </c>
      <c r="H47">
        <f>属性拆分生成!F69</f>
        <v>292</v>
      </c>
      <c r="I47">
        <v>0</v>
      </c>
      <c r="J47">
        <v>0</v>
      </c>
    </row>
    <row r="48" spans="2:10">
      <c r="B48">
        <v>44</v>
      </c>
      <c r="C48">
        <f>'[2]宠物经验(副本关联表)'!$H58</f>
        <v>70300</v>
      </c>
      <c r="D48">
        <f>属性拆分生成!C70</f>
        <v>1254</v>
      </c>
      <c r="E48">
        <f>属性拆分生成!D70</f>
        <v>181</v>
      </c>
      <c r="F48">
        <f>属性拆分生成!E70</f>
        <v>181</v>
      </c>
      <c r="G48">
        <v>100</v>
      </c>
      <c r="H48">
        <f>属性拆分生成!F70</f>
        <v>294</v>
      </c>
      <c r="I48">
        <v>0</v>
      </c>
      <c r="J48">
        <v>0</v>
      </c>
    </row>
    <row r="49" spans="2:10">
      <c r="B49">
        <v>45</v>
      </c>
      <c r="C49">
        <f>'[2]宠物经验(副本关联表)'!$H59</f>
        <v>74750</v>
      </c>
      <c r="D49">
        <f>属性拆分生成!C71</f>
        <v>1265</v>
      </c>
      <c r="E49">
        <f>属性拆分生成!D71</f>
        <v>183</v>
      </c>
      <c r="F49">
        <f>属性拆分生成!E71</f>
        <v>183</v>
      </c>
      <c r="G49">
        <v>100</v>
      </c>
      <c r="H49">
        <f>属性拆分生成!F71</f>
        <v>297</v>
      </c>
      <c r="I49">
        <v>0</v>
      </c>
      <c r="J49">
        <v>0</v>
      </c>
    </row>
    <row r="50" spans="2:10">
      <c r="B50">
        <v>46</v>
      </c>
      <c r="C50">
        <f>'[2]宠物经验(副本关联表)'!$H60</f>
        <v>79400</v>
      </c>
      <c r="D50">
        <f>属性拆分生成!C72</f>
        <v>1276</v>
      </c>
      <c r="E50">
        <f>属性拆分生成!D72</f>
        <v>184</v>
      </c>
      <c r="F50">
        <f>属性拆分生成!E72</f>
        <v>184</v>
      </c>
      <c r="G50">
        <v>100</v>
      </c>
      <c r="H50">
        <f>属性拆分生成!F72</f>
        <v>299</v>
      </c>
      <c r="I50">
        <v>0</v>
      </c>
      <c r="J50">
        <v>0</v>
      </c>
    </row>
    <row r="51" spans="2:10">
      <c r="B51">
        <v>47</v>
      </c>
      <c r="C51">
        <f>'[2]宠物经验(副本关联表)'!$H61</f>
        <v>84250</v>
      </c>
      <c r="D51">
        <f>属性拆分生成!C73</f>
        <v>1287</v>
      </c>
      <c r="E51">
        <f>属性拆分生成!D73</f>
        <v>186</v>
      </c>
      <c r="F51">
        <f>属性拆分生成!E73</f>
        <v>186</v>
      </c>
      <c r="G51">
        <v>100</v>
      </c>
      <c r="H51">
        <f>属性拆分生成!F73</f>
        <v>302</v>
      </c>
      <c r="I51">
        <v>0</v>
      </c>
      <c r="J51">
        <v>0</v>
      </c>
    </row>
    <row r="52" spans="2:10">
      <c r="B52">
        <v>48</v>
      </c>
      <c r="C52">
        <f>'[2]宠物经验(副本关联表)'!$H62</f>
        <v>89300</v>
      </c>
      <c r="D52">
        <f>属性拆分生成!C74</f>
        <v>1297</v>
      </c>
      <c r="E52">
        <f>属性拆分生成!D74</f>
        <v>187</v>
      </c>
      <c r="F52">
        <f>属性拆分生成!E74</f>
        <v>187</v>
      </c>
      <c r="G52">
        <v>100</v>
      </c>
      <c r="H52">
        <f>属性拆分生成!F74</f>
        <v>304</v>
      </c>
      <c r="I52">
        <v>0</v>
      </c>
      <c r="J52">
        <v>0</v>
      </c>
    </row>
    <row r="53" spans="2:10">
      <c r="B53">
        <v>49</v>
      </c>
      <c r="C53">
        <f>'[2]宠物经验(副本关联表)'!$H63</f>
        <v>94550</v>
      </c>
      <c r="D53">
        <f>属性拆分生成!C75</f>
        <v>1308</v>
      </c>
      <c r="E53">
        <f>属性拆分生成!D75</f>
        <v>189</v>
      </c>
      <c r="F53">
        <f>属性拆分生成!E75</f>
        <v>189</v>
      </c>
      <c r="G53">
        <v>100</v>
      </c>
      <c r="H53">
        <f>属性拆分生成!F75</f>
        <v>307</v>
      </c>
      <c r="I53">
        <v>0</v>
      </c>
      <c r="J53">
        <v>0</v>
      </c>
    </row>
    <row r="54" spans="2:10">
      <c r="B54">
        <v>50</v>
      </c>
      <c r="C54">
        <v>5000</v>
      </c>
      <c r="D54">
        <f>属性拆分生成!C76</f>
        <v>1319</v>
      </c>
      <c r="E54">
        <f>属性拆分生成!D76</f>
        <v>190</v>
      </c>
      <c r="F54">
        <f>属性拆分生成!E76</f>
        <v>190</v>
      </c>
      <c r="G54">
        <v>100</v>
      </c>
      <c r="H54">
        <f>属性拆分生成!F76</f>
        <v>309</v>
      </c>
      <c r="I54">
        <v>0</v>
      </c>
      <c r="J54">
        <v>0</v>
      </c>
    </row>
    <row r="55" spans="2:10">
      <c r="B55">
        <v>51</v>
      </c>
      <c r="C55">
        <v>5100</v>
      </c>
      <c r="D55">
        <v>1000</v>
      </c>
      <c r="E55">
        <v>100</v>
      </c>
      <c r="F55">
        <v>100</v>
      </c>
      <c r="G55">
        <v>100</v>
      </c>
      <c r="H55">
        <v>100</v>
      </c>
      <c r="I55">
        <v>0</v>
      </c>
      <c r="J55">
        <v>0</v>
      </c>
    </row>
    <row r="56" spans="2:10">
      <c r="B56">
        <v>52</v>
      </c>
      <c r="C56">
        <v>5200</v>
      </c>
      <c r="D56">
        <v>1000</v>
      </c>
      <c r="E56">
        <v>100</v>
      </c>
      <c r="F56">
        <v>100</v>
      </c>
      <c r="G56">
        <v>100</v>
      </c>
      <c r="H56">
        <v>100</v>
      </c>
      <c r="I56">
        <v>0</v>
      </c>
      <c r="J56">
        <v>0</v>
      </c>
    </row>
    <row r="57" spans="2:10">
      <c r="B57">
        <v>53</v>
      </c>
      <c r="C57">
        <v>5300</v>
      </c>
      <c r="D57">
        <v>1000</v>
      </c>
      <c r="E57">
        <v>100</v>
      </c>
      <c r="F57">
        <v>100</v>
      </c>
      <c r="G57">
        <v>100</v>
      </c>
      <c r="H57">
        <v>100</v>
      </c>
      <c r="I57">
        <v>0</v>
      </c>
      <c r="J57">
        <v>0</v>
      </c>
    </row>
    <row r="58" spans="2:10">
      <c r="B58">
        <v>54</v>
      </c>
      <c r="C58">
        <v>5400</v>
      </c>
      <c r="D58">
        <v>1000</v>
      </c>
      <c r="E58">
        <v>100</v>
      </c>
      <c r="F58">
        <v>100</v>
      </c>
      <c r="G58">
        <v>100</v>
      </c>
      <c r="H58">
        <v>100</v>
      </c>
      <c r="I58">
        <v>0</v>
      </c>
      <c r="J58">
        <v>0</v>
      </c>
    </row>
    <row r="59" spans="2:10">
      <c r="B59">
        <v>55</v>
      </c>
      <c r="C59">
        <v>5500</v>
      </c>
      <c r="D59">
        <v>1000</v>
      </c>
      <c r="E59">
        <v>100</v>
      </c>
      <c r="F59">
        <v>100</v>
      </c>
      <c r="G59">
        <v>100</v>
      </c>
      <c r="H59">
        <v>100</v>
      </c>
      <c r="I59">
        <v>0</v>
      </c>
      <c r="J59">
        <v>0</v>
      </c>
    </row>
    <row r="60" spans="2:10">
      <c r="B60">
        <v>56</v>
      </c>
      <c r="C60">
        <v>5600</v>
      </c>
      <c r="D60">
        <v>1000</v>
      </c>
      <c r="E60">
        <v>100</v>
      </c>
      <c r="F60">
        <v>100</v>
      </c>
      <c r="G60">
        <v>100</v>
      </c>
      <c r="H60">
        <v>100</v>
      </c>
      <c r="I60">
        <v>0</v>
      </c>
      <c r="J60">
        <v>0</v>
      </c>
    </row>
    <row r="61" spans="2:10">
      <c r="B61">
        <v>57</v>
      </c>
      <c r="C61">
        <v>5700</v>
      </c>
      <c r="D61">
        <v>1000</v>
      </c>
      <c r="E61">
        <v>100</v>
      </c>
      <c r="F61">
        <v>100</v>
      </c>
      <c r="G61">
        <v>100</v>
      </c>
      <c r="H61">
        <v>100</v>
      </c>
      <c r="I61">
        <v>0</v>
      </c>
      <c r="J61">
        <v>0</v>
      </c>
    </row>
    <row r="62" spans="2:10">
      <c r="B62">
        <v>58</v>
      </c>
      <c r="C62">
        <v>5800</v>
      </c>
      <c r="D62">
        <v>1000</v>
      </c>
      <c r="E62">
        <v>100</v>
      </c>
      <c r="F62">
        <v>100</v>
      </c>
      <c r="G62">
        <v>100</v>
      </c>
      <c r="H62">
        <v>100</v>
      </c>
      <c r="I62">
        <v>0</v>
      </c>
      <c r="J62">
        <v>0</v>
      </c>
    </row>
    <row r="63" spans="2:10">
      <c r="B63">
        <v>59</v>
      </c>
      <c r="C63">
        <v>5900</v>
      </c>
      <c r="D63">
        <v>1000</v>
      </c>
      <c r="E63">
        <v>100</v>
      </c>
      <c r="F63">
        <v>100</v>
      </c>
      <c r="G63">
        <v>100</v>
      </c>
      <c r="H63">
        <v>100</v>
      </c>
      <c r="I63">
        <v>0</v>
      </c>
      <c r="J63">
        <v>0</v>
      </c>
    </row>
    <row r="64" spans="2:10">
      <c r="B64">
        <v>60</v>
      </c>
      <c r="C64">
        <v>6000</v>
      </c>
      <c r="D64">
        <v>1000</v>
      </c>
      <c r="E64">
        <v>100</v>
      </c>
      <c r="F64">
        <v>100</v>
      </c>
      <c r="G64">
        <v>100</v>
      </c>
      <c r="H64">
        <v>100</v>
      </c>
      <c r="I64">
        <v>0</v>
      </c>
      <c r="J64">
        <v>0</v>
      </c>
    </row>
    <row r="65" spans="2:10">
      <c r="B65">
        <v>61</v>
      </c>
      <c r="C65">
        <v>6100</v>
      </c>
      <c r="D65">
        <v>1000</v>
      </c>
      <c r="E65">
        <v>100</v>
      </c>
      <c r="F65">
        <v>100</v>
      </c>
      <c r="G65">
        <v>100</v>
      </c>
      <c r="H65">
        <v>100</v>
      </c>
      <c r="I65">
        <v>0</v>
      </c>
      <c r="J65">
        <v>0</v>
      </c>
    </row>
    <row r="66" spans="2:10">
      <c r="B66">
        <v>62</v>
      </c>
      <c r="C66">
        <v>6200</v>
      </c>
      <c r="D66">
        <v>1000</v>
      </c>
      <c r="E66">
        <v>100</v>
      </c>
      <c r="F66">
        <v>100</v>
      </c>
      <c r="G66">
        <v>100</v>
      </c>
      <c r="H66">
        <v>100</v>
      </c>
      <c r="I66">
        <v>0</v>
      </c>
      <c r="J66">
        <v>0</v>
      </c>
    </row>
    <row r="67" spans="2:10">
      <c r="B67">
        <v>63</v>
      </c>
      <c r="C67">
        <v>6300</v>
      </c>
      <c r="D67">
        <v>1000</v>
      </c>
      <c r="E67">
        <v>100</v>
      </c>
      <c r="F67">
        <v>100</v>
      </c>
      <c r="G67">
        <v>100</v>
      </c>
      <c r="H67">
        <v>100</v>
      </c>
      <c r="I67">
        <v>0</v>
      </c>
      <c r="J67">
        <v>0</v>
      </c>
    </row>
    <row r="68" spans="2:10">
      <c r="B68">
        <v>64</v>
      </c>
      <c r="C68">
        <v>6400</v>
      </c>
      <c r="D68">
        <v>1000</v>
      </c>
      <c r="E68">
        <v>100</v>
      </c>
      <c r="F68">
        <v>100</v>
      </c>
      <c r="G68">
        <v>100</v>
      </c>
      <c r="H68">
        <v>100</v>
      </c>
      <c r="I68">
        <v>0</v>
      </c>
      <c r="J68">
        <v>0</v>
      </c>
    </row>
    <row r="69" spans="2:10">
      <c r="B69">
        <v>65</v>
      </c>
      <c r="C69">
        <v>6500</v>
      </c>
      <c r="D69">
        <v>1000</v>
      </c>
      <c r="E69">
        <v>100</v>
      </c>
      <c r="F69">
        <v>100</v>
      </c>
      <c r="G69">
        <v>100</v>
      </c>
      <c r="H69">
        <v>100</v>
      </c>
      <c r="I69">
        <v>0</v>
      </c>
      <c r="J69">
        <v>0</v>
      </c>
    </row>
    <row r="70" spans="2:10">
      <c r="B70">
        <v>66</v>
      </c>
      <c r="C70">
        <v>6600</v>
      </c>
      <c r="D70">
        <v>1000</v>
      </c>
      <c r="E70">
        <v>100</v>
      </c>
      <c r="F70">
        <v>100</v>
      </c>
      <c r="G70">
        <v>100</v>
      </c>
      <c r="H70">
        <v>100</v>
      </c>
      <c r="I70">
        <v>0</v>
      </c>
      <c r="J70">
        <v>0</v>
      </c>
    </row>
    <row r="71" spans="2:10">
      <c r="B71">
        <v>67</v>
      </c>
      <c r="C71">
        <v>6700</v>
      </c>
      <c r="D71">
        <v>1000</v>
      </c>
      <c r="E71">
        <v>100</v>
      </c>
      <c r="F71">
        <v>100</v>
      </c>
      <c r="G71">
        <v>100</v>
      </c>
      <c r="H71">
        <v>100</v>
      </c>
      <c r="I71">
        <v>0</v>
      </c>
      <c r="J71">
        <v>0</v>
      </c>
    </row>
    <row r="72" spans="2:10">
      <c r="B72">
        <v>68</v>
      </c>
      <c r="C72">
        <v>6800</v>
      </c>
      <c r="D72">
        <v>1000</v>
      </c>
      <c r="E72">
        <v>100</v>
      </c>
      <c r="F72">
        <v>100</v>
      </c>
      <c r="G72">
        <v>100</v>
      </c>
      <c r="H72">
        <v>100</v>
      </c>
      <c r="I72">
        <v>0</v>
      </c>
      <c r="J72">
        <v>0</v>
      </c>
    </row>
    <row r="73" spans="2:10">
      <c r="B73">
        <v>69</v>
      </c>
      <c r="C73">
        <v>6900</v>
      </c>
      <c r="D73">
        <v>1000</v>
      </c>
      <c r="E73">
        <v>100</v>
      </c>
      <c r="F73">
        <v>100</v>
      </c>
      <c r="G73">
        <v>100</v>
      </c>
      <c r="H73">
        <v>100</v>
      </c>
      <c r="I73">
        <v>0</v>
      </c>
      <c r="J73">
        <v>0</v>
      </c>
    </row>
    <row r="74" spans="2:10">
      <c r="B74">
        <v>70</v>
      </c>
      <c r="C74">
        <v>7000</v>
      </c>
      <c r="D74">
        <v>1000</v>
      </c>
      <c r="E74">
        <v>100</v>
      </c>
      <c r="F74">
        <v>100</v>
      </c>
      <c r="G74">
        <v>100</v>
      </c>
      <c r="H74">
        <v>100</v>
      </c>
      <c r="I74">
        <v>0</v>
      </c>
      <c r="J74">
        <v>0</v>
      </c>
    </row>
    <row r="75" spans="2:10">
      <c r="B75">
        <v>71</v>
      </c>
      <c r="C75">
        <v>7100</v>
      </c>
      <c r="D75">
        <v>1000</v>
      </c>
      <c r="E75">
        <v>100</v>
      </c>
      <c r="F75">
        <v>100</v>
      </c>
      <c r="G75">
        <v>100</v>
      </c>
      <c r="H75">
        <v>100</v>
      </c>
      <c r="I75">
        <v>0</v>
      </c>
      <c r="J75">
        <v>0</v>
      </c>
    </row>
    <row r="76" spans="2:10">
      <c r="B76">
        <v>72</v>
      </c>
      <c r="C76">
        <v>7200</v>
      </c>
      <c r="D76">
        <v>1000</v>
      </c>
      <c r="E76">
        <v>100</v>
      </c>
      <c r="F76">
        <v>100</v>
      </c>
      <c r="G76">
        <v>100</v>
      </c>
      <c r="H76">
        <v>100</v>
      </c>
      <c r="I76">
        <v>0</v>
      </c>
      <c r="J76">
        <v>0</v>
      </c>
    </row>
    <row r="77" spans="2:10">
      <c r="B77">
        <v>73</v>
      </c>
      <c r="C77">
        <v>7300</v>
      </c>
      <c r="D77">
        <v>1000</v>
      </c>
      <c r="E77">
        <v>100</v>
      </c>
      <c r="F77">
        <v>100</v>
      </c>
      <c r="G77">
        <v>100</v>
      </c>
      <c r="H77">
        <v>100</v>
      </c>
      <c r="I77">
        <v>0</v>
      </c>
      <c r="J77">
        <v>0</v>
      </c>
    </row>
    <row r="78" spans="2:10">
      <c r="B78">
        <v>74</v>
      </c>
      <c r="C78">
        <v>7400</v>
      </c>
      <c r="D78">
        <v>1000</v>
      </c>
      <c r="E78">
        <v>100</v>
      </c>
      <c r="F78">
        <v>100</v>
      </c>
      <c r="G78">
        <v>100</v>
      </c>
      <c r="H78">
        <v>100</v>
      </c>
      <c r="I78">
        <v>0</v>
      </c>
      <c r="J78">
        <v>0</v>
      </c>
    </row>
    <row r="79" spans="2:10">
      <c r="B79">
        <v>75</v>
      </c>
      <c r="C79">
        <v>7500</v>
      </c>
      <c r="D79">
        <v>1000</v>
      </c>
      <c r="E79">
        <v>100</v>
      </c>
      <c r="F79">
        <v>100</v>
      </c>
      <c r="G79">
        <v>100</v>
      </c>
      <c r="H79">
        <v>100</v>
      </c>
      <c r="I79">
        <v>0</v>
      </c>
      <c r="J79">
        <v>0</v>
      </c>
    </row>
    <row r="80" spans="2:10">
      <c r="B80">
        <v>76</v>
      </c>
      <c r="C80">
        <v>7600</v>
      </c>
      <c r="D80">
        <v>1000</v>
      </c>
      <c r="E80">
        <v>100</v>
      </c>
      <c r="F80">
        <v>100</v>
      </c>
      <c r="G80">
        <v>100</v>
      </c>
      <c r="H80">
        <v>100</v>
      </c>
      <c r="I80">
        <v>0</v>
      </c>
      <c r="J80">
        <v>0</v>
      </c>
    </row>
    <row r="81" spans="2:10">
      <c r="B81">
        <v>77</v>
      </c>
      <c r="C81">
        <v>7700</v>
      </c>
      <c r="D81">
        <v>1000</v>
      </c>
      <c r="E81">
        <v>100</v>
      </c>
      <c r="F81">
        <v>100</v>
      </c>
      <c r="G81">
        <v>100</v>
      </c>
      <c r="H81">
        <v>100</v>
      </c>
      <c r="I81">
        <v>0</v>
      </c>
      <c r="J81">
        <v>0</v>
      </c>
    </row>
    <row r="82" spans="2:10">
      <c r="B82">
        <v>78</v>
      </c>
      <c r="C82">
        <v>7800</v>
      </c>
      <c r="D82">
        <v>1000</v>
      </c>
      <c r="E82">
        <v>100</v>
      </c>
      <c r="F82">
        <v>100</v>
      </c>
      <c r="G82">
        <v>100</v>
      </c>
      <c r="H82">
        <v>100</v>
      </c>
      <c r="I82">
        <v>0</v>
      </c>
      <c r="J82">
        <v>0</v>
      </c>
    </row>
    <row r="83" spans="2:10">
      <c r="B83">
        <v>79</v>
      </c>
      <c r="C83">
        <v>7900</v>
      </c>
      <c r="D83">
        <v>1000</v>
      </c>
      <c r="E83">
        <v>100</v>
      </c>
      <c r="F83">
        <v>100</v>
      </c>
      <c r="G83">
        <v>100</v>
      </c>
      <c r="H83">
        <v>100</v>
      </c>
      <c r="I83">
        <v>0</v>
      </c>
      <c r="J83">
        <v>0</v>
      </c>
    </row>
    <row r="84" spans="2:10">
      <c r="B84">
        <v>80</v>
      </c>
      <c r="C84">
        <v>8000</v>
      </c>
      <c r="D84">
        <v>1000</v>
      </c>
      <c r="E84">
        <v>100</v>
      </c>
      <c r="F84">
        <v>100</v>
      </c>
      <c r="G84">
        <v>100</v>
      </c>
      <c r="H84">
        <v>100</v>
      </c>
      <c r="I84">
        <v>0</v>
      </c>
      <c r="J84">
        <v>0</v>
      </c>
    </row>
    <row r="85" spans="2:10">
      <c r="B85">
        <v>81</v>
      </c>
      <c r="C85">
        <v>8100</v>
      </c>
      <c r="D85">
        <v>1000</v>
      </c>
      <c r="E85">
        <v>100</v>
      </c>
      <c r="F85">
        <v>100</v>
      </c>
      <c r="G85">
        <v>100</v>
      </c>
      <c r="H85">
        <v>100</v>
      </c>
      <c r="I85">
        <v>0</v>
      </c>
      <c r="J85">
        <v>0</v>
      </c>
    </row>
    <row r="86" spans="2:10">
      <c r="B86">
        <v>82</v>
      </c>
      <c r="C86">
        <v>8200</v>
      </c>
      <c r="D86">
        <v>1000</v>
      </c>
      <c r="E86">
        <v>100</v>
      </c>
      <c r="F86">
        <v>100</v>
      </c>
      <c r="G86">
        <v>100</v>
      </c>
      <c r="H86">
        <v>100</v>
      </c>
      <c r="I86">
        <v>0</v>
      </c>
      <c r="J86">
        <v>0</v>
      </c>
    </row>
    <row r="87" spans="2:10">
      <c r="B87">
        <v>83</v>
      </c>
      <c r="C87">
        <v>8300</v>
      </c>
      <c r="D87">
        <v>1000</v>
      </c>
      <c r="E87">
        <v>100</v>
      </c>
      <c r="F87">
        <v>100</v>
      </c>
      <c r="G87">
        <v>100</v>
      </c>
      <c r="H87">
        <v>100</v>
      </c>
      <c r="I87">
        <v>0</v>
      </c>
      <c r="J87">
        <v>0</v>
      </c>
    </row>
    <row r="88" spans="2:10">
      <c r="B88">
        <v>84</v>
      </c>
      <c r="C88">
        <v>8400</v>
      </c>
      <c r="D88">
        <v>1000</v>
      </c>
      <c r="E88">
        <v>100</v>
      </c>
      <c r="F88">
        <v>100</v>
      </c>
      <c r="G88">
        <v>100</v>
      </c>
      <c r="H88">
        <v>100</v>
      </c>
      <c r="I88">
        <v>0</v>
      </c>
      <c r="J88">
        <v>0</v>
      </c>
    </row>
    <row r="89" spans="2:10">
      <c r="B89">
        <v>85</v>
      </c>
      <c r="C89">
        <v>8500</v>
      </c>
      <c r="D89">
        <v>1000</v>
      </c>
      <c r="E89">
        <v>100</v>
      </c>
      <c r="F89">
        <v>100</v>
      </c>
      <c r="G89">
        <v>100</v>
      </c>
      <c r="H89">
        <v>100</v>
      </c>
      <c r="I89">
        <v>0</v>
      </c>
      <c r="J89">
        <v>0</v>
      </c>
    </row>
    <row r="90" spans="2:10">
      <c r="B90">
        <v>86</v>
      </c>
      <c r="C90">
        <v>8600</v>
      </c>
      <c r="D90">
        <v>1000</v>
      </c>
      <c r="E90">
        <v>100</v>
      </c>
      <c r="F90">
        <v>100</v>
      </c>
      <c r="G90">
        <v>100</v>
      </c>
      <c r="H90">
        <v>100</v>
      </c>
      <c r="I90">
        <v>0</v>
      </c>
      <c r="J90">
        <v>0</v>
      </c>
    </row>
    <row r="91" spans="2:10">
      <c r="B91">
        <v>87</v>
      </c>
      <c r="C91">
        <v>8700</v>
      </c>
      <c r="D91">
        <v>1000</v>
      </c>
      <c r="E91">
        <v>100</v>
      </c>
      <c r="F91">
        <v>100</v>
      </c>
      <c r="G91">
        <v>100</v>
      </c>
      <c r="H91">
        <v>100</v>
      </c>
      <c r="I91">
        <v>0</v>
      </c>
      <c r="J91">
        <v>0</v>
      </c>
    </row>
    <row r="92" spans="2:10">
      <c r="B92">
        <v>88</v>
      </c>
      <c r="C92">
        <v>8800</v>
      </c>
      <c r="D92">
        <v>1000</v>
      </c>
      <c r="E92">
        <v>100</v>
      </c>
      <c r="F92">
        <v>100</v>
      </c>
      <c r="G92">
        <v>100</v>
      </c>
      <c r="H92">
        <v>100</v>
      </c>
      <c r="I92">
        <v>0</v>
      </c>
      <c r="J92">
        <v>0</v>
      </c>
    </row>
    <row r="93" spans="2:10">
      <c r="B93">
        <v>89</v>
      </c>
      <c r="C93">
        <v>8900</v>
      </c>
      <c r="D93">
        <v>1000</v>
      </c>
      <c r="E93">
        <v>100</v>
      </c>
      <c r="F93">
        <v>100</v>
      </c>
      <c r="G93">
        <v>100</v>
      </c>
      <c r="H93">
        <v>100</v>
      </c>
      <c r="I93">
        <v>0</v>
      </c>
      <c r="J93">
        <v>0</v>
      </c>
    </row>
    <row r="94" spans="2:10">
      <c r="B94">
        <v>90</v>
      </c>
      <c r="C94">
        <v>9000</v>
      </c>
      <c r="D94">
        <v>1000</v>
      </c>
      <c r="E94">
        <v>100</v>
      </c>
      <c r="F94">
        <v>100</v>
      </c>
      <c r="G94">
        <v>100</v>
      </c>
      <c r="H94">
        <v>100</v>
      </c>
      <c r="I94">
        <v>0</v>
      </c>
      <c r="J94">
        <v>0</v>
      </c>
    </row>
    <row r="95" spans="2:10">
      <c r="B95">
        <v>91</v>
      </c>
      <c r="C95">
        <v>9100</v>
      </c>
      <c r="D95">
        <v>1000</v>
      </c>
      <c r="E95">
        <v>100</v>
      </c>
      <c r="F95">
        <v>100</v>
      </c>
      <c r="G95">
        <v>100</v>
      </c>
      <c r="H95">
        <v>100</v>
      </c>
      <c r="I95">
        <v>0</v>
      </c>
      <c r="J95">
        <v>0</v>
      </c>
    </row>
    <row r="96" spans="2:10">
      <c r="B96">
        <v>92</v>
      </c>
      <c r="C96">
        <v>9200</v>
      </c>
      <c r="D96">
        <v>1000</v>
      </c>
      <c r="E96">
        <v>100</v>
      </c>
      <c r="F96">
        <v>100</v>
      </c>
      <c r="G96">
        <v>100</v>
      </c>
      <c r="H96">
        <v>100</v>
      </c>
      <c r="I96">
        <v>0</v>
      </c>
      <c r="J96">
        <v>0</v>
      </c>
    </row>
    <row r="97" spans="2:10">
      <c r="B97">
        <v>93</v>
      </c>
      <c r="C97">
        <v>9300</v>
      </c>
      <c r="D97">
        <v>1000</v>
      </c>
      <c r="E97">
        <v>100</v>
      </c>
      <c r="F97">
        <v>100</v>
      </c>
      <c r="G97">
        <v>100</v>
      </c>
      <c r="H97">
        <v>100</v>
      </c>
      <c r="I97">
        <v>0</v>
      </c>
      <c r="J97">
        <v>0</v>
      </c>
    </row>
    <row r="98" spans="2:10">
      <c r="B98">
        <v>94</v>
      </c>
      <c r="C98">
        <v>9400</v>
      </c>
      <c r="D98">
        <v>1000</v>
      </c>
      <c r="E98">
        <v>100</v>
      </c>
      <c r="F98">
        <v>100</v>
      </c>
      <c r="G98">
        <v>100</v>
      </c>
      <c r="H98">
        <v>100</v>
      </c>
      <c r="I98">
        <v>0</v>
      </c>
      <c r="J98">
        <v>0</v>
      </c>
    </row>
    <row r="99" spans="2:10">
      <c r="B99">
        <v>95</v>
      </c>
      <c r="C99">
        <v>9500</v>
      </c>
      <c r="D99">
        <v>1000</v>
      </c>
      <c r="E99">
        <v>100</v>
      </c>
      <c r="F99">
        <v>100</v>
      </c>
      <c r="G99">
        <v>100</v>
      </c>
      <c r="H99">
        <v>100</v>
      </c>
      <c r="I99">
        <v>0</v>
      </c>
      <c r="J99">
        <v>0</v>
      </c>
    </row>
    <row r="100" spans="2:10">
      <c r="B100">
        <v>96</v>
      </c>
      <c r="C100">
        <v>9600</v>
      </c>
      <c r="D100">
        <v>1000</v>
      </c>
      <c r="E100">
        <v>100</v>
      </c>
      <c r="F100">
        <v>100</v>
      </c>
      <c r="G100">
        <v>100</v>
      </c>
      <c r="H100">
        <v>100</v>
      </c>
      <c r="I100">
        <v>0</v>
      </c>
      <c r="J100">
        <v>0</v>
      </c>
    </row>
    <row r="101" spans="2:10">
      <c r="B101">
        <v>97</v>
      </c>
      <c r="C101">
        <v>9700</v>
      </c>
      <c r="D101">
        <v>1000</v>
      </c>
      <c r="E101">
        <v>100</v>
      </c>
      <c r="F101">
        <v>100</v>
      </c>
      <c r="G101">
        <v>100</v>
      </c>
      <c r="H101">
        <v>100</v>
      </c>
      <c r="I101">
        <v>0</v>
      </c>
      <c r="J101">
        <v>0</v>
      </c>
    </row>
    <row r="102" spans="2:10">
      <c r="B102">
        <v>98</v>
      </c>
      <c r="C102">
        <v>9800</v>
      </c>
      <c r="D102">
        <v>1000</v>
      </c>
      <c r="E102">
        <v>100</v>
      </c>
      <c r="F102">
        <v>100</v>
      </c>
      <c r="G102">
        <v>100</v>
      </c>
      <c r="H102">
        <v>100</v>
      </c>
      <c r="I102">
        <v>0</v>
      </c>
      <c r="J102">
        <v>0</v>
      </c>
    </row>
    <row r="103" spans="2:10">
      <c r="B103">
        <v>99</v>
      </c>
      <c r="C103">
        <v>9900</v>
      </c>
      <c r="D103">
        <v>1000</v>
      </c>
      <c r="E103">
        <v>100</v>
      </c>
      <c r="F103">
        <v>100</v>
      </c>
      <c r="G103">
        <v>100</v>
      </c>
      <c r="H103">
        <v>100</v>
      </c>
      <c r="I103">
        <v>0</v>
      </c>
      <c r="J103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45"/>
  <sheetViews>
    <sheetView topLeftCell="A204" workbookViewId="0">
      <selection activeCell="D5" sqref="D5:D244"/>
    </sheetView>
  </sheetViews>
  <sheetFormatPr defaultRowHeight="13.5"/>
  <cols>
    <col min="2" max="5" width="10.625" bestFit="1" customWidth="1"/>
    <col min="6" max="6" width="10.5" bestFit="1" customWidth="1"/>
  </cols>
  <sheetData>
    <row r="2" spans="1:6">
      <c r="A2" t="s">
        <v>237</v>
      </c>
      <c r="B2" t="s">
        <v>58</v>
      </c>
      <c r="C2" t="s">
        <v>58</v>
      </c>
      <c r="D2" t="s">
        <v>58</v>
      </c>
      <c r="E2" t="s">
        <v>58</v>
      </c>
      <c r="F2" t="s">
        <v>58</v>
      </c>
    </row>
    <row r="3" spans="1:6">
      <c r="A3" t="s">
        <v>238</v>
      </c>
      <c r="B3" t="s">
        <v>62</v>
      </c>
      <c r="C3" t="s">
        <v>63</v>
      </c>
      <c r="D3" t="s">
        <v>64</v>
      </c>
      <c r="E3" t="s">
        <v>65</v>
      </c>
      <c r="F3" t="s">
        <v>61</v>
      </c>
    </row>
    <row r="4" spans="1:6">
      <c r="A4" t="s">
        <v>239</v>
      </c>
      <c r="B4" t="s">
        <v>71</v>
      </c>
      <c r="C4" t="s">
        <v>72</v>
      </c>
      <c r="D4" t="s">
        <v>73</v>
      </c>
      <c r="E4" t="s">
        <v>226</v>
      </c>
      <c r="F4" t="s">
        <v>70</v>
      </c>
    </row>
    <row r="5" spans="1:6">
      <c r="A5">
        <v>101</v>
      </c>
      <c r="B5" s="52">
        <f>装备拆分分析表!L3</f>
        <v>2.2222222222222223</v>
      </c>
      <c r="C5" s="52">
        <f>装备拆分分析表!M3</f>
        <v>1.1111111111111112</v>
      </c>
      <c r="D5" s="52">
        <v>0</v>
      </c>
      <c r="E5" s="52">
        <f>装备拆分分析表!N3</f>
        <v>0</v>
      </c>
      <c r="F5" s="52">
        <f>装备拆分分析表!K3</f>
        <v>0</v>
      </c>
    </row>
    <row r="6" spans="1:6">
      <c r="A6">
        <v>102</v>
      </c>
      <c r="B6" s="52">
        <f>装备拆分分析表!L4</f>
        <v>0</v>
      </c>
      <c r="C6" s="52">
        <f>装备拆分分析表!M4</f>
        <v>0</v>
      </c>
      <c r="D6" s="52">
        <v>0</v>
      </c>
      <c r="E6" s="52">
        <f>装备拆分分析表!N4</f>
        <v>0</v>
      </c>
      <c r="F6" s="52">
        <f>装备拆分分析表!K4</f>
        <v>9.6666666666666661</v>
      </c>
    </row>
    <row r="7" spans="1:6">
      <c r="A7">
        <v>103</v>
      </c>
      <c r="B7" s="52">
        <f>装备拆分分析表!L5</f>
        <v>0</v>
      </c>
      <c r="C7" s="52">
        <f>装备拆分分析表!M5</f>
        <v>0</v>
      </c>
      <c r="D7" s="52">
        <v>0</v>
      </c>
      <c r="E7" s="52">
        <f>装备拆分分析表!N5</f>
        <v>1.8222222222222222</v>
      </c>
      <c r="F7" s="52">
        <f>装备拆分分析表!K5</f>
        <v>0</v>
      </c>
    </row>
    <row r="8" spans="1:6">
      <c r="A8">
        <v>104</v>
      </c>
      <c r="B8" s="52">
        <f>装备拆分分析表!L6</f>
        <v>0.27777777777777779</v>
      </c>
      <c r="C8" s="52">
        <f>装备拆分分析表!M6</f>
        <v>0</v>
      </c>
      <c r="D8" s="52">
        <v>0</v>
      </c>
      <c r="E8" s="52">
        <f>装备拆分分析表!N6</f>
        <v>1.3666666666666665</v>
      </c>
      <c r="F8" s="52">
        <f>装备拆分分析表!K6</f>
        <v>0</v>
      </c>
    </row>
    <row r="9" spans="1:6">
      <c r="A9">
        <v>105</v>
      </c>
      <c r="B9" s="52">
        <f>装备拆分分析表!L7</f>
        <v>0</v>
      </c>
      <c r="C9" s="52">
        <f>装备拆分分析表!M7</f>
        <v>0.55555555555555558</v>
      </c>
      <c r="D9" s="52">
        <v>0</v>
      </c>
      <c r="E9" s="52">
        <f>装备拆分分析表!N7</f>
        <v>0</v>
      </c>
      <c r="F9" s="52">
        <f>装备拆分分析表!K7</f>
        <v>7.7333333333333334</v>
      </c>
    </row>
    <row r="10" spans="1:6">
      <c r="A10">
        <v>106</v>
      </c>
      <c r="B10" s="52">
        <f>装备拆分分析表!L8</f>
        <v>1.1111111111111112</v>
      </c>
      <c r="C10" s="52">
        <f>装备拆分分析表!M8</f>
        <v>0</v>
      </c>
      <c r="D10" s="52">
        <v>0</v>
      </c>
      <c r="E10" s="52">
        <f>装备拆分分析表!N8</f>
        <v>0</v>
      </c>
      <c r="F10" s="52">
        <f>装备拆分分析表!K8</f>
        <v>1.9333333333333333</v>
      </c>
    </row>
    <row r="11" spans="1:6">
      <c r="A11">
        <v>111</v>
      </c>
      <c r="B11" s="52">
        <f>装备拆分分析表!L11</f>
        <v>3.2888888888888888</v>
      </c>
      <c r="C11" s="52">
        <f>装备拆分分析表!M11</f>
        <v>1.6444444444444444</v>
      </c>
      <c r="D11" s="52">
        <v>0</v>
      </c>
      <c r="E11" s="52">
        <f>装备拆分分析表!N11</f>
        <v>0</v>
      </c>
      <c r="F11" s="52">
        <f>装备拆分分析表!K11</f>
        <v>0</v>
      </c>
    </row>
    <row r="12" spans="1:6">
      <c r="A12">
        <v>112</v>
      </c>
      <c r="B12" s="52">
        <f>装备拆分分析表!L12</f>
        <v>0</v>
      </c>
      <c r="C12" s="52">
        <f>装备拆分分析表!M12</f>
        <v>0</v>
      </c>
      <c r="D12" s="52">
        <v>0</v>
      </c>
      <c r="E12" s="52">
        <f>装备拆分分析表!N12</f>
        <v>0</v>
      </c>
      <c r="F12" s="52">
        <f>装备拆分分析表!K12</f>
        <v>14.111111111111111</v>
      </c>
    </row>
    <row r="13" spans="1:6">
      <c r="A13">
        <v>113</v>
      </c>
      <c r="B13" s="52">
        <f>装备拆分分析表!L13</f>
        <v>0</v>
      </c>
      <c r="C13" s="52">
        <f>装备拆分分析表!M13</f>
        <v>0</v>
      </c>
      <c r="D13" s="52">
        <v>0</v>
      </c>
      <c r="E13" s="52">
        <f>装备拆分分析表!N13</f>
        <v>2.6222222222222222</v>
      </c>
      <c r="F13" s="52">
        <f>装备拆分分析表!K13</f>
        <v>0</v>
      </c>
    </row>
    <row r="14" spans="1:6">
      <c r="A14">
        <v>114</v>
      </c>
      <c r="B14" s="52">
        <f>装备拆分分析表!L14</f>
        <v>0.41111111111111109</v>
      </c>
      <c r="C14" s="52">
        <f>装备拆分分析表!M14</f>
        <v>0</v>
      </c>
      <c r="D14" s="52">
        <v>0</v>
      </c>
      <c r="E14" s="52">
        <f>装备拆分分析表!N14</f>
        <v>1.9666666666666666</v>
      </c>
      <c r="F14" s="52">
        <f>装备拆分分析表!K14</f>
        <v>0</v>
      </c>
    </row>
    <row r="15" spans="1:6">
      <c r="A15">
        <v>115</v>
      </c>
      <c r="B15" s="52">
        <f>装备拆分分析表!L15</f>
        <v>0</v>
      </c>
      <c r="C15" s="52">
        <f>装备拆分分析表!M15</f>
        <v>0.82222222222222219</v>
      </c>
      <c r="D15" s="52">
        <v>0</v>
      </c>
      <c r="E15" s="52">
        <f>装备拆分分析表!N15</f>
        <v>0</v>
      </c>
      <c r="F15" s="52">
        <f>装备拆分分析表!K15</f>
        <v>11.28888888888889</v>
      </c>
    </row>
    <row r="16" spans="1:6">
      <c r="A16">
        <v>116</v>
      </c>
      <c r="B16" s="52">
        <f>装备拆分分析表!L16</f>
        <v>1.6444444444444444</v>
      </c>
      <c r="C16" s="52">
        <f>装备拆分分析表!M16</f>
        <v>0</v>
      </c>
      <c r="D16" s="52">
        <v>0</v>
      </c>
      <c r="E16" s="52">
        <f>装备拆分分析表!N16</f>
        <v>0</v>
      </c>
      <c r="F16" s="52">
        <f>装备拆分分析表!K16</f>
        <v>2.8222222222222224</v>
      </c>
    </row>
    <row r="17" spans="1:6">
      <c r="A17">
        <v>121</v>
      </c>
      <c r="B17" s="52">
        <f>装备拆分分析表!L19</f>
        <v>4.8888888888888893</v>
      </c>
      <c r="C17" s="52">
        <f>装备拆分分析表!M19</f>
        <v>2.4444444444444446</v>
      </c>
      <c r="D17" s="52">
        <v>0</v>
      </c>
      <c r="E17" s="52">
        <f>装备拆分分析表!N19</f>
        <v>0</v>
      </c>
      <c r="F17" s="52">
        <f>装备拆分分析表!K19</f>
        <v>0</v>
      </c>
    </row>
    <row r="18" spans="1:6">
      <c r="A18">
        <v>122</v>
      </c>
      <c r="B18" s="52">
        <f>装备拆分分析表!L20</f>
        <v>0</v>
      </c>
      <c r="C18" s="52">
        <f>装备拆分分析表!M20</f>
        <v>0</v>
      </c>
      <c r="D18" s="52">
        <v>0</v>
      </c>
      <c r="E18" s="52">
        <f>装备拆分分析表!N20</f>
        <v>0</v>
      </c>
      <c r="F18" s="52">
        <f>装备拆分分析表!K20</f>
        <v>21.222222222222221</v>
      </c>
    </row>
    <row r="19" spans="1:6">
      <c r="A19">
        <v>123</v>
      </c>
      <c r="B19" s="52">
        <f>装备拆分分析表!L21</f>
        <v>0</v>
      </c>
      <c r="C19" s="52">
        <f>装备拆分分析表!M21</f>
        <v>0</v>
      </c>
      <c r="D19" s="52">
        <v>0</v>
      </c>
      <c r="E19" s="52">
        <f>装备拆分分析表!N21</f>
        <v>4</v>
      </c>
      <c r="F19" s="52">
        <f>装备拆分分析表!K21</f>
        <v>0</v>
      </c>
    </row>
    <row r="20" spans="1:6">
      <c r="A20">
        <v>124</v>
      </c>
      <c r="B20" s="52">
        <f>装备拆分分析表!L22</f>
        <v>0.61111111111111116</v>
      </c>
      <c r="C20" s="52">
        <f>装备拆分分析表!M22</f>
        <v>0</v>
      </c>
      <c r="D20" s="52">
        <v>0</v>
      </c>
      <c r="E20" s="52">
        <f>装备拆分分析表!N22</f>
        <v>3</v>
      </c>
      <c r="F20" s="52">
        <f>装备拆分分析表!K22</f>
        <v>0</v>
      </c>
    </row>
    <row r="21" spans="1:6">
      <c r="A21">
        <v>125</v>
      </c>
      <c r="B21" s="52">
        <f>装备拆分分析表!L23</f>
        <v>0</v>
      </c>
      <c r="C21" s="52">
        <f>装备拆分分析表!M23</f>
        <v>1.2222222222222223</v>
      </c>
      <c r="D21" s="52">
        <v>0</v>
      </c>
      <c r="E21" s="52">
        <f>装备拆分分析表!N23</f>
        <v>0</v>
      </c>
      <c r="F21" s="52">
        <f>装备拆分分析表!K23</f>
        <v>16.977777777777778</v>
      </c>
    </row>
    <row r="22" spans="1:6">
      <c r="A22">
        <v>126</v>
      </c>
      <c r="B22" s="52">
        <f>装备拆分分析表!L24</f>
        <v>2.4444444444444446</v>
      </c>
      <c r="C22" s="52">
        <f>装备拆分分析表!M24</f>
        <v>0</v>
      </c>
      <c r="D22" s="52">
        <v>0</v>
      </c>
      <c r="E22" s="52">
        <f>装备拆分分析表!N24</f>
        <v>0</v>
      </c>
      <c r="F22" s="52">
        <f>装备拆分分析表!K24</f>
        <v>4.2444444444444445</v>
      </c>
    </row>
    <row r="23" spans="1:6">
      <c r="A23">
        <v>131</v>
      </c>
      <c r="B23" s="52">
        <f>装备拆分分析表!L27</f>
        <v>10.577777777777778</v>
      </c>
      <c r="C23" s="52">
        <f>装备拆分分析表!M27</f>
        <v>5.2888888888888888</v>
      </c>
      <c r="D23" s="52">
        <v>0</v>
      </c>
      <c r="E23" s="52">
        <f>装备拆分分析表!N27</f>
        <v>0</v>
      </c>
      <c r="F23" s="52">
        <f>装备拆分分析表!K27</f>
        <v>0</v>
      </c>
    </row>
    <row r="24" spans="1:6">
      <c r="A24">
        <v>132</v>
      </c>
      <c r="B24" s="52">
        <f>装备拆分分析表!L28</f>
        <v>0</v>
      </c>
      <c r="C24" s="52">
        <f>装备拆分分析表!M28</f>
        <v>0</v>
      </c>
      <c r="D24" s="52">
        <v>0</v>
      </c>
      <c r="E24" s="52">
        <f>装备拆分分析表!N28</f>
        <v>0</v>
      </c>
      <c r="F24" s="52">
        <f>装备拆分分析表!K28</f>
        <v>46</v>
      </c>
    </row>
    <row r="25" spans="1:6">
      <c r="A25">
        <v>133</v>
      </c>
      <c r="B25" s="52">
        <f>装备拆分分析表!L29</f>
        <v>0</v>
      </c>
      <c r="C25" s="52">
        <f>装备拆分分析表!M29</f>
        <v>0</v>
      </c>
      <c r="D25" s="52">
        <v>0</v>
      </c>
      <c r="E25" s="52">
        <f>装备拆分分析表!N29</f>
        <v>8.6222222222222236</v>
      </c>
      <c r="F25" s="52">
        <f>装备拆分分析表!K29</f>
        <v>0</v>
      </c>
    </row>
    <row r="26" spans="1:6">
      <c r="A26">
        <v>134</v>
      </c>
      <c r="B26" s="52">
        <f>装备拆分分析表!L30</f>
        <v>1.3222222222222222</v>
      </c>
      <c r="C26" s="52">
        <f>装备拆分分析表!M30</f>
        <v>0</v>
      </c>
      <c r="D26" s="52">
        <v>0</v>
      </c>
      <c r="E26" s="52">
        <f>装备拆分分析表!N30</f>
        <v>6.4666666666666668</v>
      </c>
      <c r="F26" s="52">
        <f>装备拆分分析表!K30</f>
        <v>0</v>
      </c>
    </row>
    <row r="27" spans="1:6">
      <c r="A27">
        <v>135</v>
      </c>
      <c r="B27" s="52">
        <f>装备拆分分析表!L31</f>
        <v>0</v>
      </c>
      <c r="C27" s="52">
        <f>装备拆分分析表!M31</f>
        <v>2.6444444444444444</v>
      </c>
      <c r="D27" s="52">
        <v>0</v>
      </c>
      <c r="E27" s="52">
        <f>装备拆分分析表!N31</f>
        <v>0</v>
      </c>
      <c r="F27" s="52">
        <f>装备拆分分析表!K31</f>
        <v>36.800000000000004</v>
      </c>
    </row>
    <row r="28" spans="1:6">
      <c r="A28">
        <v>136</v>
      </c>
      <c r="B28" s="52">
        <f>装备拆分分析表!L32</f>
        <v>5.2888888888888888</v>
      </c>
      <c r="C28" s="52">
        <f>装备拆分分析表!M32</f>
        <v>0</v>
      </c>
      <c r="D28" s="52">
        <v>0</v>
      </c>
      <c r="E28" s="52">
        <f>装备拆分分析表!N32</f>
        <v>0</v>
      </c>
      <c r="F28" s="52">
        <f>装备拆分分析表!K32</f>
        <v>9.2000000000000011</v>
      </c>
    </row>
    <row r="29" spans="1:6">
      <c r="A29">
        <v>141</v>
      </c>
      <c r="B29" s="52">
        <f>装备拆分分析表!L35</f>
        <v>21.68888888888889</v>
      </c>
      <c r="C29" s="52">
        <f>装备拆分分析表!M35</f>
        <v>10.844444444444445</v>
      </c>
      <c r="D29" s="52">
        <v>0</v>
      </c>
      <c r="E29" s="52">
        <f>装备拆分分析表!N35</f>
        <v>0</v>
      </c>
      <c r="F29" s="52">
        <f>装备拆分分析表!K35</f>
        <v>0</v>
      </c>
    </row>
    <row r="30" spans="1:6">
      <c r="A30">
        <v>142</v>
      </c>
      <c r="B30" s="52">
        <f>装备拆分分析表!L36</f>
        <v>0</v>
      </c>
      <c r="C30" s="52">
        <f>装备拆分分析表!M36</f>
        <v>0</v>
      </c>
      <c r="D30" s="52">
        <v>0</v>
      </c>
      <c r="E30" s="52">
        <f>装备拆分分析表!N36</f>
        <v>0</v>
      </c>
      <c r="F30" s="52">
        <f>装备拆分分析表!K36</f>
        <v>93.722222222222229</v>
      </c>
    </row>
    <row r="31" spans="1:6">
      <c r="A31">
        <v>143</v>
      </c>
      <c r="B31" s="52">
        <f>装备拆分分析表!L37</f>
        <v>0</v>
      </c>
      <c r="C31" s="52">
        <f>装备拆分分析表!M37</f>
        <v>0</v>
      </c>
      <c r="D31" s="52">
        <v>0</v>
      </c>
      <c r="E31" s="52">
        <f>装备拆分分析表!N37</f>
        <v>17.600000000000001</v>
      </c>
      <c r="F31" s="52">
        <f>装备拆分分析表!K37</f>
        <v>0</v>
      </c>
    </row>
    <row r="32" spans="1:6">
      <c r="A32">
        <v>144</v>
      </c>
      <c r="B32" s="52">
        <f>装备拆分分析表!L38</f>
        <v>2.7111111111111112</v>
      </c>
      <c r="C32" s="52">
        <f>装备拆分分析表!M38</f>
        <v>0</v>
      </c>
      <c r="D32" s="52">
        <v>0</v>
      </c>
      <c r="E32" s="52">
        <f>装备拆分分析表!N38</f>
        <v>13.2</v>
      </c>
      <c r="F32" s="52">
        <f>装备拆分分析表!K38</f>
        <v>0</v>
      </c>
    </row>
    <row r="33" spans="1:6">
      <c r="A33">
        <v>145</v>
      </c>
      <c r="B33" s="52">
        <f>装备拆分分析表!L39</f>
        <v>0</v>
      </c>
      <c r="C33" s="52">
        <f>装备拆分分析表!M39</f>
        <v>5.4222222222222225</v>
      </c>
      <c r="D33" s="52">
        <v>0</v>
      </c>
      <c r="E33" s="52">
        <f>装备拆分分析表!N39</f>
        <v>0</v>
      </c>
      <c r="F33" s="52">
        <f>装备拆分分析表!K39</f>
        <v>74.977777777777789</v>
      </c>
    </row>
    <row r="34" spans="1:6">
      <c r="A34">
        <v>146</v>
      </c>
      <c r="B34" s="52">
        <f>装备拆分分析表!L40</f>
        <v>10.844444444444445</v>
      </c>
      <c r="C34" s="52">
        <f>装备拆分分析表!M40</f>
        <v>0</v>
      </c>
      <c r="D34" s="52">
        <v>0</v>
      </c>
      <c r="E34" s="52">
        <f>装备拆分分析表!N40</f>
        <v>0</v>
      </c>
      <c r="F34" s="52">
        <f>装备拆分分析表!K40</f>
        <v>18.744444444444447</v>
      </c>
    </row>
    <row r="35" spans="1:6">
      <c r="A35">
        <f>A5+100</f>
        <v>201</v>
      </c>
      <c r="B35" s="52">
        <f>装备拆分分析表!S3</f>
        <v>1.1111111111111112</v>
      </c>
      <c r="C35" s="52">
        <f>装备拆分分析表!T3</f>
        <v>2.2222222222222223</v>
      </c>
      <c r="D35" s="52">
        <v>0</v>
      </c>
      <c r="E35" s="52">
        <f>装备拆分分析表!U3</f>
        <v>0</v>
      </c>
      <c r="F35" s="52">
        <f>装备拆分分析表!R3</f>
        <v>0</v>
      </c>
    </row>
    <row r="36" spans="1:6">
      <c r="A36">
        <f t="shared" ref="A36:A95" si="0">A6+100</f>
        <v>202</v>
      </c>
      <c r="B36" s="52">
        <f>装备拆分分析表!S4</f>
        <v>0</v>
      </c>
      <c r="C36" s="52">
        <f>装备拆分分析表!T4</f>
        <v>0</v>
      </c>
      <c r="D36" s="52">
        <v>0</v>
      </c>
      <c r="E36" s="52">
        <f>装备拆分分析表!U4</f>
        <v>0</v>
      </c>
      <c r="F36" s="52">
        <f>装备拆分分析表!R4</f>
        <v>9.6666666666666661</v>
      </c>
    </row>
    <row r="37" spans="1:6">
      <c r="A37">
        <f t="shared" si="0"/>
        <v>203</v>
      </c>
      <c r="B37" s="52">
        <f>装备拆分分析表!S5</f>
        <v>0</v>
      </c>
      <c r="C37" s="52">
        <f>装备拆分分析表!T5</f>
        <v>0</v>
      </c>
      <c r="D37" s="52">
        <v>0</v>
      </c>
      <c r="E37" s="52">
        <f>装备拆分分析表!U5</f>
        <v>1.8222222222222222</v>
      </c>
      <c r="F37" s="52">
        <f>装备拆分分析表!R5</f>
        <v>0</v>
      </c>
    </row>
    <row r="38" spans="1:6">
      <c r="A38">
        <f t="shared" si="0"/>
        <v>204</v>
      </c>
      <c r="B38" s="52">
        <f>装备拆分分析表!S6</f>
        <v>0</v>
      </c>
      <c r="C38" s="52">
        <f>装备拆分分析表!T6</f>
        <v>0.27777777777777779</v>
      </c>
      <c r="D38" s="52">
        <v>0</v>
      </c>
      <c r="E38" s="52">
        <f>装备拆分分析表!U6</f>
        <v>1.3666666666666665</v>
      </c>
      <c r="F38" s="52">
        <f>装备拆分分析表!R6</f>
        <v>0</v>
      </c>
    </row>
    <row r="39" spans="1:6">
      <c r="A39">
        <f t="shared" si="0"/>
        <v>205</v>
      </c>
      <c r="B39" s="52">
        <f>装备拆分分析表!S7</f>
        <v>0.55555555555555558</v>
      </c>
      <c r="C39" s="52">
        <f>装备拆分分析表!T7</f>
        <v>0</v>
      </c>
      <c r="D39" s="52">
        <v>0</v>
      </c>
      <c r="E39" s="52">
        <f>装备拆分分析表!U7</f>
        <v>0</v>
      </c>
      <c r="F39" s="52">
        <f>装备拆分分析表!R7</f>
        <v>7.7333333333333334</v>
      </c>
    </row>
    <row r="40" spans="1:6">
      <c r="A40">
        <f t="shared" si="0"/>
        <v>206</v>
      </c>
      <c r="B40" s="52">
        <f>装备拆分分析表!S8</f>
        <v>0</v>
      </c>
      <c r="C40" s="52">
        <f>装备拆分分析表!T8</f>
        <v>1.1111111111111112</v>
      </c>
      <c r="D40" s="52">
        <v>0</v>
      </c>
      <c r="E40" s="52">
        <f>装备拆分分析表!U8</f>
        <v>0</v>
      </c>
      <c r="F40" s="52">
        <f>装备拆分分析表!R8</f>
        <v>1.9333333333333333</v>
      </c>
    </row>
    <row r="41" spans="1:6">
      <c r="A41">
        <f t="shared" si="0"/>
        <v>211</v>
      </c>
      <c r="B41" s="52">
        <f>装备拆分分析表!S11</f>
        <v>1.6444444444444444</v>
      </c>
      <c r="C41" s="52">
        <f>装备拆分分析表!T11</f>
        <v>3.2888888888888888</v>
      </c>
      <c r="D41" s="52">
        <v>0</v>
      </c>
      <c r="E41" s="52">
        <f>装备拆分分析表!U11</f>
        <v>0</v>
      </c>
      <c r="F41" s="52">
        <f>装备拆分分析表!R11</f>
        <v>0</v>
      </c>
    </row>
    <row r="42" spans="1:6">
      <c r="A42">
        <f t="shared" si="0"/>
        <v>212</v>
      </c>
      <c r="B42" s="52">
        <f>装备拆分分析表!S12</f>
        <v>0</v>
      </c>
      <c r="C42" s="52">
        <f>装备拆分分析表!T12</f>
        <v>0</v>
      </c>
      <c r="D42" s="52">
        <v>0</v>
      </c>
      <c r="E42" s="52">
        <f>装备拆分分析表!U12</f>
        <v>0</v>
      </c>
      <c r="F42" s="52">
        <f>装备拆分分析表!R12</f>
        <v>14.111111111111111</v>
      </c>
    </row>
    <row r="43" spans="1:6">
      <c r="A43">
        <f t="shared" si="0"/>
        <v>213</v>
      </c>
      <c r="B43" s="52">
        <f>装备拆分分析表!S13</f>
        <v>0</v>
      </c>
      <c r="C43" s="52">
        <f>装备拆分分析表!T13</f>
        <v>0</v>
      </c>
      <c r="D43" s="52">
        <v>0</v>
      </c>
      <c r="E43" s="52">
        <f>装备拆分分析表!U13</f>
        <v>2.6222222222222222</v>
      </c>
      <c r="F43" s="52">
        <f>装备拆分分析表!R13</f>
        <v>0</v>
      </c>
    </row>
    <row r="44" spans="1:6">
      <c r="A44">
        <f t="shared" si="0"/>
        <v>214</v>
      </c>
      <c r="B44" s="52">
        <f>装备拆分分析表!S14</f>
        <v>0</v>
      </c>
      <c r="C44" s="52">
        <f>装备拆分分析表!T14</f>
        <v>0.41111111111111109</v>
      </c>
      <c r="D44" s="52">
        <v>0</v>
      </c>
      <c r="E44" s="52">
        <f>装备拆分分析表!U14</f>
        <v>1.9666666666666666</v>
      </c>
      <c r="F44" s="52">
        <f>装备拆分分析表!R14</f>
        <v>0</v>
      </c>
    </row>
    <row r="45" spans="1:6">
      <c r="A45">
        <f t="shared" si="0"/>
        <v>215</v>
      </c>
      <c r="B45" s="52">
        <f>装备拆分分析表!S15</f>
        <v>0.82222222222222219</v>
      </c>
      <c r="C45" s="52">
        <f>装备拆分分析表!T15</f>
        <v>0</v>
      </c>
      <c r="D45" s="52">
        <v>0</v>
      </c>
      <c r="E45" s="52">
        <f>装备拆分分析表!U15</f>
        <v>0</v>
      </c>
      <c r="F45" s="52">
        <f>装备拆分分析表!R15</f>
        <v>11.28888888888889</v>
      </c>
    </row>
    <row r="46" spans="1:6">
      <c r="A46">
        <f t="shared" si="0"/>
        <v>216</v>
      </c>
      <c r="B46" s="52">
        <f>装备拆分分析表!S16</f>
        <v>0</v>
      </c>
      <c r="C46" s="52">
        <f>装备拆分分析表!T16</f>
        <v>1.6444444444444444</v>
      </c>
      <c r="D46" s="52">
        <v>0</v>
      </c>
      <c r="E46" s="52">
        <f>装备拆分分析表!U16</f>
        <v>0</v>
      </c>
      <c r="F46" s="52">
        <f>装备拆分分析表!R16</f>
        <v>2.8222222222222224</v>
      </c>
    </row>
    <row r="47" spans="1:6">
      <c r="A47">
        <f t="shared" si="0"/>
        <v>221</v>
      </c>
      <c r="B47" s="52">
        <f>装备拆分分析表!S19</f>
        <v>2.4444444444444446</v>
      </c>
      <c r="C47" s="52">
        <f>装备拆分分析表!T19</f>
        <v>4.8888888888888893</v>
      </c>
      <c r="D47" s="52">
        <v>0</v>
      </c>
      <c r="E47" s="52">
        <f>装备拆分分析表!U19</f>
        <v>0</v>
      </c>
      <c r="F47" s="52">
        <f>装备拆分分析表!R19</f>
        <v>0</v>
      </c>
    </row>
    <row r="48" spans="1:6">
      <c r="A48">
        <f t="shared" si="0"/>
        <v>222</v>
      </c>
      <c r="B48" s="52">
        <f>装备拆分分析表!S20</f>
        <v>0</v>
      </c>
      <c r="C48" s="52">
        <f>装备拆分分析表!T20</f>
        <v>0</v>
      </c>
      <c r="D48" s="52">
        <v>0</v>
      </c>
      <c r="E48" s="52">
        <f>装备拆分分析表!U20</f>
        <v>0</v>
      </c>
      <c r="F48" s="52">
        <f>装备拆分分析表!R20</f>
        <v>21.222222222222221</v>
      </c>
    </row>
    <row r="49" spans="1:6">
      <c r="A49">
        <f t="shared" si="0"/>
        <v>223</v>
      </c>
      <c r="B49" s="52">
        <f>装备拆分分析表!S21</f>
        <v>0</v>
      </c>
      <c r="C49" s="52">
        <f>装备拆分分析表!T21</f>
        <v>0</v>
      </c>
      <c r="D49" s="52">
        <v>0</v>
      </c>
      <c r="E49" s="52">
        <f>装备拆分分析表!U21</f>
        <v>4</v>
      </c>
      <c r="F49" s="52">
        <f>装备拆分分析表!R21</f>
        <v>0</v>
      </c>
    </row>
    <row r="50" spans="1:6">
      <c r="A50">
        <f t="shared" si="0"/>
        <v>224</v>
      </c>
      <c r="B50" s="52">
        <f>装备拆分分析表!S22</f>
        <v>0</v>
      </c>
      <c r="C50" s="52">
        <f>装备拆分分析表!T22</f>
        <v>0.61111111111111116</v>
      </c>
      <c r="D50" s="52">
        <v>0</v>
      </c>
      <c r="E50" s="52">
        <f>装备拆分分析表!U22</f>
        <v>3</v>
      </c>
      <c r="F50" s="52">
        <f>装备拆分分析表!R22</f>
        <v>0</v>
      </c>
    </row>
    <row r="51" spans="1:6">
      <c r="A51">
        <f t="shared" si="0"/>
        <v>225</v>
      </c>
      <c r="B51" s="52">
        <f>装备拆分分析表!S23</f>
        <v>1.2222222222222223</v>
      </c>
      <c r="C51" s="52">
        <f>装备拆分分析表!T23</f>
        <v>0</v>
      </c>
      <c r="D51" s="52">
        <v>0</v>
      </c>
      <c r="E51" s="52">
        <f>装备拆分分析表!U23</f>
        <v>0</v>
      </c>
      <c r="F51" s="52">
        <f>装备拆分分析表!R23</f>
        <v>16.977777777777778</v>
      </c>
    </row>
    <row r="52" spans="1:6">
      <c r="A52">
        <f t="shared" si="0"/>
        <v>226</v>
      </c>
      <c r="B52" s="52">
        <f>装备拆分分析表!S24</f>
        <v>0</v>
      </c>
      <c r="C52" s="52">
        <f>装备拆分分析表!T24</f>
        <v>2.4444444444444446</v>
      </c>
      <c r="D52" s="52">
        <v>0</v>
      </c>
      <c r="E52" s="52">
        <f>装备拆分分析表!U24</f>
        <v>0</v>
      </c>
      <c r="F52" s="52">
        <f>装备拆分分析表!R24</f>
        <v>4.2444444444444445</v>
      </c>
    </row>
    <row r="53" spans="1:6">
      <c r="A53">
        <f t="shared" si="0"/>
        <v>231</v>
      </c>
      <c r="B53" s="52">
        <f>装备拆分分析表!S27</f>
        <v>5.2888888888888888</v>
      </c>
      <c r="C53" s="52">
        <f>装备拆分分析表!T27</f>
        <v>10.577777777777778</v>
      </c>
      <c r="D53" s="52">
        <v>0</v>
      </c>
      <c r="E53" s="52">
        <f>装备拆分分析表!U27</f>
        <v>0</v>
      </c>
      <c r="F53" s="52">
        <f>装备拆分分析表!R27</f>
        <v>0</v>
      </c>
    </row>
    <row r="54" spans="1:6">
      <c r="A54">
        <f t="shared" si="0"/>
        <v>232</v>
      </c>
      <c r="B54" s="52">
        <f>装备拆分分析表!S28</f>
        <v>0</v>
      </c>
      <c r="C54" s="52">
        <f>装备拆分分析表!T28</f>
        <v>0</v>
      </c>
      <c r="D54" s="52">
        <v>0</v>
      </c>
      <c r="E54" s="52">
        <f>装备拆分分析表!U28</f>
        <v>0</v>
      </c>
      <c r="F54" s="52">
        <f>装备拆分分析表!R28</f>
        <v>46</v>
      </c>
    </row>
    <row r="55" spans="1:6">
      <c r="A55">
        <f t="shared" si="0"/>
        <v>233</v>
      </c>
      <c r="B55" s="52">
        <f>装备拆分分析表!S29</f>
        <v>0</v>
      </c>
      <c r="C55" s="52">
        <f>装备拆分分析表!T29</f>
        <v>0</v>
      </c>
      <c r="D55" s="52">
        <v>0</v>
      </c>
      <c r="E55" s="52">
        <f>装备拆分分析表!U29</f>
        <v>8.6222222222222236</v>
      </c>
      <c r="F55" s="52">
        <f>装备拆分分析表!R29</f>
        <v>0</v>
      </c>
    </row>
    <row r="56" spans="1:6">
      <c r="A56">
        <f t="shared" si="0"/>
        <v>234</v>
      </c>
      <c r="B56" s="52">
        <f>装备拆分分析表!S30</f>
        <v>0</v>
      </c>
      <c r="C56" s="52">
        <f>装备拆分分析表!T30</f>
        <v>1.3222222222222222</v>
      </c>
      <c r="D56" s="52">
        <v>0</v>
      </c>
      <c r="E56" s="52">
        <f>装备拆分分析表!U30</f>
        <v>6.4666666666666668</v>
      </c>
      <c r="F56" s="52">
        <f>装备拆分分析表!R30</f>
        <v>0</v>
      </c>
    </row>
    <row r="57" spans="1:6">
      <c r="A57">
        <f>A27+100</f>
        <v>235</v>
      </c>
      <c r="B57" s="52">
        <f>装备拆分分析表!S31</f>
        <v>2.6444444444444444</v>
      </c>
      <c r="C57" s="52">
        <f>装备拆分分析表!T31</f>
        <v>0</v>
      </c>
      <c r="D57" s="52">
        <v>0</v>
      </c>
      <c r="E57" s="52">
        <f>装备拆分分析表!U31</f>
        <v>0</v>
      </c>
      <c r="F57" s="52">
        <f>装备拆分分析表!R31</f>
        <v>36.800000000000004</v>
      </c>
    </row>
    <row r="58" spans="1:6">
      <c r="A58">
        <f t="shared" si="0"/>
        <v>236</v>
      </c>
      <c r="B58" s="52">
        <f>装备拆分分析表!S32</f>
        <v>0</v>
      </c>
      <c r="C58" s="52">
        <f>装备拆分分析表!T32</f>
        <v>5.2888888888888888</v>
      </c>
      <c r="D58" s="52">
        <v>0</v>
      </c>
      <c r="E58" s="52">
        <f>装备拆分分析表!U32</f>
        <v>0</v>
      </c>
      <c r="F58" s="52">
        <f>装备拆分分析表!R32</f>
        <v>9.2000000000000011</v>
      </c>
    </row>
    <row r="59" spans="1:6">
      <c r="A59">
        <f t="shared" si="0"/>
        <v>241</v>
      </c>
      <c r="B59" s="52">
        <f>装备拆分分析表!S35</f>
        <v>10.844444444444445</v>
      </c>
      <c r="C59" s="52">
        <f>装备拆分分析表!T35</f>
        <v>21.68888888888889</v>
      </c>
      <c r="D59" s="52">
        <v>0</v>
      </c>
      <c r="E59" s="52">
        <f>装备拆分分析表!U35</f>
        <v>0</v>
      </c>
      <c r="F59" s="52">
        <f>装备拆分分析表!R35</f>
        <v>0</v>
      </c>
    </row>
    <row r="60" spans="1:6">
      <c r="A60">
        <f t="shared" si="0"/>
        <v>242</v>
      </c>
      <c r="B60" s="52">
        <f>装备拆分分析表!S36</f>
        <v>0</v>
      </c>
      <c r="C60" s="52">
        <f>装备拆分分析表!T36</f>
        <v>0</v>
      </c>
      <c r="D60" s="52">
        <v>0</v>
      </c>
      <c r="E60" s="52">
        <f>装备拆分分析表!U36</f>
        <v>0</v>
      </c>
      <c r="F60" s="52">
        <f>装备拆分分析表!R36</f>
        <v>93.722222222222229</v>
      </c>
    </row>
    <row r="61" spans="1:6">
      <c r="A61">
        <f t="shared" si="0"/>
        <v>243</v>
      </c>
      <c r="B61" s="52">
        <f>装备拆分分析表!S37</f>
        <v>0</v>
      </c>
      <c r="C61" s="52">
        <f>装备拆分分析表!T37</f>
        <v>0</v>
      </c>
      <c r="D61" s="52">
        <v>0</v>
      </c>
      <c r="E61" s="52">
        <f>装备拆分分析表!U37</f>
        <v>17.600000000000001</v>
      </c>
      <c r="F61" s="52">
        <f>装备拆分分析表!R37</f>
        <v>0</v>
      </c>
    </row>
    <row r="62" spans="1:6">
      <c r="A62">
        <f t="shared" si="0"/>
        <v>244</v>
      </c>
      <c r="B62" s="52">
        <f>装备拆分分析表!S38</f>
        <v>0</v>
      </c>
      <c r="C62" s="52">
        <f>装备拆分分析表!T38</f>
        <v>2.7111111111111112</v>
      </c>
      <c r="D62" s="52">
        <v>0</v>
      </c>
      <c r="E62" s="52">
        <f>装备拆分分析表!U38</f>
        <v>13.2</v>
      </c>
      <c r="F62" s="52">
        <f>装备拆分分析表!R38</f>
        <v>0</v>
      </c>
    </row>
    <row r="63" spans="1:6">
      <c r="A63">
        <f t="shared" si="0"/>
        <v>245</v>
      </c>
      <c r="B63" s="52">
        <f>装备拆分分析表!S39</f>
        <v>5.4222222222222225</v>
      </c>
      <c r="C63" s="52">
        <f>装备拆分分析表!T39</f>
        <v>0</v>
      </c>
      <c r="D63" s="52">
        <v>0</v>
      </c>
      <c r="E63" s="52">
        <f>装备拆分分析表!U39</f>
        <v>0</v>
      </c>
      <c r="F63" s="52">
        <f>装备拆分分析表!R39</f>
        <v>74.977777777777789</v>
      </c>
    </row>
    <row r="64" spans="1:6">
      <c r="A64">
        <f>A34+100</f>
        <v>246</v>
      </c>
      <c r="B64" s="52">
        <f>装备拆分分析表!S40</f>
        <v>0</v>
      </c>
      <c r="C64" s="52">
        <f>装备拆分分析表!T40</f>
        <v>10.844444444444445</v>
      </c>
      <c r="D64" s="52">
        <v>0</v>
      </c>
      <c r="E64" s="52">
        <f>装备拆分分析表!U40</f>
        <v>0</v>
      </c>
      <c r="F64" s="52">
        <f>装备拆分分析表!R40</f>
        <v>18.744444444444447</v>
      </c>
    </row>
    <row r="65" spans="1:6">
      <c r="A65">
        <f t="shared" si="0"/>
        <v>301</v>
      </c>
      <c r="B65" s="52">
        <f>装备拆分分析表!Z3</f>
        <v>1.5277777777777779</v>
      </c>
      <c r="C65" s="52">
        <f>装备拆分分析表!AA3</f>
        <v>1.5277777777777779</v>
      </c>
      <c r="D65" s="52">
        <v>0</v>
      </c>
      <c r="E65" s="52">
        <f>装备拆分分析表!AB3</f>
        <v>0</v>
      </c>
      <c r="F65" s="52">
        <f>装备拆分分析表!Y3</f>
        <v>0</v>
      </c>
    </row>
    <row r="66" spans="1:6">
      <c r="A66">
        <f t="shared" si="0"/>
        <v>302</v>
      </c>
      <c r="B66" s="52">
        <f>装备拆分分析表!Z4</f>
        <v>0</v>
      </c>
      <c r="C66" s="52">
        <f>装备拆分分析表!AA4</f>
        <v>0</v>
      </c>
      <c r="D66" s="52">
        <v>0</v>
      </c>
      <c r="E66" s="52">
        <f>装备拆分分析表!AB4</f>
        <v>0</v>
      </c>
      <c r="F66" s="52">
        <f>装备拆分分析表!Y4</f>
        <v>15.466666666666667</v>
      </c>
    </row>
    <row r="67" spans="1:6">
      <c r="A67">
        <f>A37+100</f>
        <v>303</v>
      </c>
      <c r="B67" s="52">
        <f>装备拆分分析表!Z5</f>
        <v>0</v>
      </c>
      <c r="C67" s="52">
        <f>装备拆分分析表!AA5</f>
        <v>0</v>
      </c>
      <c r="D67" s="52">
        <v>0</v>
      </c>
      <c r="E67" s="52">
        <f>装备拆分分析表!AB5</f>
        <v>2.7333333333333329</v>
      </c>
      <c r="F67" s="52">
        <f>装备拆分分析表!Y5</f>
        <v>0</v>
      </c>
    </row>
    <row r="68" spans="1:6">
      <c r="A68">
        <f t="shared" si="0"/>
        <v>304</v>
      </c>
      <c r="B68" s="52">
        <f>装备拆分分析表!Z6</f>
        <v>0</v>
      </c>
      <c r="C68" s="52">
        <f>装备拆分分析表!AA6</f>
        <v>0</v>
      </c>
      <c r="D68" s="52">
        <v>0</v>
      </c>
      <c r="E68" s="52">
        <f>装备拆分分析表!AB6</f>
        <v>2.0499999999999998</v>
      </c>
      <c r="F68" s="52">
        <f>装备拆分分析表!Y6</f>
        <v>0</v>
      </c>
    </row>
    <row r="69" spans="1:6">
      <c r="A69">
        <f t="shared" si="0"/>
        <v>305</v>
      </c>
      <c r="B69" s="52">
        <f>装备拆分分析表!Z7</f>
        <v>0</v>
      </c>
      <c r="C69" s="52">
        <f>装备拆分分析表!AA7</f>
        <v>0</v>
      </c>
      <c r="D69" s="52">
        <v>0</v>
      </c>
      <c r="E69" s="52">
        <f>装备拆分分析表!AB7</f>
        <v>0</v>
      </c>
      <c r="F69" s="52">
        <f>装备拆分分析表!Y7</f>
        <v>9.6666666666666661</v>
      </c>
    </row>
    <row r="70" spans="1:6">
      <c r="A70">
        <f t="shared" si="0"/>
        <v>306</v>
      </c>
      <c r="B70" s="52">
        <f>装备拆分分析表!Z8</f>
        <v>0</v>
      </c>
      <c r="C70" s="52">
        <f>装备拆分分析表!AA8</f>
        <v>0</v>
      </c>
      <c r="D70" s="52">
        <v>0</v>
      </c>
      <c r="E70" s="52">
        <f>装备拆分分析表!AB8</f>
        <v>0.45555555555555555</v>
      </c>
      <c r="F70" s="52">
        <f>装备拆分分析表!Y8</f>
        <v>3.8666666666666667</v>
      </c>
    </row>
    <row r="71" spans="1:6">
      <c r="A71">
        <f t="shared" si="0"/>
        <v>311</v>
      </c>
      <c r="B71" s="52">
        <f>装备拆分分析表!Z11</f>
        <v>2.2611111111111111</v>
      </c>
      <c r="C71" s="52">
        <f>装备拆分分析表!AA11</f>
        <v>2.2611111111111111</v>
      </c>
      <c r="D71" s="52">
        <v>0</v>
      </c>
      <c r="E71" s="52">
        <f>装备拆分分析表!AB11</f>
        <v>0</v>
      </c>
      <c r="F71" s="52">
        <f>装备拆分分析表!Y11</f>
        <v>0</v>
      </c>
    </row>
    <row r="72" spans="1:6">
      <c r="A72">
        <f t="shared" si="0"/>
        <v>312</v>
      </c>
      <c r="B72" s="52">
        <f>装备拆分分析表!Z12</f>
        <v>0</v>
      </c>
      <c r="C72" s="52">
        <f>装备拆分分析表!AA12</f>
        <v>0</v>
      </c>
      <c r="D72" s="52">
        <v>0</v>
      </c>
      <c r="E72" s="52">
        <f>装备拆分分析表!AB12</f>
        <v>0</v>
      </c>
      <c r="F72" s="52">
        <f>装备拆分分析表!Y12</f>
        <v>22.577777777777779</v>
      </c>
    </row>
    <row r="73" spans="1:6">
      <c r="A73">
        <f t="shared" si="0"/>
        <v>313</v>
      </c>
      <c r="B73" s="52">
        <f>装备拆分分析表!Z13</f>
        <v>0</v>
      </c>
      <c r="C73" s="52">
        <f>装备拆分分析表!AA13</f>
        <v>0</v>
      </c>
      <c r="D73" s="52">
        <v>0</v>
      </c>
      <c r="E73" s="52">
        <f>装备拆分分析表!AB13</f>
        <v>3.9333333333333331</v>
      </c>
      <c r="F73" s="52">
        <f>装备拆分分析表!Y13</f>
        <v>0</v>
      </c>
    </row>
    <row r="74" spans="1:6">
      <c r="A74">
        <f t="shared" si="0"/>
        <v>314</v>
      </c>
      <c r="B74" s="52">
        <f>装备拆分分析表!Z14</f>
        <v>0</v>
      </c>
      <c r="C74" s="52">
        <f>装备拆分分析表!AA14</f>
        <v>0</v>
      </c>
      <c r="D74" s="52">
        <v>0</v>
      </c>
      <c r="E74" s="52">
        <f>装备拆分分析表!AB14</f>
        <v>2.95</v>
      </c>
      <c r="F74" s="52">
        <f>装备拆分分析表!Y14</f>
        <v>0</v>
      </c>
    </row>
    <row r="75" spans="1:6">
      <c r="A75">
        <f t="shared" si="0"/>
        <v>315</v>
      </c>
      <c r="B75" s="52">
        <f>装备拆分分析表!Z15</f>
        <v>0</v>
      </c>
      <c r="C75" s="52">
        <f>装备拆分分析表!AA15</f>
        <v>0</v>
      </c>
      <c r="D75" s="52">
        <v>0</v>
      </c>
      <c r="E75" s="52">
        <f>装备拆分分析表!AB15</f>
        <v>0</v>
      </c>
      <c r="F75" s="52">
        <f>装备拆分分析表!Y15</f>
        <v>14.111111111111111</v>
      </c>
    </row>
    <row r="76" spans="1:6">
      <c r="A76">
        <f t="shared" si="0"/>
        <v>316</v>
      </c>
      <c r="B76" s="52">
        <f>装备拆分分析表!Z16</f>
        <v>0</v>
      </c>
      <c r="C76" s="52">
        <f>装备拆分分析表!AA16</f>
        <v>0</v>
      </c>
      <c r="D76" s="52">
        <v>0</v>
      </c>
      <c r="E76" s="52">
        <f>装备拆分分析表!AB16</f>
        <v>0.65555555555555556</v>
      </c>
      <c r="F76" s="52">
        <f>装备拆分分析表!Y16</f>
        <v>5.6444444444444448</v>
      </c>
    </row>
    <row r="77" spans="1:6">
      <c r="A77">
        <f t="shared" si="0"/>
        <v>321</v>
      </c>
      <c r="B77" s="52">
        <f>装备拆分分析表!Z19</f>
        <v>3.3611111111111112</v>
      </c>
      <c r="C77" s="52">
        <f>装备拆分分析表!AA19</f>
        <v>3.3611111111111112</v>
      </c>
      <c r="D77" s="52">
        <v>0</v>
      </c>
      <c r="E77" s="52">
        <f>装备拆分分析表!AB19</f>
        <v>0</v>
      </c>
      <c r="F77" s="52">
        <f>装备拆分分析表!Y19</f>
        <v>0</v>
      </c>
    </row>
    <row r="78" spans="1:6">
      <c r="A78">
        <f t="shared" si="0"/>
        <v>322</v>
      </c>
      <c r="B78" s="52">
        <f>装备拆分分析表!Z20</f>
        <v>0</v>
      </c>
      <c r="C78" s="52">
        <f>装备拆分分析表!AA20</f>
        <v>0</v>
      </c>
      <c r="D78" s="52">
        <v>0</v>
      </c>
      <c r="E78" s="52">
        <f>装备拆分分析表!AB20</f>
        <v>0</v>
      </c>
      <c r="F78" s="52">
        <f>装备拆分分析表!Y20</f>
        <v>33.955555555555556</v>
      </c>
    </row>
    <row r="79" spans="1:6">
      <c r="A79">
        <f t="shared" si="0"/>
        <v>323</v>
      </c>
      <c r="B79" s="52">
        <f>装备拆分分析表!Z21</f>
        <v>0</v>
      </c>
      <c r="C79" s="52">
        <f>装备拆分分析表!AA21</f>
        <v>0</v>
      </c>
      <c r="D79" s="52">
        <v>0</v>
      </c>
      <c r="E79" s="52">
        <f>装备拆分分析表!AB21</f>
        <v>6</v>
      </c>
      <c r="F79" s="52">
        <f>装备拆分分析表!Y21</f>
        <v>0</v>
      </c>
    </row>
    <row r="80" spans="1:6">
      <c r="A80">
        <f t="shared" si="0"/>
        <v>324</v>
      </c>
      <c r="B80" s="52">
        <f>装备拆分分析表!Z22</f>
        <v>0</v>
      </c>
      <c r="C80" s="52">
        <f>装备拆分分析表!AA22</f>
        <v>0</v>
      </c>
      <c r="D80" s="52">
        <v>0</v>
      </c>
      <c r="E80" s="52">
        <f>装备拆分分析表!AB22</f>
        <v>4.5</v>
      </c>
      <c r="F80" s="52">
        <f>装备拆分分析表!Y22</f>
        <v>0</v>
      </c>
    </row>
    <row r="81" spans="1:6">
      <c r="A81">
        <f t="shared" si="0"/>
        <v>325</v>
      </c>
      <c r="B81" s="52">
        <f>装备拆分分析表!Z23</f>
        <v>0</v>
      </c>
      <c r="C81" s="52">
        <f>装备拆分分析表!AA23</f>
        <v>0</v>
      </c>
      <c r="D81" s="52">
        <v>0</v>
      </c>
      <c r="E81" s="52">
        <f>装备拆分分析表!AB23</f>
        <v>0</v>
      </c>
      <c r="F81" s="52">
        <f>装备拆分分析表!Y23</f>
        <v>21.222222222222221</v>
      </c>
    </row>
    <row r="82" spans="1:6">
      <c r="A82">
        <f t="shared" si="0"/>
        <v>326</v>
      </c>
      <c r="B82" s="52">
        <f>装备拆分分析表!Z24</f>
        <v>0</v>
      </c>
      <c r="C82" s="52">
        <f>装备拆分分析表!AA24</f>
        <v>0</v>
      </c>
      <c r="D82" s="52">
        <v>0</v>
      </c>
      <c r="E82" s="52">
        <f>装备拆分分析表!AB24</f>
        <v>1</v>
      </c>
      <c r="F82" s="52">
        <f>装备拆分分析表!Y24</f>
        <v>8.4888888888888889</v>
      </c>
    </row>
    <row r="83" spans="1:6">
      <c r="A83">
        <f t="shared" si="0"/>
        <v>331</v>
      </c>
      <c r="B83" s="52">
        <f>装备拆分分析表!Z27</f>
        <v>7.2722222222222221</v>
      </c>
      <c r="C83" s="52">
        <f>装备拆分分析表!AA27</f>
        <v>7.2722222222222221</v>
      </c>
      <c r="D83" s="52">
        <v>0</v>
      </c>
      <c r="E83" s="52">
        <f>装备拆分分析表!AB27</f>
        <v>0</v>
      </c>
      <c r="F83" s="52">
        <f>装备拆分分析表!Y27</f>
        <v>0</v>
      </c>
    </row>
    <row r="84" spans="1:6">
      <c r="A84">
        <f t="shared" si="0"/>
        <v>332</v>
      </c>
      <c r="B84" s="52">
        <f>装备拆分分析表!Z28</f>
        <v>0</v>
      </c>
      <c r="C84" s="52">
        <f>装备拆分分析表!AA28</f>
        <v>0</v>
      </c>
      <c r="D84" s="52">
        <v>0</v>
      </c>
      <c r="E84" s="52">
        <f>装备拆分分析表!AB28</f>
        <v>0</v>
      </c>
      <c r="F84" s="52">
        <f>装备拆分分析表!Y28</f>
        <v>73.600000000000009</v>
      </c>
    </row>
    <row r="85" spans="1:6">
      <c r="A85">
        <f t="shared" si="0"/>
        <v>333</v>
      </c>
      <c r="B85" s="52">
        <f>装备拆分分析表!Z29</f>
        <v>0</v>
      </c>
      <c r="C85" s="52">
        <f>装备拆分分析表!AA29</f>
        <v>0</v>
      </c>
      <c r="D85" s="52">
        <v>0</v>
      </c>
      <c r="E85" s="52">
        <f>装备拆分分析表!AB29</f>
        <v>12.933333333333334</v>
      </c>
      <c r="F85" s="52">
        <f>装备拆分分析表!Y29</f>
        <v>0</v>
      </c>
    </row>
    <row r="86" spans="1:6">
      <c r="A86">
        <f t="shared" si="0"/>
        <v>334</v>
      </c>
      <c r="B86" s="52">
        <f>装备拆分分析表!Z30</f>
        <v>0</v>
      </c>
      <c r="C86" s="52">
        <f>装备拆分分析表!AA30</f>
        <v>0</v>
      </c>
      <c r="D86" s="52">
        <v>0</v>
      </c>
      <c r="E86" s="52">
        <f>装备拆分分析表!AB30</f>
        <v>9.7000000000000011</v>
      </c>
      <c r="F86" s="52">
        <f>装备拆分分析表!Y30</f>
        <v>0</v>
      </c>
    </row>
    <row r="87" spans="1:6">
      <c r="A87">
        <f t="shared" si="0"/>
        <v>335</v>
      </c>
      <c r="B87" s="52">
        <f>装备拆分分析表!Z31</f>
        <v>0</v>
      </c>
      <c r="C87" s="52">
        <f>装备拆分分析表!AA31</f>
        <v>0</v>
      </c>
      <c r="D87" s="52">
        <v>0</v>
      </c>
      <c r="E87" s="52">
        <f>装备拆分分析表!AB31</f>
        <v>0</v>
      </c>
      <c r="F87" s="52">
        <f>装备拆分分析表!Y31</f>
        <v>46</v>
      </c>
    </row>
    <row r="88" spans="1:6">
      <c r="A88">
        <f t="shared" si="0"/>
        <v>336</v>
      </c>
      <c r="B88" s="52">
        <f>装备拆分分析表!Z32</f>
        <v>0</v>
      </c>
      <c r="C88" s="52">
        <f>装备拆分分析表!AA32</f>
        <v>0</v>
      </c>
      <c r="D88" s="52">
        <v>0</v>
      </c>
      <c r="E88" s="52">
        <f>装备拆分分析表!AB32</f>
        <v>2.1555555555555559</v>
      </c>
      <c r="F88" s="52">
        <f>装备拆分分析表!Y32</f>
        <v>18.400000000000002</v>
      </c>
    </row>
    <row r="89" spans="1:6">
      <c r="A89">
        <f>A59+100</f>
        <v>341</v>
      </c>
      <c r="B89" s="52">
        <f>装备拆分分析表!Z35</f>
        <v>14.911111111111111</v>
      </c>
      <c r="C89" s="52">
        <f>装备拆分分析表!AA35</f>
        <v>14.911111111111111</v>
      </c>
      <c r="D89" s="52">
        <v>0</v>
      </c>
      <c r="E89" s="52">
        <f>装备拆分分析表!AB35</f>
        <v>0</v>
      </c>
      <c r="F89" s="52">
        <f>装备拆分分析表!Y35</f>
        <v>0</v>
      </c>
    </row>
    <row r="90" spans="1:6">
      <c r="A90">
        <f t="shared" si="0"/>
        <v>342</v>
      </c>
      <c r="B90" s="52">
        <f>装备拆分分析表!Z36</f>
        <v>0</v>
      </c>
      <c r="C90" s="52">
        <f>装备拆分分析表!AA36</f>
        <v>0</v>
      </c>
      <c r="D90" s="52">
        <v>0</v>
      </c>
      <c r="E90" s="52">
        <f>装备拆分分析表!AB36</f>
        <v>0</v>
      </c>
      <c r="F90" s="52">
        <f>装备拆分分析表!Y36</f>
        <v>149.95555555555558</v>
      </c>
    </row>
    <row r="91" spans="1:6">
      <c r="A91">
        <f t="shared" si="0"/>
        <v>343</v>
      </c>
      <c r="B91" s="52">
        <f>装备拆分分析表!Z37</f>
        <v>0</v>
      </c>
      <c r="C91" s="52">
        <f>装备拆分分析表!AA37</f>
        <v>0</v>
      </c>
      <c r="D91" s="52">
        <v>0</v>
      </c>
      <c r="E91" s="52">
        <f>装备拆分分析表!AB37</f>
        <v>26.4</v>
      </c>
      <c r="F91" s="52">
        <f>装备拆分分析表!Y37</f>
        <v>0</v>
      </c>
    </row>
    <row r="92" spans="1:6">
      <c r="A92">
        <f t="shared" si="0"/>
        <v>344</v>
      </c>
      <c r="B92" s="52">
        <f>装备拆分分析表!Z38</f>
        <v>0</v>
      </c>
      <c r="C92" s="52">
        <f>装备拆分分析表!AA38</f>
        <v>0</v>
      </c>
      <c r="D92" s="52">
        <v>0</v>
      </c>
      <c r="E92" s="52">
        <f>装备拆分分析表!AB38</f>
        <v>19.8</v>
      </c>
      <c r="F92" s="52">
        <f>装备拆分分析表!Y38</f>
        <v>0</v>
      </c>
    </row>
    <row r="93" spans="1:6">
      <c r="A93">
        <f t="shared" si="0"/>
        <v>345</v>
      </c>
      <c r="B93" s="52">
        <f>装备拆分分析表!Z39</f>
        <v>0</v>
      </c>
      <c r="C93" s="52">
        <f>装备拆分分析表!AA39</f>
        <v>0</v>
      </c>
      <c r="D93" s="52">
        <v>0</v>
      </c>
      <c r="E93" s="52">
        <f>装备拆分分析表!AB39</f>
        <v>0</v>
      </c>
      <c r="F93" s="52">
        <f>装备拆分分析表!Y39</f>
        <v>93.722222222222229</v>
      </c>
    </row>
    <row r="94" spans="1:6">
      <c r="A94">
        <f t="shared" si="0"/>
        <v>346</v>
      </c>
      <c r="B94" s="52">
        <f>装备拆分分析表!Z40</f>
        <v>0</v>
      </c>
      <c r="C94" s="52">
        <f>装备拆分分析表!AA40</f>
        <v>0</v>
      </c>
      <c r="D94" s="52">
        <v>0</v>
      </c>
      <c r="E94" s="52">
        <f>装备拆分分析表!AB40</f>
        <v>4.4000000000000004</v>
      </c>
      <c r="F94" s="52">
        <f>装备拆分分析表!Y40</f>
        <v>37.488888888888894</v>
      </c>
    </row>
    <row r="95" spans="1:6">
      <c r="A95">
        <f t="shared" si="0"/>
        <v>401</v>
      </c>
      <c r="B95" s="52">
        <f>装备拆分分析表!AG3</f>
        <v>1.6666666666666665</v>
      </c>
      <c r="C95" s="52">
        <f>装备拆分分析表!AH3</f>
        <v>1.6666666666666665</v>
      </c>
      <c r="D95" s="52">
        <v>0</v>
      </c>
      <c r="E95" s="52">
        <f>装备拆分分析表!AI3</f>
        <v>0</v>
      </c>
      <c r="F95" s="52">
        <f>装备拆分分析表!AF3</f>
        <v>0</v>
      </c>
    </row>
    <row r="96" spans="1:6">
      <c r="A96">
        <f>A66+100</f>
        <v>402</v>
      </c>
      <c r="B96" s="52">
        <f>装备拆分分析表!AG4</f>
        <v>0</v>
      </c>
      <c r="C96" s="52">
        <f>装备拆分分析表!AH4</f>
        <v>0</v>
      </c>
      <c r="D96" s="52">
        <v>0</v>
      </c>
      <c r="E96" s="52">
        <f>装备拆分分析表!AI4</f>
        <v>0</v>
      </c>
      <c r="F96" s="52">
        <f>装备拆分分析表!AF4</f>
        <v>9.6666666666666661</v>
      </c>
    </row>
    <row r="97" spans="1:6">
      <c r="A97">
        <f>A67+100</f>
        <v>403</v>
      </c>
      <c r="B97" s="52">
        <f>装备拆分分析表!AG5</f>
        <v>0</v>
      </c>
      <c r="C97" s="52">
        <f>装备拆分分析表!AH5</f>
        <v>0</v>
      </c>
      <c r="D97" s="52">
        <v>0</v>
      </c>
      <c r="E97" s="52">
        <f>装备拆分分析表!AI5</f>
        <v>2.2777777777777777</v>
      </c>
      <c r="F97" s="52">
        <f>装备拆分分析表!AF5</f>
        <v>0</v>
      </c>
    </row>
    <row r="98" spans="1:6">
      <c r="A98">
        <f t="shared" ref="A98:A124" si="1">A68+100</f>
        <v>404</v>
      </c>
      <c r="B98" s="52">
        <f>装备拆分分析表!AG6</f>
        <v>0</v>
      </c>
      <c r="C98" s="52">
        <f>装备拆分分析表!AH6</f>
        <v>0</v>
      </c>
      <c r="D98" s="52">
        <v>0</v>
      </c>
      <c r="E98" s="52">
        <f>装备拆分分析表!AI6</f>
        <v>1.3666666666666665</v>
      </c>
      <c r="F98" s="52">
        <f>装备拆分分析表!AF6</f>
        <v>0</v>
      </c>
    </row>
    <row r="99" spans="1:6">
      <c r="A99">
        <f t="shared" si="1"/>
        <v>405</v>
      </c>
      <c r="B99" s="52">
        <f>装备拆分分析表!AG7</f>
        <v>0</v>
      </c>
      <c r="C99" s="52">
        <f>装备拆分分析表!AH7</f>
        <v>0.55555555555555558</v>
      </c>
      <c r="D99" s="52">
        <v>0</v>
      </c>
      <c r="E99" s="52">
        <f>装备拆分分析表!AI7</f>
        <v>0</v>
      </c>
      <c r="F99" s="52">
        <f>装备拆分分析表!AF7</f>
        <v>5.8</v>
      </c>
    </row>
    <row r="100" spans="1:6">
      <c r="A100">
        <f t="shared" si="1"/>
        <v>406</v>
      </c>
      <c r="B100" s="52">
        <f>装备拆分分析表!AG8</f>
        <v>0</v>
      </c>
      <c r="C100" s="52">
        <f>装备拆分分析表!AH8</f>
        <v>0</v>
      </c>
      <c r="D100" s="52">
        <v>0</v>
      </c>
      <c r="E100" s="52">
        <f>装备拆分分析表!AI8</f>
        <v>1.3666666666666665</v>
      </c>
      <c r="F100" s="52">
        <f>装备拆分分析表!AF8</f>
        <v>3.8666666666666667</v>
      </c>
    </row>
    <row r="101" spans="1:6">
      <c r="A101">
        <f t="shared" si="1"/>
        <v>411</v>
      </c>
      <c r="B101" s="52">
        <f>装备拆分分析表!AG11</f>
        <v>2.4666666666666663</v>
      </c>
      <c r="C101" s="52">
        <f>装备拆分分析表!AH11</f>
        <v>2.4666666666666663</v>
      </c>
      <c r="D101" s="52">
        <v>0</v>
      </c>
      <c r="E101" s="52">
        <f>装备拆分分析表!AI11</f>
        <v>0</v>
      </c>
      <c r="F101" s="52">
        <f>装备拆分分析表!AF11</f>
        <v>0</v>
      </c>
    </row>
    <row r="102" spans="1:6">
      <c r="A102">
        <f t="shared" si="1"/>
        <v>412</v>
      </c>
      <c r="B102" s="52">
        <f>装备拆分分析表!AG12</f>
        <v>0</v>
      </c>
      <c r="C102" s="52">
        <f>装备拆分分析表!AH12</f>
        <v>0</v>
      </c>
      <c r="D102" s="52">
        <v>0</v>
      </c>
      <c r="E102" s="52">
        <f>装备拆分分析表!AI12</f>
        <v>0</v>
      </c>
      <c r="F102" s="52">
        <f>装备拆分分析表!AF12</f>
        <v>14.111111111111111</v>
      </c>
    </row>
    <row r="103" spans="1:6">
      <c r="A103">
        <f t="shared" si="1"/>
        <v>413</v>
      </c>
      <c r="B103" s="52">
        <f>装备拆分分析表!AG13</f>
        <v>0</v>
      </c>
      <c r="C103" s="52">
        <f>装备拆分分析表!AH13</f>
        <v>0</v>
      </c>
      <c r="D103" s="52">
        <v>0</v>
      </c>
      <c r="E103" s="52">
        <f>装备拆分分析表!AI13</f>
        <v>3.2777777777777777</v>
      </c>
      <c r="F103" s="52">
        <f>装备拆分分析表!AF13</f>
        <v>0</v>
      </c>
    </row>
    <row r="104" spans="1:6">
      <c r="A104">
        <f t="shared" si="1"/>
        <v>414</v>
      </c>
      <c r="B104" s="52">
        <f>装备拆分分析表!AG14</f>
        <v>0</v>
      </c>
      <c r="C104" s="52">
        <f>装备拆分分析表!AH14</f>
        <v>0</v>
      </c>
      <c r="D104" s="52">
        <v>0</v>
      </c>
      <c r="E104" s="52">
        <f>装备拆分分析表!AI14</f>
        <v>1.9666666666666666</v>
      </c>
      <c r="F104" s="52">
        <f>装备拆分分析表!AF14</f>
        <v>0</v>
      </c>
    </row>
    <row r="105" spans="1:6">
      <c r="A105">
        <f t="shared" si="1"/>
        <v>415</v>
      </c>
      <c r="B105" s="52">
        <f>装备拆分分析表!AG15</f>
        <v>0</v>
      </c>
      <c r="C105" s="52">
        <f>装备拆分分析表!AH15</f>
        <v>0.82222222222222219</v>
      </c>
      <c r="D105" s="52">
        <v>0</v>
      </c>
      <c r="E105" s="52">
        <f>装备拆分分析表!AI15</f>
        <v>0</v>
      </c>
      <c r="F105" s="52">
        <f>装备拆分分析表!AF15</f>
        <v>8.4666666666666668</v>
      </c>
    </row>
    <row r="106" spans="1:6">
      <c r="A106">
        <f t="shared" si="1"/>
        <v>416</v>
      </c>
      <c r="B106" s="52">
        <f>装备拆分分析表!AG16</f>
        <v>0</v>
      </c>
      <c r="C106" s="52">
        <f>装备拆分分析表!AH16</f>
        <v>0</v>
      </c>
      <c r="D106" s="52">
        <v>0</v>
      </c>
      <c r="E106" s="52">
        <f>装备拆分分析表!AI16</f>
        <v>1.9666666666666666</v>
      </c>
      <c r="F106" s="52">
        <f>装备拆分分析表!AF16</f>
        <v>5.6444444444444448</v>
      </c>
    </row>
    <row r="107" spans="1:6">
      <c r="A107">
        <f t="shared" si="1"/>
        <v>421</v>
      </c>
      <c r="B107" s="52">
        <f>装备拆分分析表!AG19</f>
        <v>3.6666666666666661</v>
      </c>
      <c r="C107" s="52">
        <f>装备拆分分析表!AH19</f>
        <v>3.6666666666666661</v>
      </c>
      <c r="D107" s="52">
        <v>0</v>
      </c>
      <c r="E107" s="52">
        <f>装备拆分分析表!AI19</f>
        <v>0</v>
      </c>
      <c r="F107" s="52">
        <f>装备拆分分析表!AF19</f>
        <v>0</v>
      </c>
    </row>
    <row r="108" spans="1:6">
      <c r="A108">
        <f t="shared" si="1"/>
        <v>422</v>
      </c>
      <c r="B108" s="52">
        <f>装备拆分分析表!AG20</f>
        <v>0</v>
      </c>
      <c r="C108" s="52">
        <f>装备拆分分析表!AH20</f>
        <v>0</v>
      </c>
      <c r="D108" s="52">
        <v>0</v>
      </c>
      <c r="E108" s="52">
        <f>装备拆分分析表!AI20</f>
        <v>0</v>
      </c>
      <c r="F108" s="52">
        <f>装备拆分分析表!AF20</f>
        <v>21.222222222222221</v>
      </c>
    </row>
    <row r="109" spans="1:6">
      <c r="A109">
        <f t="shared" si="1"/>
        <v>423</v>
      </c>
      <c r="B109" s="52">
        <f>装备拆分分析表!AG21</f>
        <v>0</v>
      </c>
      <c r="C109" s="52">
        <f>装备拆分分析表!AH21</f>
        <v>0</v>
      </c>
      <c r="D109" s="52">
        <v>0</v>
      </c>
      <c r="E109" s="52">
        <f>装备拆分分析表!AI21</f>
        <v>5</v>
      </c>
      <c r="F109" s="52">
        <f>装备拆分分析表!AF21</f>
        <v>0</v>
      </c>
    </row>
    <row r="110" spans="1:6">
      <c r="A110">
        <f t="shared" si="1"/>
        <v>424</v>
      </c>
      <c r="B110" s="52">
        <f>装备拆分分析表!AG22</f>
        <v>0</v>
      </c>
      <c r="C110" s="52">
        <f>装备拆分分析表!AH22</f>
        <v>0</v>
      </c>
      <c r="D110" s="52">
        <v>0</v>
      </c>
      <c r="E110" s="52">
        <f>装备拆分分析表!AI22</f>
        <v>3</v>
      </c>
      <c r="F110" s="52">
        <f>装备拆分分析表!AF22</f>
        <v>0</v>
      </c>
    </row>
    <row r="111" spans="1:6">
      <c r="A111">
        <f t="shared" si="1"/>
        <v>425</v>
      </c>
      <c r="B111" s="52">
        <f>装备拆分分析表!AG23</f>
        <v>0</v>
      </c>
      <c r="C111" s="52">
        <f>装备拆分分析表!AH23</f>
        <v>1.2222222222222223</v>
      </c>
      <c r="D111" s="52">
        <v>0</v>
      </c>
      <c r="E111" s="52">
        <f>装备拆分分析表!AI23</f>
        <v>0</v>
      </c>
      <c r="F111" s="52">
        <f>装备拆分分析表!AF23</f>
        <v>12.733333333333333</v>
      </c>
    </row>
    <row r="112" spans="1:6">
      <c r="A112">
        <f t="shared" si="1"/>
        <v>426</v>
      </c>
      <c r="B112" s="52">
        <f>装备拆分分析表!AG24</f>
        <v>0</v>
      </c>
      <c r="C112" s="52">
        <f>装备拆分分析表!AH24</f>
        <v>0</v>
      </c>
      <c r="D112" s="52">
        <v>0</v>
      </c>
      <c r="E112" s="52">
        <f>装备拆分分析表!AI24</f>
        <v>3</v>
      </c>
      <c r="F112" s="52">
        <f>装备拆分分析表!AF24</f>
        <v>8.4888888888888889</v>
      </c>
    </row>
    <row r="113" spans="1:6">
      <c r="A113">
        <f t="shared" si="1"/>
        <v>431</v>
      </c>
      <c r="B113" s="52">
        <f>装备拆分分析表!AG27</f>
        <v>7.9333333333333327</v>
      </c>
      <c r="C113" s="52">
        <f>装备拆分分析表!AH27</f>
        <v>7.9333333333333327</v>
      </c>
      <c r="D113" s="52">
        <v>0</v>
      </c>
      <c r="E113" s="52">
        <f>装备拆分分析表!AI27</f>
        <v>0</v>
      </c>
      <c r="F113" s="52">
        <f>装备拆分分析表!AF27</f>
        <v>0</v>
      </c>
    </row>
    <row r="114" spans="1:6">
      <c r="A114">
        <f t="shared" si="1"/>
        <v>432</v>
      </c>
      <c r="B114" s="52">
        <f>装备拆分分析表!AG28</f>
        <v>0</v>
      </c>
      <c r="C114" s="52">
        <f>装备拆分分析表!AH28</f>
        <v>0</v>
      </c>
      <c r="D114" s="52">
        <v>0</v>
      </c>
      <c r="E114" s="52">
        <f>装备拆分分析表!AI28</f>
        <v>0</v>
      </c>
      <c r="F114" s="52">
        <f>装备拆分分析表!AF28</f>
        <v>46</v>
      </c>
    </row>
    <row r="115" spans="1:6">
      <c r="A115">
        <f t="shared" si="1"/>
        <v>433</v>
      </c>
      <c r="B115" s="52">
        <f>装备拆分分析表!AG29</f>
        <v>0</v>
      </c>
      <c r="C115" s="52">
        <f>装备拆分分析表!AH29</f>
        <v>0</v>
      </c>
      <c r="D115" s="52">
        <v>0</v>
      </c>
      <c r="E115" s="52">
        <f>装备拆分分析表!AI29</f>
        <v>10.777777777777779</v>
      </c>
      <c r="F115" s="52">
        <f>装备拆分分析表!AF29</f>
        <v>0</v>
      </c>
    </row>
    <row r="116" spans="1:6">
      <c r="A116">
        <f t="shared" si="1"/>
        <v>434</v>
      </c>
      <c r="B116" s="52">
        <f>装备拆分分析表!AG30</f>
        <v>0</v>
      </c>
      <c r="C116" s="52">
        <f>装备拆分分析表!AH30</f>
        <v>0</v>
      </c>
      <c r="D116" s="52">
        <v>0</v>
      </c>
      <c r="E116" s="52">
        <f>装备拆分分析表!AI30</f>
        <v>6.4666666666666668</v>
      </c>
      <c r="F116" s="52">
        <f>装备拆分分析表!AF30</f>
        <v>0</v>
      </c>
    </row>
    <row r="117" spans="1:6">
      <c r="A117">
        <f t="shared" si="1"/>
        <v>435</v>
      </c>
      <c r="B117" s="52">
        <f>装备拆分分析表!AG31</f>
        <v>0</v>
      </c>
      <c r="C117" s="52">
        <f>装备拆分分析表!AH31</f>
        <v>2.6444444444444444</v>
      </c>
      <c r="D117" s="52">
        <v>0</v>
      </c>
      <c r="E117" s="52">
        <f>装备拆分分析表!AI31</f>
        <v>0</v>
      </c>
      <c r="F117" s="52">
        <f>装备拆分分析表!AF31</f>
        <v>27.599999999999998</v>
      </c>
    </row>
    <row r="118" spans="1:6">
      <c r="A118">
        <f t="shared" si="1"/>
        <v>436</v>
      </c>
      <c r="B118" s="52">
        <f>装备拆分分析表!AG32</f>
        <v>0</v>
      </c>
      <c r="C118" s="52">
        <f>装备拆分分析表!AH32</f>
        <v>0</v>
      </c>
      <c r="D118" s="52">
        <v>0</v>
      </c>
      <c r="E118" s="52">
        <f>装备拆分分析表!AI32</f>
        <v>6.4666666666666668</v>
      </c>
      <c r="F118" s="52">
        <f>装备拆分分析表!AF32</f>
        <v>18.400000000000002</v>
      </c>
    </row>
    <row r="119" spans="1:6">
      <c r="A119">
        <f>A89+100</f>
        <v>441</v>
      </c>
      <c r="B119" s="52">
        <f>装备拆分分析表!AG35</f>
        <v>16.266666666666666</v>
      </c>
      <c r="C119" s="52">
        <f>装备拆分分析表!AH35</f>
        <v>16.266666666666666</v>
      </c>
      <c r="D119" s="52">
        <v>0</v>
      </c>
      <c r="E119" s="52">
        <f>装备拆分分析表!AI35</f>
        <v>0</v>
      </c>
      <c r="F119" s="52">
        <f>装备拆分分析表!AF35</f>
        <v>0</v>
      </c>
    </row>
    <row r="120" spans="1:6">
      <c r="A120">
        <f t="shared" si="1"/>
        <v>442</v>
      </c>
      <c r="B120" s="52">
        <f>装备拆分分析表!AG36</f>
        <v>0</v>
      </c>
      <c r="C120" s="52">
        <f>装备拆分分析表!AH36</f>
        <v>0</v>
      </c>
      <c r="D120" s="52">
        <v>0</v>
      </c>
      <c r="E120" s="52">
        <f>装备拆分分析表!AI36</f>
        <v>0</v>
      </c>
      <c r="F120" s="52">
        <f>装备拆分分析表!AF36</f>
        <v>93.722222222222229</v>
      </c>
    </row>
    <row r="121" spans="1:6">
      <c r="A121">
        <f t="shared" si="1"/>
        <v>443</v>
      </c>
      <c r="B121" s="52">
        <f>装备拆分分析表!AG37</f>
        <v>0</v>
      </c>
      <c r="C121" s="52">
        <f>装备拆分分析表!AH37</f>
        <v>0</v>
      </c>
      <c r="D121" s="52">
        <v>0</v>
      </c>
      <c r="E121" s="52">
        <f>装备拆分分析表!AI37</f>
        <v>22</v>
      </c>
      <c r="F121" s="52">
        <f>装备拆分分析表!AF37</f>
        <v>0</v>
      </c>
    </row>
    <row r="122" spans="1:6">
      <c r="A122">
        <f t="shared" si="1"/>
        <v>444</v>
      </c>
      <c r="B122" s="52">
        <f>装备拆分分析表!AG38</f>
        <v>0</v>
      </c>
      <c r="C122" s="52">
        <f>装备拆分分析表!AH38</f>
        <v>0</v>
      </c>
      <c r="D122" s="52">
        <v>0</v>
      </c>
      <c r="E122" s="52">
        <f>装备拆分分析表!AI38</f>
        <v>13.2</v>
      </c>
      <c r="F122" s="52">
        <f>装备拆分分析表!AF38</f>
        <v>0</v>
      </c>
    </row>
    <row r="123" spans="1:6">
      <c r="A123">
        <f t="shared" si="1"/>
        <v>445</v>
      </c>
      <c r="B123" s="52">
        <f>装备拆分分析表!AG39</f>
        <v>0</v>
      </c>
      <c r="C123" s="52">
        <f>装备拆分分析表!AH39</f>
        <v>5.4222222222222225</v>
      </c>
      <c r="D123" s="52">
        <v>0</v>
      </c>
      <c r="E123" s="52">
        <f>装备拆分分析表!AI39</f>
        <v>0</v>
      </c>
      <c r="F123" s="52">
        <f>装备拆分分析表!AF39</f>
        <v>56.233333333333334</v>
      </c>
    </row>
    <row r="124" spans="1:6">
      <c r="A124">
        <f t="shared" si="1"/>
        <v>446</v>
      </c>
      <c r="B124" s="52">
        <f>装备拆分分析表!AG40</f>
        <v>0</v>
      </c>
      <c r="C124" s="52">
        <f>装备拆分分析表!AH40</f>
        <v>0</v>
      </c>
      <c r="D124" s="52">
        <v>0</v>
      </c>
      <c r="E124" s="52">
        <f>装备拆分分析表!AI40</f>
        <v>13.2</v>
      </c>
      <c r="F124" s="52">
        <f>装备拆分分析表!AF40</f>
        <v>37.488888888888894</v>
      </c>
    </row>
    <row r="125" spans="1:6">
      <c r="A125">
        <v>10101</v>
      </c>
      <c r="B125" s="52">
        <f>装备拆分分析表!L42</f>
        <v>44.800000000000004</v>
      </c>
      <c r="C125" s="52">
        <f>装备拆分分析表!M42</f>
        <v>22.400000000000002</v>
      </c>
      <c r="D125" s="52">
        <v>0</v>
      </c>
      <c r="E125" s="52">
        <f>装备拆分分析表!N42</f>
        <v>0</v>
      </c>
      <c r="F125" s="52">
        <f>装备拆分分析表!K42</f>
        <v>0</v>
      </c>
    </row>
    <row r="126" spans="1:6">
      <c r="A126">
        <v>10102</v>
      </c>
      <c r="B126" s="52">
        <f>装备拆分分析表!L43</f>
        <v>0</v>
      </c>
      <c r="C126" s="52">
        <f>装备拆分分析表!M43</f>
        <v>0</v>
      </c>
      <c r="D126" s="52">
        <v>0</v>
      </c>
      <c r="E126" s="52">
        <f>装备拆分分析表!N43</f>
        <v>0</v>
      </c>
      <c r="F126" s="52">
        <f>装备拆分分析表!K43</f>
        <v>194</v>
      </c>
    </row>
    <row r="127" spans="1:6">
      <c r="A127">
        <v>10103</v>
      </c>
      <c r="B127" s="52">
        <f>装备拆分分析表!L44</f>
        <v>0</v>
      </c>
      <c r="C127" s="52">
        <f>装备拆分分析表!M44</f>
        <v>0</v>
      </c>
      <c r="D127" s="52">
        <v>0</v>
      </c>
      <c r="E127" s="52">
        <f>装备拆分分析表!N44</f>
        <v>36.4</v>
      </c>
      <c r="F127" s="52">
        <f>装备拆分分析表!K44</f>
        <v>0</v>
      </c>
    </row>
    <row r="128" spans="1:6">
      <c r="A128">
        <v>10104</v>
      </c>
      <c r="B128" s="52">
        <f>装备拆分分析表!L45</f>
        <v>5.6000000000000005</v>
      </c>
      <c r="C128" s="52">
        <f>装备拆分分析表!M45</f>
        <v>0</v>
      </c>
      <c r="D128" s="52">
        <v>0</v>
      </c>
      <c r="E128" s="52">
        <f>装备拆分分析表!N45</f>
        <v>27.3</v>
      </c>
      <c r="F128" s="52">
        <f>装备拆分分析表!K45</f>
        <v>0</v>
      </c>
    </row>
    <row r="129" spans="1:6">
      <c r="A129">
        <v>10105</v>
      </c>
      <c r="B129" s="52">
        <f>装备拆分分析表!L46</f>
        <v>0</v>
      </c>
      <c r="C129" s="52">
        <f>装备拆分分析表!M46</f>
        <v>11.200000000000001</v>
      </c>
      <c r="D129" s="52">
        <v>0</v>
      </c>
      <c r="E129" s="52">
        <f>装备拆分分析表!N46</f>
        <v>0</v>
      </c>
      <c r="F129" s="52">
        <f>装备拆分分析表!K46</f>
        <v>155.20000000000002</v>
      </c>
    </row>
    <row r="130" spans="1:6">
      <c r="A130">
        <v>10106</v>
      </c>
      <c r="B130" s="52">
        <f>装备拆分分析表!L47</f>
        <v>22.400000000000002</v>
      </c>
      <c r="C130" s="52">
        <f>装备拆分分析表!M47</f>
        <v>0</v>
      </c>
      <c r="D130" s="52">
        <v>0</v>
      </c>
      <c r="E130" s="52">
        <f>装备拆分分析表!N47</f>
        <v>0</v>
      </c>
      <c r="F130" s="52">
        <f>装备拆分分析表!K47</f>
        <v>38.800000000000004</v>
      </c>
    </row>
    <row r="131" spans="1:6">
      <c r="A131">
        <v>10111</v>
      </c>
      <c r="B131" s="52">
        <f>装备拆分分析表!L48</f>
        <v>68.753126400000014</v>
      </c>
      <c r="C131" s="52">
        <f>装备拆分分析表!M48</f>
        <v>34.376563200000007</v>
      </c>
      <c r="D131" s="52">
        <v>0</v>
      </c>
      <c r="E131" s="52">
        <f>装备拆分分析表!N48</f>
        <v>0</v>
      </c>
      <c r="F131" s="52">
        <f>装备拆分分析表!K48</f>
        <v>0</v>
      </c>
    </row>
    <row r="132" spans="1:6">
      <c r="A132">
        <v>10112</v>
      </c>
      <c r="B132" s="52">
        <f>装备拆分分析表!L49</f>
        <v>0</v>
      </c>
      <c r="C132" s="52">
        <f>装备拆分分析表!M49</f>
        <v>0</v>
      </c>
      <c r="D132" s="52">
        <v>0</v>
      </c>
      <c r="E132" s="52">
        <f>装备拆分分析表!N49</f>
        <v>0</v>
      </c>
      <c r="F132" s="52">
        <f>装备拆分分析表!K49</f>
        <v>297.72559200000001</v>
      </c>
    </row>
    <row r="133" spans="1:6">
      <c r="A133">
        <v>10113</v>
      </c>
      <c r="B133" s="52">
        <f>装备拆分分析表!L50</f>
        <v>0</v>
      </c>
      <c r="C133" s="52">
        <f>装备拆分分析表!M50</f>
        <v>0</v>
      </c>
      <c r="D133" s="52">
        <v>0</v>
      </c>
      <c r="E133" s="52">
        <f>装备拆分分析表!N50</f>
        <v>55.861915200000013</v>
      </c>
      <c r="F133" s="52">
        <f>装备拆分分析表!K50</f>
        <v>0</v>
      </c>
    </row>
    <row r="134" spans="1:6">
      <c r="A134">
        <v>10114</v>
      </c>
      <c r="B134" s="52">
        <f>装备拆分分析表!L51</f>
        <v>8.5941408000000017</v>
      </c>
      <c r="C134" s="52">
        <f>装备拆分分析表!M51</f>
        <v>0</v>
      </c>
      <c r="D134" s="52">
        <v>0</v>
      </c>
      <c r="E134" s="52">
        <f>装备拆分分析表!N51</f>
        <v>41.896436400000006</v>
      </c>
      <c r="F134" s="52">
        <f>装备拆分分析表!K51</f>
        <v>0</v>
      </c>
    </row>
    <row r="135" spans="1:6">
      <c r="A135">
        <v>10115</v>
      </c>
      <c r="B135" s="52">
        <f>装备拆分分析表!L52</f>
        <v>0</v>
      </c>
      <c r="C135" s="52">
        <f>装备拆分分析表!M52</f>
        <v>17.188281600000003</v>
      </c>
      <c r="D135" s="52">
        <v>0</v>
      </c>
      <c r="E135" s="52">
        <f>装备拆分分析表!N52</f>
        <v>0</v>
      </c>
      <c r="F135" s="52">
        <f>装备拆分分析表!K52</f>
        <v>238.18047360000003</v>
      </c>
    </row>
    <row r="136" spans="1:6">
      <c r="A136">
        <v>10116</v>
      </c>
      <c r="B136" s="52">
        <f>装备拆分分析表!L53</f>
        <v>34.376563200000007</v>
      </c>
      <c r="C136" s="52">
        <f>装备拆分分析表!M53</f>
        <v>0</v>
      </c>
      <c r="D136" s="52">
        <v>0</v>
      </c>
      <c r="E136" s="52">
        <f>装备拆分分析表!N53</f>
        <v>0</v>
      </c>
      <c r="F136" s="52">
        <f>装备拆分分析表!K53</f>
        <v>59.545118400000007</v>
      </c>
    </row>
    <row r="137" spans="1:6">
      <c r="A137">
        <v>10121</v>
      </c>
      <c r="B137" s="52">
        <f>装备拆分分析表!L54</f>
        <v>107.84350044160004</v>
      </c>
      <c r="C137" s="52">
        <f>装备拆分分析表!M54</f>
        <v>53.921750220800021</v>
      </c>
      <c r="D137" s="52">
        <v>0</v>
      </c>
      <c r="E137" s="52">
        <f>装备拆分分析表!N54</f>
        <v>0</v>
      </c>
      <c r="F137" s="52">
        <f>装备拆分分析表!K54</f>
        <v>0</v>
      </c>
    </row>
    <row r="138" spans="1:6">
      <c r="A138">
        <v>10122</v>
      </c>
      <c r="B138" s="52">
        <f>装备拆分分析表!L55</f>
        <v>0</v>
      </c>
      <c r="C138" s="52">
        <f>装备拆分分析表!M55</f>
        <v>0</v>
      </c>
      <c r="D138" s="52">
        <v>0</v>
      </c>
      <c r="E138" s="52">
        <f>装备拆分分析表!N55</f>
        <v>0</v>
      </c>
      <c r="F138" s="52">
        <f>装备拆分分析表!K55</f>
        <v>467.00087244800011</v>
      </c>
    </row>
    <row r="139" spans="1:6">
      <c r="A139">
        <v>10123</v>
      </c>
      <c r="B139" s="52">
        <f>装备拆分分析表!L56</f>
        <v>0</v>
      </c>
      <c r="C139" s="52">
        <f>装备拆分分析表!M56</f>
        <v>0</v>
      </c>
      <c r="D139" s="52">
        <v>0</v>
      </c>
      <c r="E139" s="52">
        <f>装备拆分分析表!N56</f>
        <v>87.622844108800024</v>
      </c>
      <c r="F139" s="52">
        <f>装备拆分分析表!K56</f>
        <v>0</v>
      </c>
    </row>
    <row r="140" spans="1:6">
      <c r="A140">
        <v>10124</v>
      </c>
      <c r="B140" s="52">
        <f>装备拆分分析表!L57</f>
        <v>13.480437555200005</v>
      </c>
      <c r="C140" s="52">
        <f>装备拆分分析表!M57</f>
        <v>0</v>
      </c>
      <c r="D140" s="52">
        <v>0</v>
      </c>
      <c r="E140" s="52">
        <f>装备拆分分析表!N57</f>
        <v>65.717133081600011</v>
      </c>
      <c r="F140" s="52">
        <f>装备拆分分析表!K57</f>
        <v>0</v>
      </c>
    </row>
    <row r="141" spans="1:6">
      <c r="A141">
        <v>10125</v>
      </c>
      <c r="B141" s="52">
        <f>装备拆分分析表!L58</f>
        <v>0</v>
      </c>
      <c r="C141" s="52">
        <f>装备拆分分析表!M58</f>
        <v>26.960875110400011</v>
      </c>
      <c r="D141" s="52">
        <v>0</v>
      </c>
      <c r="E141" s="52">
        <f>装备拆分分析表!N58</f>
        <v>0</v>
      </c>
      <c r="F141" s="52">
        <f>装备拆分分析表!K58</f>
        <v>373.60069795840013</v>
      </c>
    </row>
    <row r="142" spans="1:6">
      <c r="A142">
        <v>10126</v>
      </c>
      <c r="B142" s="52">
        <f>装备拆分分析表!L59</f>
        <v>53.921750220800021</v>
      </c>
      <c r="C142" s="52">
        <f>装备拆分分析表!M59</f>
        <v>0</v>
      </c>
      <c r="D142" s="52">
        <v>0</v>
      </c>
      <c r="E142" s="52">
        <f>装备拆分分析表!N59</f>
        <v>0</v>
      </c>
      <c r="F142" s="52">
        <f>装备拆分分析表!K59</f>
        <v>93.400174489600033</v>
      </c>
    </row>
    <row r="143" spans="1:6">
      <c r="A143">
        <v>10131</v>
      </c>
      <c r="B143" s="52">
        <f>装备拆分分析表!L60</f>
        <v>191.95974573135362</v>
      </c>
      <c r="C143" s="52">
        <f>装备拆分分析表!M60</f>
        <v>95.979872865676811</v>
      </c>
      <c r="D143" s="52">
        <v>0</v>
      </c>
      <c r="E143" s="52">
        <f>装备拆分分析表!N60</f>
        <v>0</v>
      </c>
      <c r="F143" s="52">
        <f>装备拆分分析表!K60</f>
        <v>0</v>
      </c>
    </row>
    <row r="144" spans="1:6">
      <c r="A144">
        <v>10132</v>
      </c>
      <c r="B144" s="52">
        <f>装备拆分分析表!L61</f>
        <v>0</v>
      </c>
      <c r="C144" s="52">
        <f>装备拆分分析表!M61</f>
        <v>0</v>
      </c>
      <c r="D144" s="52">
        <v>0</v>
      </c>
      <c r="E144" s="52">
        <f>装备拆分分析表!N61</f>
        <v>0</v>
      </c>
      <c r="F144" s="52">
        <f>装备拆分分析表!K61</f>
        <v>831.2542560688081</v>
      </c>
    </row>
    <row r="145" spans="1:6">
      <c r="A145">
        <v>10133</v>
      </c>
      <c r="B145" s="52">
        <f>装备拆分分析表!L62</f>
        <v>0</v>
      </c>
      <c r="C145" s="52">
        <f>装备拆分分析表!M62</f>
        <v>0</v>
      </c>
      <c r="D145" s="52">
        <v>0</v>
      </c>
      <c r="E145" s="52">
        <f>装备拆分分析表!N62</f>
        <v>155.96729340672482</v>
      </c>
      <c r="F145" s="52">
        <f>装备拆分分析表!K62</f>
        <v>0</v>
      </c>
    </row>
    <row r="146" spans="1:6">
      <c r="A146">
        <v>10134</v>
      </c>
      <c r="B146" s="52">
        <f>装备拆分分析表!L63</f>
        <v>23.994968216419203</v>
      </c>
      <c r="C146" s="52">
        <f>装备拆分分析表!M63</f>
        <v>0</v>
      </c>
      <c r="D146" s="52">
        <v>0</v>
      </c>
      <c r="E146" s="52">
        <f>装备拆分分析表!N63</f>
        <v>116.97547005504362</v>
      </c>
      <c r="F146" s="52">
        <f>装备拆分分析表!K63</f>
        <v>0</v>
      </c>
    </row>
    <row r="147" spans="1:6">
      <c r="A147">
        <v>10135</v>
      </c>
      <c r="B147" s="52">
        <f>装备拆分分析表!L64</f>
        <v>0</v>
      </c>
      <c r="C147" s="52">
        <f>装备拆分分析表!M64</f>
        <v>47.989936432838405</v>
      </c>
      <c r="D147" s="52">
        <v>0</v>
      </c>
      <c r="E147" s="52">
        <f>装备拆分分析表!N64</f>
        <v>0</v>
      </c>
      <c r="F147" s="52">
        <f>装备拆分分析表!K64</f>
        <v>665.00340485504648</v>
      </c>
    </row>
    <row r="148" spans="1:6">
      <c r="A148">
        <v>10136</v>
      </c>
      <c r="B148" s="52">
        <f>装备拆分分析表!L65</f>
        <v>95.979872865676811</v>
      </c>
      <c r="C148" s="52">
        <f>装备拆分分析表!M65</f>
        <v>0</v>
      </c>
      <c r="D148" s="52">
        <v>0</v>
      </c>
      <c r="E148" s="52">
        <f>装备拆分分析表!N65</f>
        <v>0</v>
      </c>
      <c r="F148" s="52">
        <f>装备拆分分析表!K65</f>
        <v>166.25085121376162</v>
      </c>
    </row>
    <row r="149" spans="1:6">
      <c r="A149">
        <v>10141</v>
      </c>
      <c r="B149" s="52">
        <f>装备拆分分析表!L66</f>
        <v>347.9304845694121</v>
      </c>
      <c r="C149" s="52">
        <f>装备拆分分析表!M66</f>
        <v>173.96524228470605</v>
      </c>
      <c r="D149" s="52">
        <v>0</v>
      </c>
      <c r="E149" s="52">
        <f>装备拆分分析表!N66</f>
        <v>0</v>
      </c>
      <c r="F149" s="52">
        <f>装备拆分分析表!K66</f>
        <v>0</v>
      </c>
    </row>
    <row r="150" spans="1:6">
      <c r="A150">
        <v>10142</v>
      </c>
      <c r="B150" s="52">
        <f>装备拆分分析表!L67</f>
        <v>0</v>
      </c>
      <c r="C150" s="52">
        <f>装备拆分分析表!M67</f>
        <v>0</v>
      </c>
      <c r="D150" s="52">
        <v>0</v>
      </c>
      <c r="E150" s="52">
        <f>装备拆分分析表!N67</f>
        <v>0</v>
      </c>
      <c r="F150" s="52">
        <f>装备拆分分析表!K67</f>
        <v>1506.6632590729005</v>
      </c>
    </row>
    <row r="151" spans="1:6">
      <c r="A151">
        <v>10143</v>
      </c>
      <c r="B151" s="52">
        <f>装备拆分分析表!L68</f>
        <v>0</v>
      </c>
      <c r="C151" s="52">
        <f>装备拆分分析表!M68</f>
        <v>0</v>
      </c>
      <c r="D151" s="52">
        <v>0</v>
      </c>
      <c r="E151" s="52">
        <f>装备拆分分析表!N68</f>
        <v>282.69351871264729</v>
      </c>
      <c r="F151" s="52">
        <f>装备拆分分析表!K68</f>
        <v>0</v>
      </c>
    </row>
    <row r="152" spans="1:6">
      <c r="A152">
        <v>10144</v>
      </c>
      <c r="B152" s="52">
        <f>装备拆分分析表!L69</f>
        <v>43.491310571176513</v>
      </c>
      <c r="C152" s="52">
        <f>装备拆分分析表!M69</f>
        <v>0</v>
      </c>
      <c r="D152" s="52">
        <v>0</v>
      </c>
      <c r="E152" s="52">
        <f>装备拆分分析表!N69</f>
        <v>212.02013903448548</v>
      </c>
      <c r="F152" s="52">
        <f>装备拆分分析表!K69</f>
        <v>0</v>
      </c>
    </row>
    <row r="153" spans="1:6">
      <c r="A153">
        <v>10145</v>
      </c>
      <c r="B153" s="52">
        <f>装备拆分分析表!L70</f>
        <v>0</v>
      </c>
      <c r="C153" s="52">
        <f>装备拆分分析表!M70</f>
        <v>86.982621142353025</v>
      </c>
      <c r="D153" s="52">
        <v>0</v>
      </c>
      <c r="E153" s="52">
        <f>装备拆分分析表!N70</f>
        <v>0</v>
      </c>
      <c r="F153" s="52">
        <f>装备拆分分析表!K70</f>
        <v>1205.3306072583205</v>
      </c>
    </row>
    <row r="154" spans="1:6">
      <c r="A154">
        <v>10146</v>
      </c>
      <c r="B154" s="52">
        <f>装备拆分分析表!L71</f>
        <v>173.96524228470605</v>
      </c>
      <c r="C154" s="52">
        <f>装备拆分分析表!M71</f>
        <v>0</v>
      </c>
      <c r="D154" s="52">
        <v>0</v>
      </c>
      <c r="E154" s="52">
        <f>装备拆分分析表!N71</f>
        <v>0</v>
      </c>
      <c r="F154" s="52">
        <f>装备拆分分析表!K71</f>
        <v>301.33265181458012</v>
      </c>
    </row>
    <row r="155" spans="1:6">
      <c r="A155">
        <f>A125+100</f>
        <v>10201</v>
      </c>
      <c r="B155" s="52">
        <f>装备拆分分析表!S42</f>
        <v>22.400000000000002</v>
      </c>
      <c r="C155" s="52">
        <f>装备拆分分析表!T42</f>
        <v>44.800000000000004</v>
      </c>
      <c r="D155" s="52">
        <v>0</v>
      </c>
      <c r="E155" s="52">
        <f>装备拆分分析表!U42</f>
        <v>0</v>
      </c>
      <c r="F155" s="52">
        <f>装备拆分分析表!R42</f>
        <v>0</v>
      </c>
    </row>
    <row r="156" spans="1:6">
      <c r="A156">
        <f t="shared" ref="A156:A219" si="2">A126+100</f>
        <v>10202</v>
      </c>
      <c r="B156" s="52">
        <f>装备拆分分析表!S43</f>
        <v>0</v>
      </c>
      <c r="C156" s="52">
        <f>装备拆分分析表!T43</f>
        <v>0</v>
      </c>
      <c r="D156" s="52">
        <v>0</v>
      </c>
      <c r="E156" s="52">
        <f>装备拆分分析表!U43</f>
        <v>0</v>
      </c>
      <c r="F156" s="52">
        <f>装备拆分分析表!R43</f>
        <v>194</v>
      </c>
    </row>
    <row r="157" spans="1:6">
      <c r="A157">
        <f t="shared" si="2"/>
        <v>10203</v>
      </c>
      <c r="B157" s="52">
        <f>装备拆分分析表!S44</f>
        <v>0</v>
      </c>
      <c r="C157" s="52">
        <f>装备拆分分析表!T44</f>
        <v>0</v>
      </c>
      <c r="D157" s="52">
        <v>0</v>
      </c>
      <c r="E157" s="52">
        <f>装备拆分分析表!U44</f>
        <v>36.4</v>
      </c>
      <c r="F157" s="52">
        <f>装备拆分分析表!R44</f>
        <v>0</v>
      </c>
    </row>
    <row r="158" spans="1:6">
      <c r="A158">
        <f t="shared" si="2"/>
        <v>10204</v>
      </c>
      <c r="B158" s="52">
        <f>装备拆分分析表!S45</f>
        <v>0</v>
      </c>
      <c r="C158" s="52">
        <f>装备拆分分析表!T45</f>
        <v>5.6000000000000005</v>
      </c>
      <c r="D158" s="52">
        <v>0</v>
      </c>
      <c r="E158" s="52">
        <f>装备拆分分析表!U45</f>
        <v>27.3</v>
      </c>
      <c r="F158" s="52">
        <f>装备拆分分析表!R45</f>
        <v>0</v>
      </c>
    </row>
    <row r="159" spans="1:6">
      <c r="A159">
        <f t="shared" si="2"/>
        <v>10205</v>
      </c>
      <c r="B159" s="52">
        <f>装备拆分分析表!S46</f>
        <v>11.200000000000001</v>
      </c>
      <c r="C159" s="52">
        <f>装备拆分分析表!T46</f>
        <v>0</v>
      </c>
      <c r="D159" s="52">
        <v>0</v>
      </c>
      <c r="E159" s="52">
        <f>装备拆分分析表!U46</f>
        <v>0</v>
      </c>
      <c r="F159" s="52">
        <f>装备拆分分析表!R46</f>
        <v>155.20000000000002</v>
      </c>
    </row>
    <row r="160" spans="1:6">
      <c r="A160">
        <f t="shared" si="2"/>
        <v>10206</v>
      </c>
      <c r="B160" s="52">
        <f>装备拆分分析表!S47</f>
        <v>0</v>
      </c>
      <c r="C160" s="52">
        <f>装备拆分分析表!T47</f>
        <v>22.400000000000002</v>
      </c>
      <c r="D160" s="52">
        <v>0</v>
      </c>
      <c r="E160" s="52">
        <f>装备拆分分析表!U47</f>
        <v>0</v>
      </c>
      <c r="F160" s="52">
        <f>装备拆分分析表!R47</f>
        <v>38.800000000000004</v>
      </c>
    </row>
    <row r="161" spans="1:6">
      <c r="A161">
        <f t="shared" si="2"/>
        <v>10211</v>
      </c>
      <c r="B161" s="52">
        <f>装备拆分分析表!S48</f>
        <v>34.376563200000007</v>
      </c>
      <c r="C161" s="52">
        <f>装备拆分分析表!T48</f>
        <v>68.753126400000014</v>
      </c>
      <c r="D161" s="52">
        <v>0</v>
      </c>
      <c r="E161" s="52">
        <f>装备拆分分析表!U48</f>
        <v>0</v>
      </c>
      <c r="F161" s="52">
        <f>装备拆分分析表!R48</f>
        <v>0</v>
      </c>
    </row>
    <row r="162" spans="1:6">
      <c r="A162">
        <f t="shared" si="2"/>
        <v>10212</v>
      </c>
      <c r="B162" s="52">
        <f>装备拆分分析表!S49</f>
        <v>0</v>
      </c>
      <c r="C162" s="52">
        <f>装备拆分分析表!T49</f>
        <v>0</v>
      </c>
      <c r="D162" s="52">
        <v>0</v>
      </c>
      <c r="E162" s="52">
        <f>装备拆分分析表!U49</f>
        <v>0</v>
      </c>
      <c r="F162" s="52">
        <f>装备拆分分析表!R49</f>
        <v>297.72559200000001</v>
      </c>
    </row>
    <row r="163" spans="1:6">
      <c r="A163">
        <f t="shared" si="2"/>
        <v>10213</v>
      </c>
      <c r="B163" s="52">
        <f>装备拆分分析表!S50</f>
        <v>0</v>
      </c>
      <c r="C163" s="52">
        <f>装备拆分分析表!T50</f>
        <v>0</v>
      </c>
      <c r="D163" s="52">
        <v>0</v>
      </c>
      <c r="E163" s="52">
        <f>装备拆分分析表!U50</f>
        <v>55.861915200000013</v>
      </c>
      <c r="F163" s="52">
        <f>装备拆分分析表!R50</f>
        <v>0</v>
      </c>
    </row>
    <row r="164" spans="1:6">
      <c r="A164">
        <f t="shared" si="2"/>
        <v>10214</v>
      </c>
      <c r="B164" s="52">
        <f>装备拆分分析表!S51</f>
        <v>0</v>
      </c>
      <c r="C164" s="52">
        <f>装备拆分分析表!T51</f>
        <v>8.5941408000000017</v>
      </c>
      <c r="D164" s="52">
        <v>0</v>
      </c>
      <c r="E164" s="52">
        <f>装备拆分分析表!U51</f>
        <v>41.896436400000006</v>
      </c>
      <c r="F164" s="52">
        <f>装备拆分分析表!R51</f>
        <v>0</v>
      </c>
    </row>
    <row r="165" spans="1:6">
      <c r="A165">
        <f t="shared" si="2"/>
        <v>10215</v>
      </c>
      <c r="B165" s="52">
        <f>装备拆分分析表!S52</f>
        <v>17.188281600000003</v>
      </c>
      <c r="C165" s="52">
        <f>装备拆分分析表!T52</f>
        <v>0</v>
      </c>
      <c r="D165" s="52">
        <v>0</v>
      </c>
      <c r="E165" s="52">
        <f>装备拆分分析表!U52</f>
        <v>0</v>
      </c>
      <c r="F165" s="52">
        <f>装备拆分分析表!R52</f>
        <v>238.18047360000003</v>
      </c>
    </row>
    <row r="166" spans="1:6">
      <c r="A166">
        <f t="shared" si="2"/>
        <v>10216</v>
      </c>
      <c r="B166" s="52">
        <f>装备拆分分析表!S53</f>
        <v>0</v>
      </c>
      <c r="C166" s="52">
        <f>装备拆分分析表!T53</f>
        <v>34.376563200000007</v>
      </c>
      <c r="D166" s="52">
        <v>0</v>
      </c>
      <c r="E166" s="52">
        <f>装备拆分分析表!U53</f>
        <v>0</v>
      </c>
      <c r="F166" s="52">
        <f>装备拆分分析表!R53</f>
        <v>59.545118400000007</v>
      </c>
    </row>
    <row r="167" spans="1:6">
      <c r="A167">
        <f t="shared" si="2"/>
        <v>10221</v>
      </c>
      <c r="B167" s="52">
        <f>装备拆分分析表!S54</f>
        <v>53.921750220800021</v>
      </c>
      <c r="C167" s="52">
        <f>装备拆分分析表!T54</f>
        <v>107.84350044160004</v>
      </c>
      <c r="D167" s="52">
        <v>0</v>
      </c>
      <c r="E167" s="52">
        <f>装备拆分分析表!U54</f>
        <v>0</v>
      </c>
      <c r="F167" s="52">
        <f>装备拆分分析表!R54</f>
        <v>0</v>
      </c>
    </row>
    <row r="168" spans="1:6">
      <c r="A168">
        <f t="shared" si="2"/>
        <v>10222</v>
      </c>
      <c r="B168" s="52">
        <f>装备拆分分析表!S55</f>
        <v>0</v>
      </c>
      <c r="C168" s="52">
        <f>装备拆分分析表!T55</f>
        <v>0</v>
      </c>
      <c r="D168" s="52">
        <v>0</v>
      </c>
      <c r="E168" s="52">
        <f>装备拆分分析表!U55</f>
        <v>0</v>
      </c>
      <c r="F168" s="52">
        <f>装备拆分分析表!R55</f>
        <v>467.00087244800011</v>
      </c>
    </row>
    <row r="169" spans="1:6">
      <c r="A169">
        <f t="shared" si="2"/>
        <v>10223</v>
      </c>
      <c r="B169" s="52">
        <f>装备拆分分析表!S56</f>
        <v>0</v>
      </c>
      <c r="C169" s="52">
        <f>装备拆分分析表!T56</f>
        <v>0</v>
      </c>
      <c r="D169" s="52">
        <v>0</v>
      </c>
      <c r="E169" s="52">
        <f>装备拆分分析表!U56</f>
        <v>87.622844108800024</v>
      </c>
      <c r="F169" s="52">
        <f>装备拆分分析表!R56</f>
        <v>0</v>
      </c>
    </row>
    <row r="170" spans="1:6">
      <c r="A170">
        <f t="shared" si="2"/>
        <v>10224</v>
      </c>
      <c r="B170" s="52">
        <f>装备拆分分析表!S57</f>
        <v>0</v>
      </c>
      <c r="C170" s="52">
        <f>装备拆分分析表!T57</f>
        <v>13.480437555200005</v>
      </c>
      <c r="D170" s="52">
        <v>0</v>
      </c>
      <c r="E170" s="52">
        <f>装备拆分分析表!U57</f>
        <v>65.717133081600011</v>
      </c>
      <c r="F170" s="52">
        <f>装备拆分分析表!R57</f>
        <v>0</v>
      </c>
    </row>
    <row r="171" spans="1:6">
      <c r="A171">
        <f t="shared" si="2"/>
        <v>10225</v>
      </c>
      <c r="B171" s="52">
        <f>装备拆分分析表!S58</f>
        <v>26.960875110400011</v>
      </c>
      <c r="C171" s="52">
        <f>装备拆分分析表!T58</f>
        <v>0</v>
      </c>
      <c r="D171" s="52">
        <v>0</v>
      </c>
      <c r="E171" s="52">
        <f>装备拆分分析表!U58</f>
        <v>0</v>
      </c>
      <c r="F171" s="52">
        <f>装备拆分分析表!R58</f>
        <v>373.60069795840013</v>
      </c>
    </row>
    <row r="172" spans="1:6">
      <c r="A172">
        <f t="shared" si="2"/>
        <v>10226</v>
      </c>
      <c r="B172" s="52">
        <f>装备拆分分析表!S59</f>
        <v>0</v>
      </c>
      <c r="C172" s="52">
        <f>装备拆分分析表!T59</f>
        <v>53.921750220800021</v>
      </c>
      <c r="D172" s="52">
        <v>0</v>
      </c>
      <c r="E172" s="52">
        <f>装备拆分分析表!U59</f>
        <v>0</v>
      </c>
      <c r="F172" s="52">
        <f>装备拆分分析表!R59</f>
        <v>93.400174489600033</v>
      </c>
    </row>
    <row r="173" spans="1:6">
      <c r="A173">
        <f t="shared" si="2"/>
        <v>10231</v>
      </c>
      <c r="B173" s="52">
        <f>装备拆分分析表!S60</f>
        <v>95.979872865676811</v>
      </c>
      <c r="C173" s="52">
        <f>装备拆分分析表!T60</f>
        <v>191.95974573135362</v>
      </c>
      <c r="D173" s="52">
        <v>0</v>
      </c>
      <c r="E173" s="52">
        <f>装备拆分分析表!U60</f>
        <v>0</v>
      </c>
      <c r="F173" s="52">
        <f>装备拆分分析表!R60</f>
        <v>0</v>
      </c>
    </row>
    <row r="174" spans="1:6">
      <c r="A174">
        <f t="shared" si="2"/>
        <v>10232</v>
      </c>
      <c r="B174" s="52">
        <f>装备拆分分析表!S61</f>
        <v>0</v>
      </c>
      <c r="C174" s="52">
        <f>装备拆分分析表!T61</f>
        <v>0</v>
      </c>
      <c r="D174" s="52">
        <v>0</v>
      </c>
      <c r="E174" s="52">
        <f>装备拆分分析表!U61</f>
        <v>0</v>
      </c>
      <c r="F174" s="52">
        <f>装备拆分分析表!R61</f>
        <v>831.2542560688081</v>
      </c>
    </row>
    <row r="175" spans="1:6">
      <c r="A175">
        <f t="shared" si="2"/>
        <v>10233</v>
      </c>
      <c r="B175" s="52">
        <f>装备拆分分析表!S62</f>
        <v>0</v>
      </c>
      <c r="C175" s="52">
        <f>装备拆分分析表!T62</f>
        <v>0</v>
      </c>
      <c r="D175" s="52">
        <v>0</v>
      </c>
      <c r="E175" s="52">
        <f>装备拆分分析表!U62</f>
        <v>155.96729340672482</v>
      </c>
      <c r="F175" s="52">
        <f>装备拆分分析表!R62</f>
        <v>0</v>
      </c>
    </row>
    <row r="176" spans="1:6">
      <c r="A176">
        <f t="shared" si="2"/>
        <v>10234</v>
      </c>
      <c r="B176" s="52">
        <f>装备拆分分析表!S63</f>
        <v>0</v>
      </c>
      <c r="C176" s="52">
        <f>装备拆分分析表!T63</f>
        <v>23.994968216419203</v>
      </c>
      <c r="D176" s="52">
        <v>0</v>
      </c>
      <c r="E176" s="52">
        <f>装备拆分分析表!U63</f>
        <v>116.97547005504362</v>
      </c>
      <c r="F176" s="52">
        <f>装备拆分分析表!R63</f>
        <v>0</v>
      </c>
    </row>
    <row r="177" spans="1:6">
      <c r="A177">
        <f t="shared" si="2"/>
        <v>10235</v>
      </c>
      <c r="B177" s="52">
        <f>装备拆分分析表!S64</f>
        <v>47.989936432838405</v>
      </c>
      <c r="C177" s="52">
        <f>装备拆分分析表!T64</f>
        <v>0</v>
      </c>
      <c r="D177" s="52">
        <v>0</v>
      </c>
      <c r="E177" s="52">
        <f>装备拆分分析表!U64</f>
        <v>0</v>
      </c>
      <c r="F177" s="52">
        <f>装备拆分分析表!R64</f>
        <v>665.00340485504648</v>
      </c>
    </row>
    <row r="178" spans="1:6">
      <c r="A178">
        <f t="shared" si="2"/>
        <v>10236</v>
      </c>
      <c r="B178" s="52">
        <f>装备拆分分析表!S65</f>
        <v>0</v>
      </c>
      <c r="C178" s="52">
        <f>装备拆分分析表!T65</f>
        <v>95.979872865676811</v>
      </c>
      <c r="D178" s="52">
        <v>0</v>
      </c>
      <c r="E178" s="52">
        <f>装备拆分分析表!U65</f>
        <v>0</v>
      </c>
      <c r="F178" s="52">
        <f>装备拆分分析表!R65</f>
        <v>166.25085121376162</v>
      </c>
    </row>
    <row r="179" spans="1:6">
      <c r="A179">
        <f t="shared" si="2"/>
        <v>10241</v>
      </c>
      <c r="B179" s="52">
        <f>装备拆分分析表!S66</f>
        <v>173.96524228470605</v>
      </c>
      <c r="C179" s="52">
        <f>装备拆分分析表!T66</f>
        <v>347.9304845694121</v>
      </c>
      <c r="D179" s="52">
        <v>0</v>
      </c>
      <c r="E179" s="52">
        <f>装备拆分分析表!U66</f>
        <v>0</v>
      </c>
      <c r="F179" s="52">
        <f>装备拆分分析表!R66</f>
        <v>0</v>
      </c>
    </row>
    <row r="180" spans="1:6">
      <c r="A180">
        <f t="shared" si="2"/>
        <v>10242</v>
      </c>
      <c r="B180" s="52">
        <f>装备拆分分析表!S67</f>
        <v>0</v>
      </c>
      <c r="C180" s="52">
        <f>装备拆分分析表!T67</f>
        <v>0</v>
      </c>
      <c r="D180" s="52">
        <v>0</v>
      </c>
      <c r="E180" s="52">
        <f>装备拆分分析表!U67</f>
        <v>0</v>
      </c>
      <c r="F180" s="52">
        <f>装备拆分分析表!R67</f>
        <v>1506.6632590729005</v>
      </c>
    </row>
    <row r="181" spans="1:6">
      <c r="A181">
        <f t="shared" si="2"/>
        <v>10243</v>
      </c>
      <c r="B181" s="52">
        <f>装备拆分分析表!S68</f>
        <v>0</v>
      </c>
      <c r="C181" s="52">
        <f>装备拆分分析表!T68</f>
        <v>0</v>
      </c>
      <c r="D181" s="52">
        <v>0</v>
      </c>
      <c r="E181" s="52">
        <f>装备拆分分析表!U68</f>
        <v>282.69351871264729</v>
      </c>
      <c r="F181" s="52">
        <f>装备拆分分析表!R68</f>
        <v>0</v>
      </c>
    </row>
    <row r="182" spans="1:6">
      <c r="A182">
        <f t="shared" si="2"/>
        <v>10244</v>
      </c>
      <c r="B182" s="52">
        <f>装备拆分分析表!S69</f>
        <v>0</v>
      </c>
      <c r="C182" s="52">
        <f>装备拆分分析表!T69</f>
        <v>43.491310571176513</v>
      </c>
      <c r="D182" s="52">
        <v>0</v>
      </c>
      <c r="E182" s="52">
        <f>装备拆分分析表!U69</f>
        <v>212.02013903448548</v>
      </c>
      <c r="F182" s="52">
        <f>装备拆分分析表!R69</f>
        <v>0</v>
      </c>
    </row>
    <row r="183" spans="1:6">
      <c r="A183">
        <f>A153+100</f>
        <v>10245</v>
      </c>
      <c r="B183" s="52">
        <f>装备拆分分析表!S70</f>
        <v>86.982621142353025</v>
      </c>
      <c r="C183" s="52">
        <f>装备拆分分析表!T70</f>
        <v>0</v>
      </c>
      <c r="D183" s="52">
        <v>0</v>
      </c>
      <c r="E183" s="52">
        <f>装备拆分分析表!U70</f>
        <v>0</v>
      </c>
      <c r="F183" s="52">
        <f>装备拆分分析表!R70</f>
        <v>1205.3306072583205</v>
      </c>
    </row>
    <row r="184" spans="1:6">
      <c r="A184">
        <f t="shared" si="2"/>
        <v>10246</v>
      </c>
      <c r="B184" s="52">
        <f>装备拆分分析表!S71</f>
        <v>0</v>
      </c>
      <c r="C184" s="52">
        <f>装备拆分分析表!T71</f>
        <v>173.96524228470605</v>
      </c>
      <c r="D184" s="52">
        <v>0</v>
      </c>
      <c r="E184" s="52">
        <f>装备拆分分析表!U71</f>
        <v>0</v>
      </c>
      <c r="F184" s="52">
        <f>装备拆分分析表!R71</f>
        <v>301.33265181458012</v>
      </c>
    </row>
    <row r="185" spans="1:6">
      <c r="A185">
        <f t="shared" si="2"/>
        <v>10301</v>
      </c>
      <c r="B185" s="52">
        <f>装备拆分分析表!Z42</f>
        <v>30.800000000000004</v>
      </c>
      <c r="C185" s="52">
        <f>装备拆分分析表!AA42</f>
        <v>30.800000000000004</v>
      </c>
      <c r="D185" s="52">
        <v>0</v>
      </c>
      <c r="E185" s="52">
        <f>装备拆分分析表!AB42</f>
        <v>0</v>
      </c>
      <c r="F185" s="52">
        <f>装备拆分分析表!Y42</f>
        <v>0</v>
      </c>
    </row>
    <row r="186" spans="1:6">
      <c r="A186">
        <f t="shared" si="2"/>
        <v>10302</v>
      </c>
      <c r="B186" s="52">
        <f>装备拆分分析表!Z43</f>
        <v>0</v>
      </c>
      <c r="C186" s="52">
        <f>装备拆分分析表!AA43</f>
        <v>0</v>
      </c>
      <c r="D186" s="52">
        <v>0</v>
      </c>
      <c r="E186" s="52">
        <f>装备拆分分析表!AB43</f>
        <v>0</v>
      </c>
      <c r="F186" s="52">
        <f>装备拆分分析表!Y43</f>
        <v>310.40000000000003</v>
      </c>
    </row>
    <row r="187" spans="1:6">
      <c r="A187">
        <f t="shared" si="2"/>
        <v>10303</v>
      </c>
      <c r="B187" s="52">
        <f>装备拆分分析表!Z44</f>
        <v>0</v>
      </c>
      <c r="C187" s="52">
        <f>装备拆分分析表!AA44</f>
        <v>0</v>
      </c>
      <c r="D187" s="52">
        <v>0</v>
      </c>
      <c r="E187" s="52">
        <f>装备拆分分析表!AB44</f>
        <v>54.6</v>
      </c>
      <c r="F187" s="52">
        <f>装备拆分分析表!Y44</f>
        <v>0</v>
      </c>
    </row>
    <row r="188" spans="1:6">
      <c r="A188">
        <f t="shared" si="2"/>
        <v>10304</v>
      </c>
      <c r="B188" s="52">
        <f>装备拆分分析表!Z45</f>
        <v>0</v>
      </c>
      <c r="C188" s="52">
        <f>装备拆分分析表!AA45</f>
        <v>0</v>
      </c>
      <c r="D188" s="52">
        <v>0</v>
      </c>
      <c r="E188" s="52">
        <f>装备拆分分析表!AB45</f>
        <v>40.950000000000003</v>
      </c>
      <c r="F188" s="52">
        <f>装备拆分分析表!Y45</f>
        <v>0</v>
      </c>
    </row>
    <row r="189" spans="1:6">
      <c r="A189">
        <f t="shared" si="2"/>
        <v>10305</v>
      </c>
      <c r="B189" s="52">
        <f>装备拆分分析表!Z46</f>
        <v>0</v>
      </c>
      <c r="C189" s="52">
        <f>装备拆分分析表!AA46</f>
        <v>0</v>
      </c>
      <c r="D189" s="52">
        <v>0</v>
      </c>
      <c r="E189" s="52">
        <f>装备拆分分析表!AB46</f>
        <v>0</v>
      </c>
      <c r="F189" s="52">
        <f>装备拆分分析表!Y46</f>
        <v>194</v>
      </c>
    </row>
    <row r="190" spans="1:6">
      <c r="A190">
        <f t="shared" si="2"/>
        <v>10306</v>
      </c>
      <c r="B190" s="52">
        <f>装备拆分分析表!Z47</f>
        <v>0</v>
      </c>
      <c r="C190" s="52">
        <f>装备拆分分析表!AA47</f>
        <v>0</v>
      </c>
      <c r="D190" s="52">
        <v>0</v>
      </c>
      <c r="E190" s="52">
        <f>装备拆分分析表!AB47</f>
        <v>9.1</v>
      </c>
      <c r="F190" s="52">
        <f>装备拆分分析表!Y47</f>
        <v>77.600000000000009</v>
      </c>
    </row>
    <row r="191" spans="1:6">
      <c r="A191">
        <f t="shared" si="2"/>
        <v>10311</v>
      </c>
      <c r="B191" s="52">
        <f>装备拆分分析表!Z48</f>
        <v>47.267774400000008</v>
      </c>
      <c r="C191" s="52">
        <f>装备拆分分析表!AA48</f>
        <v>47.267774400000008</v>
      </c>
      <c r="D191" s="52">
        <v>0</v>
      </c>
      <c r="E191" s="52">
        <f>装备拆分分析表!AB48</f>
        <v>0</v>
      </c>
      <c r="F191" s="52">
        <f>装备拆分分析表!Y48</f>
        <v>0</v>
      </c>
    </row>
    <row r="192" spans="1:6">
      <c r="A192">
        <f t="shared" si="2"/>
        <v>10312</v>
      </c>
      <c r="B192" s="52">
        <f>装备拆分分析表!Z49</f>
        <v>0</v>
      </c>
      <c r="C192" s="52">
        <f>装备拆分分析表!AA49</f>
        <v>0</v>
      </c>
      <c r="D192" s="52">
        <v>0</v>
      </c>
      <c r="E192" s="52">
        <f>装备拆分分析表!AB49</f>
        <v>0</v>
      </c>
      <c r="F192" s="52">
        <f>装备拆分分析表!Y49</f>
        <v>476.36094720000006</v>
      </c>
    </row>
    <row r="193" spans="1:6">
      <c r="A193">
        <f t="shared" si="2"/>
        <v>10313</v>
      </c>
      <c r="B193" s="52">
        <f>装备拆分分析表!Z50</f>
        <v>0</v>
      </c>
      <c r="C193" s="52">
        <f>装备拆分分析表!AA50</f>
        <v>0</v>
      </c>
      <c r="D193" s="52">
        <v>0</v>
      </c>
      <c r="E193" s="52">
        <f>装备拆分分析表!AB50</f>
        <v>83.792872800000012</v>
      </c>
      <c r="F193" s="52">
        <f>装备拆分分析表!Y50</f>
        <v>0</v>
      </c>
    </row>
    <row r="194" spans="1:6">
      <c r="A194">
        <f t="shared" si="2"/>
        <v>10314</v>
      </c>
      <c r="B194" s="52">
        <f>装备拆分分析表!Z51</f>
        <v>0</v>
      </c>
      <c r="C194" s="52">
        <f>装备拆分分析表!AA51</f>
        <v>0</v>
      </c>
      <c r="D194" s="52">
        <v>0</v>
      </c>
      <c r="E194" s="52">
        <f>装备拆分分析表!AB51</f>
        <v>62.844654600000013</v>
      </c>
      <c r="F194" s="52">
        <f>装备拆分分析表!Y51</f>
        <v>0</v>
      </c>
    </row>
    <row r="195" spans="1:6">
      <c r="A195">
        <f t="shared" si="2"/>
        <v>10315</v>
      </c>
      <c r="B195" s="52">
        <f>装备拆分分析表!Z52</f>
        <v>0</v>
      </c>
      <c r="C195" s="52">
        <f>装备拆分分析表!AA52</f>
        <v>0</v>
      </c>
      <c r="D195" s="52">
        <v>0</v>
      </c>
      <c r="E195" s="52">
        <f>装备拆分分析表!AB52</f>
        <v>0</v>
      </c>
      <c r="F195" s="52">
        <f>装备拆分分析表!Y52</f>
        <v>297.72559200000001</v>
      </c>
    </row>
    <row r="196" spans="1:6">
      <c r="A196">
        <f>A166+100</f>
        <v>10316</v>
      </c>
      <c r="B196" s="52">
        <f>装备拆分分析表!Z53</f>
        <v>0</v>
      </c>
      <c r="C196" s="52">
        <f>装备拆分分析表!AA53</f>
        <v>0</v>
      </c>
      <c r="D196" s="52">
        <v>0</v>
      </c>
      <c r="E196" s="52">
        <f>装备拆分分析表!AB53</f>
        <v>13.965478800000003</v>
      </c>
      <c r="F196" s="52">
        <f>装备拆分分析表!Y53</f>
        <v>119.09023680000001</v>
      </c>
    </row>
    <row r="197" spans="1:6">
      <c r="A197">
        <f t="shared" si="2"/>
        <v>10321</v>
      </c>
      <c r="B197" s="52">
        <f>装备拆分分析表!Z54</f>
        <v>74.142406553600026</v>
      </c>
      <c r="C197" s="52">
        <f>装备拆分分析表!AA54</f>
        <v>74.142406553600026</v>
      </c>
      <c r="D197" s="52">
        <v>0</v>
      </c>
      <c r="E197" s="52">
        <f>装备拆分分析表!AB54</f>
        <v>0</v>
      </c>
      <c r="F197" s="52">
        <f>装备拆分分析表!Y54</f>
        <v>0</v>
      </c>
    </row>
    <row r="198" spans="1:6">
      <c r="A198">
        <f t="shared" si="2"/>
        <v>10322</v>
      </c>
      <c r="B198" s="52">
        <f>装备拆分分析表!Z55</f>
        <v>0</v>
      </c>
      <c r="C198" s="52">
        <f>装备拆分分析表!AA55</f>
        <v>0</v>
      </c>
      <c r="D198" s="52">
        <v>0</v>
      </c>
      <c r="E198" s="52">
        <f>装备拆分分析表!AB55</f>
        <v>0</v>
      </c>
      <c r="F198" s="52">
        <f>装备拆分分析表!Y55</f>
        <v>747.20139591680027</v>
      </c>
    </row>
    <row r="199" spans="1:6">
      <c r="A199">
        <f t="shared" si="2"/>
        <v>10323</v>
      </c>
      <c r="B199" s="52">
        <f>装备拆分分析表!Z56</f>
        <v>0</v>
      </c>
      <c r="C199" s="52">
        <f>装备拆分分析表!AA56</f>
        <v>0</v>
      </c>
      <c r="D199" s="52">
        <v>0</v>
      </c>
      <c r="E199" s="52">
        <f>装备拆分分析表!AB56</f>
        <v>131.43426616320002</v>
      </c>
      <c r="F199" s="52">
        <f>装备拆分分析表!Y56</f>
        <v>0</v>
      </c>
    </row>
    <row r="200" spans="1:6">
      <c r="A200">
        <f t="shared" si="2"/>
        <v>10324</v>
      </c>
      <c r="B200" s="52">
        <f>装备拆分分析表!Z57</f>
        <v>0</v>
      </c>
      <c r="C200" s="52">
        <f>装备拆分分析表!AA57</f>
        <v>0</v>
      </c>
      <c r="D200" s="52">
        <v>0</v>
      </c>
      <c r="E200" s="52">
        <f>装备拆分分析表!AB57</f>
        <v>98.575699622400023</v>
      </c>
      <c r="F200" s="52">
        <f>装备拆分分析表!Y57</f>
        <v>0</v>
      </c>
    </row>
    <row r="201" spans="1:6">
      <c r="A201">
        <f t="shared" si="2"/>
        <v>10325</v>
      </c>
      <c r="B201" s="52">
        <f>装备拆分分析表!Z58</f>
        <v>0</v>
      </c>
      <c r="C201" s="52">
        <f>装备拆分分析表!AA58</f>
        <v>0</v>
      </c>
      <c r="D201" s="52">
        <v>0</v>
      </c>
      <c r="E201" s="52">
        <f>装备拆分分析表!AB58</f>
        <v>0</v>
      </c>
      <c r="F201" s="52">
        <f>装备拆分分析表!Y58</f>
        <v>467.00087244800011</v>
      </c>
    </row>
    <row r="202" spans="1:6">
      <c r="A202">
        <f t="shared" si="2"/>
        <v>10326</v>
      </c>
      <c r="B202" s="52">
        <f>装备拆分分析表!Z59</f>
        <v>0</v>
      </c>
      <c r="C202" s="52">
        <f>装备拆分分析表!AA59</f>
        <v>0</v>
      </c>
      <c r="D202" s="52">
        <v>0</v>
      </c>
      <c r="E202" s="52">
        <f>装备拆分分析表!AB59</f>
        <v>21.905711027200006</v>
      </c>
      <c r="F202" s="52">
        <f>装备拆分分析表!Y59</f>
        <v>186.80034897920007</v>
      </c>
    </row>
    <row r="203" spans="1:6">
      <c r="A203">
        <f t="shared" si="2"/>
        <v>10331</v>
      </c>
      <c r="B203" s="52">
        <f>装备拆分分析表!Z60</f>
        <v>131.97232519030561</v>
      </c>
      <c r="C203" s="52">
        <f>装备拆分分析表!AA60</f>
        <v>131.97232519030561</v>
      </c>
      <c r="D203" s="52">
        <v>0</v>
      </c>
      <c r="E203" s="52">
        <f>装备拆分分析表!AB54</f>
        <v>0</v>
      </c>
      <c r="F203" s="52">
        <f>装备拆分分析表!Y54</f>
        <v>0</v>
      </c>
    </row>
    <row r="204" spans="1:6">
      <c r="A204">
        <f t="shared" si="2"/>
        <v>10332</v>
      </c>
      <c r="B204" s="52">
        <f>装备拆分分析表!Z61</f>
        <v>0</v>
      </c>
      <c r="C204" s="52">
        <f>装备拆分分析表!AA61</f>
        <v>0</v>
      </c>
      <c r="D204" s="52">
        <v>0</v>
      </c>
      <c r="E204" s="52">
        <f>装备拆分分析表!AB55</f>
        <v>0</v>
      </c>
      <c r="F204" s="52">
        <f>装备拆分分析表!Y55</f>
        <v>747.20139591680027</v>
      </c>
    </row>
    <row r="205" spans="1:6">
      <c r="A205">
        <f t="shared" si="2"/>
        <v>10333</v>
      </c>
      <c r="B205" s="52">
        <f>装备拆分分析表!Z62</f>
        <v>0</v>
      </c>
      <c r="C205" s="52">
        <f>装备拆分分析表!AA62</f>
        <v>0</v>
      </c>
      <c r="D205" s="52">
        <v>0</v>
      </c>
      <c r="E205" s="52">
        <f>装备拆分分析表!AB56</f>
        <v>131.43426616320002</v>
      </c>
      <c r="F205" s="52">
        <f>装备拆分分析表!Y56</f>
        <v>0</v>
      </c>
    </row>
    <row r="206" spans="1:6">
      <c r="A206">
        <f t="shared" si="2"/>
        <v>10334</v>
      </c>
      <c r="B206" s="52">
        <f>装备拆分分析表!Z63</f>
        <v>0</v>
      </c>
      <c r="C206" s="52">
        <f>装备拆分分析表!AA63</f>
        <v>0</v>
      </c>
      <c r="D206" s="52">
        <v>0</v>
      </c>
      <c r="E206" s="52">
        <f>装备拆分分析表!AB57</f>
        <v>98.575699622400023</v>
      </c>
      <c r="F206" s="52">
        <f>装备拆分分析表!Y57</f>
        <v>0</v>
      </c>
    </row>
    <row r="207" spans="1:6">
      <c r="A207">
        <f t="shared" si="2"/>
        <v>10335</v>
      </c>
      <c r="B207" s="52">
        <f>装备拆分分析表!Z64</f>
        <v>0</v>
      </c>
      <c r="C207" s="52">
        <f>装备拆分分析表!AA64</f>
        <v>0</v>
      </c>
      <c r="D207" s="52">
        <v>0</v>
      </c>
      <c r="E207" s="52">
        <f>装备拆分分析表!AB58</f>
        <v>0</v>
      </c>
      <c r="F207" s="52">
        <f>装备拆分分析表!Y58</f>
        <v>467.00087244800011</v>
      </c>
    </row>
    <row r="208" spans="1:6">
      <c r="A208">
        <f>A178+100</f>
        <v>10336</v>
      </c>
      <c r="B208" s="52">
        <f>装备拆分分析表!Z65</f>
        <v>0</v>
      </c>
      <c r="C208" s="52">
        <f>装备拆分分析表!AA65</f>
        <v>0</v>
      </c>
      <c r="D208" s="52">
        <v>0</v>
      </c>
      <c r="E208" s="52">
        <f>装备拆分分析表!AB59</f>
        <v>21.905711027200006</v>
      </c>
      <c r="F208" s="52">
        <f>装备拆分分析表!Y59</f>
        <v>186.80034897920007</v>
      </c>
    </row>
    <row r="209" spans="1:6">
      <c r="A209">
        <f t="shared" si="2"/>
        <v>10341</v>
      </c>
      <c r="B209" s="52">
        <f>装备拆分分析表!Z66</f>
        <v>239.20220814147081</v>
      </c>
      <c r="C209" s="52">
        <f>装备拆分分析表!AA66</f>
        <v>239.20220814147081</v>
      </c>
      <c r="D209" s="52">
        <v>0</v>
      </c>
      <c r="E209" s="52">
        <f>装备拆分分析表!AB66</f>
        <v>0</v>
      </c>
      <c r="F209" s="52">
        <f>装备拆分分析表!Y66</f>
        <v>0</v>
      </c>
    </row>
    <row r="210" spans="1:6">
      <c r="A210">
        <f t="shared" si="2"/>
        <v>10342</v>
      </c>
      <c r="B210" s="52">
        <f>装备拆分分析表!Z67</f>
        <v>0</v>
      </c>
      <c r="C210" s="52">
        <f>装备拆分分析表!AA67</f>
        <v>0</v>
      </c>
      <c r="D210" s="52">
        <v>0</v>
      </c>
      <c r="E210" s="52">
        <f>装备拆分分析表!AB67</f>
        <v>0</v>
      </c>
      <c r="F210" s="52">
        <f>装备拆分分析表!Y67</f>
        <v>2410.6612145166409</v>
      </c>
    </row>
    <row r="211" spans="1:6">
      <c r="A211">
        <f t="shared" si="2"/>
        <v>10343</v>
      </c>
      <c r="B211" s="52">
        <f>装备拆分分析表!Z68</f>
        <v>0</v>
      </c>
      <c r="C211" s="52">
        <f>装备拆分分析表!AA68</f>
        <v>0</v>
      </c>
      <c r="D211" s="52">
        <v>0</v>
      </c>
      <c r="E211" s="52">
        <f>装备拆分分析表!AB68</f>
        <v>424.04027806897096</v>
      </c>
      <c r="F211" s="52">
        <f>装备拆分分析表!Y68</f>
        <v>0</v>
      </c>
    </row>
    <row r="212" spans="1:6">
      <c r="A212">
        <f t="shared" si="2"/>
        <v>10344</v>
      </c>
      <c r="B212" s="52">
        <f>装备拆分分析表!Z69</f>
        <v>0</v>
      </c>
      <c r="C212" s="52">
        <f>装备拆分分析表!AA69</f>
        <v>0</v>
      </c>
      <c r="D212" s="52">
        <v>0</v>
      </c>
      <c r="E212" s="52">
        <f>装备拆分分析表!AB69</f>
        <v>318.03020855172821</v>
      </c>
      <c r="F212" s="52">
        <f>装备拆分分析表!Y69</f>
        <v>0</v>
      </c>
    </row>
    <row r="213" spans="1:6">
      <c r="A213">
        <f t="shared" si="2"/>
        <v>10345</v>
      </c>
      <c r="B213" s="52">
        <f>装备拆分分析表!Z70</f>
        <v>0</v>
      </c>
      <c r="C213" s="52">
        <f>装备拆分分析表!AA70</f>
        <v>0</v>
      </c>
      <c r="D213" s="52">
        <v>0</v>
      </c>
      <c r="E213" s="52">
        <f>装备拆分分析表!AB70</f>
        <v>0</v>
      </c>
      <c r="F213" s="52">
        <f>装备拆分分析表!Y70</f>
        <v>1506.6632590729005</v>
      </c>
    </row>
    <row r="214" spans="1:6">
      <c r="A214">
        <f t="shared" si="2"/>
        <v>10346</v>
      </c>
      <c r="B214" s="52">
        <f>装备拆分分析表!Z71</f>
        <v>0</v>
      </c>
      <c r="C214" s="52">
        <f>装备拆分分析表!AA71</f>
        <v>0</v>
      </c>
      <c r="D214" s="52">
        <v>0</v>
      </c>
      <c r="E214" s="52">
        <f>装备拆分分析表!AB71</f>
        <v>70.673379678161822</v>
      </c>
      <c r="F214" s="52">
        <f>装备拆分分析表!Y71</f>
        <v>602.66530362916023</v>
      </c>
    </row>
    <row r="215" spans="1:6">
      <c r="A215">
        <f t="shared" si="2"/>
        <v>10401</v>
      </c>
      <c r="B215" s="52">
        <f>装备拆分分析表!AG42</f>
        <v>33.6</v>
      </c>
      <c r="C215" s="52">
        <f>装备拆分分析表!AH42</f>
        <v>33.6</v>
      </c>
      <c r="D215" s="52">
        <v>0</v>
      </c>
      <c r="E215" s="52">
        <f>装备拆分分析表!AI42</f>
        <v>0</v>
      </c>
      <c r="F215" s="52">
        <f>装备拆分分析表!AF42</f>
        <v>0</v>
      </c>
    </row>
    <row r="216" spans="1:6">
      <c r="A216">
        <f>A186+100</f>
        <v>10402</v>
      </c>
      <c r="B216" s="52">
        <f>装备拆分分析表!AG43</f>
        <v>0</v>
      </c>
      <c r="C216" s="52">
        <f>装备拆分分析表!AH43</f>
        <v>0</v>
      </c>
      <c r="D216" s="52">
        <v>0</v>
      </c>
      <c r="E216" s="52">
        <f>装备拆分分析表!AI43</f>
        <v>0</v>
      </c>
      <c r="F216" s="52">
        <f>装备拆分分析表!AF43</f>
        <v>194</v>
      </c>
    </row>
    <row r="217" spans="1:6">
      <c r="A217">
        <f t="shared" si="2"/>
        <v>10403</v>
      </c>
      <c r="B217" s="52">
        <f>装备拆分分析表!AG44</f>
        <v>0</v>
      </c>
      <c r="C217" s="52">
        <f>装备拆分分析表!AH44</f>
        <v>0</v>
      </c>
      <c r="D217" s="52">
        <v>0</v>
      </c>
      <c r="E217" s="52">
        <f>装备拆分分析表!AI44</f>
        <v>45.5</v>
      </c>
      <c r="F217" s="52">
        <f>装备拆分分析表!AF44</f>
        <v>0</v>
      </c>
    </row>
    <row r="218" spans="1:6">
      <c r="A218">
        <f t="shared" si="2"/>
        <v>10404</v>
      </c>
      <c r="B218" s="52">
        <f>装备拆分分析表!AG45</f>
        <v>0</v>
      </c>
      <c r="C218" s="52">
        <f>装备拆分分析表!AH45</f>
        <v>0</v>
      </c>
      <c r="D218" s="52">
        <v>0</v>
      </c>
      <c r="E218" s="52">
        <f>装备拆分分析表!AI45</f>
        <v>27.3</v>
      </c>
      <c r="F218" s="52">
        <f>装备拆分分析表!AF45</f>
        <v>0</v>
      </c>
    </row>
    <row r="219" spans="1:6">
      <c r="A219">
        <f t="shared" si="2"/>
        <v>10405</v>
      </c>
      <c r="B219" s="52">
        <f>装备拆分分析表!AG46</f>
        <v>0</v>
      </c>
      <c r="C219" s="52">
        <f>装备拆分分析表!AH46</f>
        <v>11.200000000000001</v>
      </c>
      <c r="D219" s="52">
        <v>0</v>
      </c>
      <c r="E219" s="52">
        <f>装备拆分分析表!AI46</f>
        <v>0</v>
      </c>
      <c r="F219" s="52">
        <f>装备拆分分析表!AF46</f>
        <v>116.39999999999999</v>
      </c>
    </row>
    <row r="220" spans="1:6">
      <c r="A220">
        <f t="shared" ref="A220:A227" si="3">A190+100</f>
        <v>10406</v>
      </c>
      <c r="B220" s="52">
        <f>装备拆分分析表!AG47</f>
        <v>0</v>
      </c>
      <c r="C220" s="52">
        <f>装备拆分分析表!AH47</f>
        <v>0</v>
      </c>
      <c r="D220" s="52">
        <v>0</v>
      </c>
      <c r="E220" s="52">
        <f>装备拆分分析表!AI47</f>
        <v>27.3</v>
      </c>
      <c r="F220" s="52">
        <f>装备拆分分析表!AF47</f>
        <v>77.600000000000009</v>
      </c>
    </row>
    <row r="221" spans="1:6">
      <c r="A221">
        <f t="shared" si="3"/>
        <v>10411</v>
      </c>
      <c r="B221" s="52">
        <f>装备拆分分析表!AG48</f>
        <v>51.564844800000003</v>
      </c>
      <c r="C221" s="52">
        <f>装备拆分分析表!AH48</f>
        <v>51.564844800000003</v>
      </c>
      <c r="D221" s="52">
        <v>0</v>
      </c>
      <c r="E221" s="52">
        <f>装备拆分分析表!AI48</f>
        <v>0</v>
      </c>
      <c r="F221" s="52">
        <f>装备拆分分析表!AF48</f>
        <v>0</v>
      </c>
    </row>
    <row r="222" spans="1:6">
      <c r="A222">
        <f t="shared" si="3"/>
        <v>10412</v>
      </c>
      <c r="B222" s="52">
        <f>装备拆分分析表!AG49</f>
        <v>0</v>
      </c>
      <c r="C222" s="52">
        <f>装备拆分分析表!AH49</f>
        <v>0</v>
      </c>
      <c r="D222" s="52">
        <v>0</v>
      </c>
      <c r="E222" s="52">
        <f>装备拆分分析表!AI49</f>
        <v>0</v>
      </c>
      <c r="F222" s="52">
        <f>装备拆分分析表!AF49</f>
        <v>297.72559200000001</v>
      </c>
    </row>
    <row r="223" spans="1:6">
      <c r="A223">
        <f t="shared" si="3"/>
        <v>10413</v>
      </c>
      <c r="B223" s="52">
        <f>装备拆分分析表!AG50</f>
        <v>0</v>
      </c>
      <c r="C223" s="52">
        <f>装备拆分分析表!AH50</f>
        <v>0</v>
      </c>
      <c r="D223" s="52">
        <v>0</v>
      </c>
      <c r="E223" s="52">
        <f>装备拆分分析表!AI50</f>
        <v>69.827394000000012</v>
      </c>
      <c r="F223" s="52">
        <f>装备拆分分析表!AF50</f>
        <v>0</v>
      </c>
    </row>
    <row r="224" spans="1:6">
      <c r="A224">
        <f t="shared" si="3"/>
        <v>10414</v>
      </c>
      <c r="B224" s="52">
        <f>装备拆分分析表!AG51</f>
        <v>0</v>
      </c>
      <c r="C224" s="52">
        <f>装备拆分分析表!AH51</f>
        <v>0</v>
      </c>
      <c r="D224" s="52">
        <v>0</v>
      </c>
      <c r="E224" s="52">
        <f>装备拆分分析表!AI51</f>
        <v>41.896436400000006</v>
      </c>
      <c r="F224" s="52">
        <f>装备拆分分析表!AF51</f>
        <v>0</v>
      </c>
    </row>
    <row r="225" spans="1:6">
      <c r="A225">
        <f t="shared" si="3"/>
        <v>10415</v>
      </c>
      <c r="B225" s="52">
        <f>装备拆分分析表!AG52</f>
        <v>0</v>
      </c>
      <c r="C225" s="52">
        <f>装备拆分分析表!AH52</f>
        <v>17.188281600000003</v>
      </c>
      <c r="D225" s="52">
        <v>0</v>
      </c>
      <c r="E225" s="52">
        <f>装备拆分分析表!AI52</f>
        <v>0</v>
      </c>
      <c r="F225" s="52">
        <f>装备拆分分析表!AF52</f>
        <v>178.63535519999999</v>
      </c>
    </row>
    <row r="226" spans="1:6">
      <c r="A226">
        <f t="shared" si="3"/>
        <v>10416</v>
      </c>
      <c r="B226" s="52">
        <f>装备拆分分析表!AG53</f>
        <v>0</v>
      </c>
      <c r="C226" s="52">
        <f>装备拆分分析表!AH53</f>
        <v>0</v>
      </c>
      <c r="D226" s="52">
        <v>0</v>
      </c>
      <c r="E226" s="52">
        <f>装备拆分分析表!AI53</f>
        <v>41.896436400000006</v>
      </c>
      <c r="F226" s="52">
        <f>装备拆分分析表!AF53</f>
        <v>119.09023680000001</v>
      </c>
    </row>
    <row r="227" spans="1:6">
      <c r="A227">
        <f t="shared" si="3"/>
        <v>10421</v>
      </c>
      <c r="B227" s="52">
        <f>装备拆分分析表!AG54</f>
        <v>80.882625331200018</v>
      </c>
      <c r="C227" s="52">
        <f>装备拆分分析表!AH54</f>
        <v>80.882625331200018</v>
      </c>
      <c r="D227" s="52">
        <v>0</v>
      </c>
      <c r="E227" s="52">
        <f>装备拆分分析表!AI54</f>
        <v>0</v>
      </c>
      <c r="F227" s="52">
        <f>装备拆分分析表!AF54</f>
        <v>0</v>
      </c>
    </row>
    <row r="228" spans="1:6">
      <c r="A228">
        <f>A198+100</f>
        <v>10422</v>
      </c>
      <c r="B228" s="52">
        <f>装备拆分分析表!AG55</f>
        <v>0</v>
      </c>
      <c r="C228" s="52">
        <f>装备拆分分析表!AH55</f>
        <v>0</v>
      </c>
      <c r="D228" s="52">
        <v>0</v>
      </c>
      <c r="E228" s="52">
        <f>装备拆分分析表!AI55</f>
        <v>0</v>
      </c>
      <c r="F228" s="52">
        <f>装备拆分分析表!AF55</f>
        <v>467.00087244800011</v>
      </c>
    </row>
    <row r="229" spans="1:6">
      <c r="A229">
        <f t="shared" ref="A229:A241" si="4">A199+100</f>
        <v>10423</v>
      </c>
      <c r="B229" s="52">
        <f>装备拆分分析表!AG56</f>
        <v>0</v>
      </c>
      <c r="C229" s="52">
        <f>装备拆分分析表!AH56</f>
        <v>0</v>
      </c>
      <c r="D229" s="52">
        <v>0</v>
      </c>
      <c r="E229" s="52">
        <f>装备拆分分析表!AI56</f>
        <v>109.52855513600002</v>
      </c>
      <c r="F229" s="52">
        <f>装备拆分分析表!AF56</f>
        <v>0</v>
      </c>
    </row>
    <row r="230" spans="1:6">
      <c r="A230">
        <f t="shared" si="4"/>
        <v>10424</v>
      </c>
      <c r="B230" s="52">
        <f>装备拆分分析表!AG57</f>
        <v>0</v>
      </c>
      <c r="C230" s="52">
        <f>装备拆分分析表!AH57</f>
        <v>0</v>
      </c>
      <c r="D230" s="52">
        <v>0</v>
      </c>
      <c r="E230" s="52">
        <f>装备拆分分析表!AI57</f>
        <v>65.717133081600011</v>
      </c>
      <c r="F230" s="52">
        <f>装备拆分分析表!AF57</f>
        <v>0</v>
      </c>
    </row>
    <row r="231" spans="1:6">
      <c r="A231">
        <f t="shared" si="4"/>
        <v>10425</v>
      </c>
      <c r="B231" s="52">
        <f>装备拆分分析表!AG58</f>
        <v>0</v>
      </c>
      <c r="C231" s="52">
        <f>装备拆分分析表!AH58</f>
        <v>26.960875110400011</v>
      </c>
      <c r="D231" s="52">
        <v>0</v>
      </c>
      <c r="E231" s="52">
        <f>装备拆分分析表!AI58</f>
        <v>0</v>
      </c>
      <c r="F231" s="52">
        <f>装备拆分分析表!AF58</f>
        <v>280.20052346880004</v>
      </c>
    </row>
    <row r="232" spans="1:6">
      <c r="A232">
        <f t="shared" si="4"/>
        <v>10426</v>
      </c>
      <c r="B232" s="52">
        <f>装备拆分分析表!AG59</f>
        <v>0</v>
      </c>
      <c r="C232" s="52">
        <f>装备拆分分析表!AH59</f>
        <v>0</v>
      </c>
      <c r="D232" s="52">
        <v>0</v>
      </c>
      <c r="E232" s="52">
        <f>装备拆分分析表!AI59</f>
        <v>65.717133081600011</v>
      </c>
      <c r="F232" s="52">
        <f>装备拆分分析表!AF59</f>
        <v>186.80034897920007</v>
      </c>
    </row>
    <row r="233" spans="1:6">
      <c r="A233">
        <f t="shared" si="4"/>
        <v>10431</v>
      </c>
      <c r="B233" s="52">
        <f>装备拆分分析表!AG60</f>
        <v>143.9698092985152</v>
      </c>
      <c r="C233" s="52">
        <f>装备拆分分析表!AH60</f>
        <v>143.9698092985152</v>
      </c>
      <c r="D233" s="52">
        <v>0</v>
      </c>
      <c r="E233" s="52">
        <f>装备拆分分析表!AI60</f>
        <v>0</v>
      </c>
      <c r="F233" s="52">
        <f>装备拆分分析表!AF60</f>
        <v>0</v>
      </c>
    </row>
    <row r="234" spans="1:6">
      <c r="A234">
        <f t="shared" si="4"/>
        <v>10432</v>
      </c>
      <c r="B234" s="52">
        <f>装备拆分分析表!AG61</f>
        <v>0</v>
      </c>
      <c r="C234" s="52">
        <f>装备拆分分析表!AH61</f>
        <v>0</v>
      </c>
      <c r="D234" s="52">
        <v>0</v>
      </c>
      <c r="E234" s="52">
        <f>装备拆分分析表!AI61</f>
        <v>0</v>
      </c>
      <c r="F234" s="52">
        <f>装备拆分分析表!AF61</f>
        <v>831.2542560688081</v>
      </c>
    </row>
    <row r="235" spans="1:6">
      <c r="A235">
        <f t="shared" si="4"/>
        <v>10433</v>
      </c>
      <c r="B235" s="52">
        <f>装备拆分分析表!AG62</f>
        <v>0</v>
      </c>
      <c r="C235" s="52">
        <f>装备拆分分析表!AH62</f>
        <v>0</v>
      </c>
      <c r="D235" s="52">
        <v>0</v>
      </c>
      <c r="E235" s="52">
        <f>装备拆分分析表!AI62</f>
        <v>194.95911675840603</v>
      </c>
      <c r="F235" s="52">
        <f>装备拆分分析表!AF62</f>
        <v>0</v>
      </c>
    </row>
    <row r="236" spans="1:6">
      <c r="A236">
        <f t="shared" si="4"/>
        <v>10434</v>
      </c>
      <c r="B236" s="52">
        <f>装备拆分分析表!AG63</f>
        <v>0</v>
      </c>
      <c r="C236" s="52">
        <f>装备拆分分析表!AH63</f>
        <v>0</v>
      </c>
      <c r="D236" s="52">
        <v>0</v>
      </c>
      <c r="E236" s="52">
        <f>装备拆分分析表!AI63</f>
        <v>116.97547005504362</v>
      </c>
      <c r="F236" s="52">
        <f>装备拆分分析表!AF63</f>
        <v>0</v>
      </c>
    </row>
    <row r="237" spans="1:6">
      <c r="A237">
        <f t="shared" si="4"/>
        <v>10435</v>
      </c>
      <c r="B237" s="52">
        <f>装备拆分分析表!AG64</f>
        <v>0</v>
      </c>
      <c r="C237" s="52">
        <f>装备拆分分析表!AH64</f>
        <v>47.989936432838405</v>
      </c>
      <c r="D237" s="52">
        <v>0</v>
      </c>
      <c r="E237" s="52">
        <f>装备拆分分析表!AI64</f>
        <v>0</v>
      </c>
      <c r="F237" s="52">
        <f>装备拆分分析表!AF64</f>
        <v>498.75255364128486</v>
      </c>
    </row>
    <row r="238" spans="1:6">
      <c r="A238">
        <f t="shared" si="4"/>
        <v>10436</v>
      </c>
      <c r="B238" s="52">
        <f>装备拆分分析表!AG65</f>
        <v>0</v>
      </c>
      <c r="C238" s="52">
        <f>装备拆分分析表!AH65</f>
        <v>0</v>
      </c>
      <c r="D238" s="52">
        <v>0</v>
      </c>
      <c r="E238" s="52">
        <f>装备拆分分析表!AI65</f>
        <v>116.97547005504362</v>
      </c>
      <c r="F238" s="52">
        <f>装备拆分分析表!AF65</f>
        <v>332.50170242752324</v>
      </c>
    </row>
    <row r="239" spans="1:6">
      <c r="A239">
        <f t="shared" si="4"/>
        <v>10441</v>
      </c>
      <c r="B239" s="52">
        <f>装备拆分分析表!AG66</f>
        <v>260.94786342705902</v>
      </c>
      <c r="C239" s="52">
        <f>装备拆分分析表!AH66</f>
        <v>260.94786342705902</v>
      </c>
      <c r="D239" s="52">
        <v>0</v>
      </c>
      <c r="E239" s="52">
        <f>装备拆分分析表!AI66</f>
        <v>0</v>
      </c>
      <c r="F239" s="52">
        <f>装备拆分分析表!AF66</f>
        <v>0</v>
      </c>
    </row>
    <row r="240" spans="1:6">
      <c r="A240">
        <f t="shared" si="4"/>
        <v>10442</v>
      </c>
      <c r="B240" s="52">
        <f>装备拆分分析表!AG67</f>
        <v>0</v>
      </c>
      <c r="C240" s="52">
        <f>装备拆分分析表!AH67</f>
        <v>0</v>
      </c>
      <c r="D240" s="52">
        <v>0</v>
      </c>
      <c r="E240" s="52">
        <f>装备拆分分析表!AI67</f>
        <v>0</v>
      </c>
      <c r="F240" s="52">
        <f>装备拆分分析表!AF67</f>
        <v>1506.6632590729005</v>
      </c>
    </row>
    <row r="241" spans="1:6">
      <c r="A241">
        <f t="shared" si="4"/>
        <v>10443</v>
      </c>
      <c r="B241" s="52">
        <f>装备拆分分析表!AG68</f>
        <v>0</v>
      </c>
      <c r="C241" s="52">
        <f>装备拆分分析表!AH68</f>
        <v>0</v>
      </c>
      <c r="D241" s="52">
        <v>0</v>
      </c>
      <c r="E241" s="52">
        <f>装备拆分分析表!AI68</f>
        <v>353.36689839080913</v>
      </c>
      <c r="F241" s="52">
        <f>装备拆分分析表!AF68</f>
        <v>0</v>
      </c>
    </row>
    <row r="242" spans="1:6">
      <c r="A242">
        <f>A212+100</f>
        <v>10444</v>
      </c>
      <c r="B242" s="52">
        <f>装备拆分分析表!AG69</f>
        <v>0</v>
      </c>
      <c r="C242" s="52">
        <f>装备拆分分析表!AH69</f>
        <v>0</v>
      </c>
      <c r="D242" s="52">
        <v>0</v>
      </c>
      <c r="E242" s="52">
        <f>装备拆分分析表!AI69</f>
        <v>212.02013903448548</v>
      </c>
      <c r="F242" s="52">
        <f>装备拆分分析表!AF69</f>
        <v>0</v>
      </c>
    </row>
    <row r="243" spans="1:6">
      <c r="A243">
        <f t="shared" ref="A243:A244" si="5">A213+100</f>
        <v>10445</v>
      </c>
      <c r="B243" s="52">
        <f>装备拆分分析表!AG70</f>
        <v>0</v>
      </c>
      <c r="C243" s="52">
        <f>装备拆分分析表!AH70</f>
        <v>86.982621142353025</v>
      </c>
      <c r="D243" s="52">
        <v>0</v>
      </c>
      <c r="E243" s="52">
        <f>装备拆分分析表!AI70</f>
        <v>0</v>
      </c>
      <c r="F243" s="52">
        <f>装备拆分分析表!AF70</f>
        <v>903.99795544374024</v>
      </c>
    </row>
    <row r="244" spans="1:6">
      <c r="A244">
        <f t="shared" si="5"/>
        <v>10446</v>
      </c>
      <c r="B244" s="52">
        <f>装备拆分分析表!AG71</f>
        <v>0</v>
      </c>
      <c r="C244" s="52">
        <f>装备拆分分析表!AH71</f>
        <v>0</v>
      </c>
      <c r="D244" s="52">
        <v>0</v>
      </c>
      <c r="E244" s="52">
        <f>装备拆分分析表!AI71</f>
        <v>212.02013903448548</v>
      </c>
      <c r="F244" s="52">
        <f>装备拆分分析表!AF71</f>
        <v>602.66530362916023</v>
      </c>
    </row>
    <row r="245" spans="1:6">
      <c r="B245" s="52"/>
      <c r="C245" s="52"/>
      <c r="D245" s="52"/>
      <c r="E245" s="52"/>
      <c r="F245" s="5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N21"/>
  <sheetViews>
    <sheetView workbookViewId="0">
      <selection activeCell="C7" sqref="C7"/>
    </sheetView>
  </sheetViews>
  <sheetFormatPr defaultRowHeight="13.5"/>
  <cols>
    <col min="11" max="11" width="14.625" customWidth="1"/>
  </cols>
  <sheetData>
    <row r="3" spans="2:14">
      <c r="B3" t="s">
        <v>57</v>
      </c>
      <c r="C3" t="s">
        <v>58</v>
      </c>
      <c r="D3" t="s">
        <v>58</v>
      </c>
      <c r="E3" t="s">
        <v>58</v>
      </c>
      <c r="F3" t="s">
        <v>58</v>
      </c>
      <c r="G3" t="s">
        <v>58</v>
      </c>
      <c r="H3" t="s">
        <v>58</v>
      </c>
      <c r="I3" t="s">
        <v>58</v>
      </c>
      <c r="J3" t="s">
        <v>58</v>
      </c>
      <c r="K3" t="s">
        <v>58</v>
      </c>
      <c r="L3" t="s">
        <v>58</v>
      </c>
      <c r="M3" t="s">
        <v>108</v>
      </c>
      <c r="N3" t="s">
        <v>108</v>
      </c>
    </row>
    <row r="4" spans="2:14">
      <c r="B4" t="s">
        <v>109</v>
      </c>
      <c r="C4" t="s">
        <v>61</v>
      </c>
      <c r="D4" t="s">
        <v>62</v>
      </c>
      <c r="E4" t="s">
        <v>63</v>
      </c>
      <c r="F4" t="s">
        <v>64</v>
      </c>
      <c r="G4" t="s">
        <v>65</v>
      </c>
      <c r="H4" t="s">
        <v>66</v>
      </c>
      <c r="I4" t="s">
        <v>67</v>
      </c>
      <c r="J4" t="s">
        <v>110</v>
      </c>
      <c r="K4" t="s">
        <v>111</v>
      </c>
      <c r="L4" t="s">
        <v>112</v>
      </c>
      <c r="M4" t="s">
        <v>113</v>
      </c>
      <c r="N4" t="s">
        <v>114</v>
      </c>
    </row>
    <row r="5" spans="2:14">
      <c r="B5" t="s">
        <v>115</v>
      </c>
      <c r="C5" t="s">
        <v>70</v>
      </c>
      <c r="D5" t="s">
        <v>71</v>
      </c>
      <c r="E5" t="s">
        <v>72</v>
      </c>
      <c r="F5" t="s">
        <v>73</v>
      </c>
      <c r="G5" t="s">
        <v>74</v>
      </c>
      <c r="H5" t="s">
        <v>75</v>
      </c>
      <c r="I5" t="s">
        <v>76</v>
      </c>
      <c r="J5" t="s">
        <v>116</v>
      </c>
      <c r="K5" t="s">
        <v>117</v>
      </c>
      <c r="L5" t="s">
        <v>118</v>
      </c>
      <c r="M5" t="s">
        <v>119</v>
      </c>
      <c r="N5" t="s">
        <v>120</v>
      </c>
    </row>
    <row r="6" spans="2:14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2:14">
      <c r="B7">
        <v>1</v>
      </c>
      <c r="C7">
        <f>属性拆分生成!J31</f>
        <v>120</v>
      </c>
      <c r="D7">
        <f>属性拆分生成!K31</f>
        <v>17</v>
      </c>
      <c r="E7">
        <f>属性拆分生成!L31</f>
        <v>17</v>
      </c>
      <c r="F7" s="2">
        <v>15</v>
      </c>
      <c r="G7">
        <f>属性拆分生成!M31</f>
        <v>28</v>
      </c>
      <c r="H7">
        <v>0</v>
      </c>
      <c r="I7">
        <v>0</v>
      </c>
      <c r="J7">
        <v>1</v>
      </c>
      <c r="K7">
        <f>属性拆分生成!O35</f>
        <v>10</v>
      </c>
      <c r="L7">
        <f>[3]升阶消耗!$I22</f>
        <v>300</v>
      </c>
      <c r="M7" t="s">
        <v>121</v>
      </c>
      <c r="N7" t="s">
        <v>122</v>
      </c>
    </row>
    <row r="8" spans="2:14">
      <c r="B8">
        <v>2</v>
      </c>
      <c r="C8">
        <f>属性拆分生成!J32</f>
        <v>251</v>
      </c>
      <c r="D8">
        <f>属性拆分生成!K32</f>
        <v>36</v>
      </c>
      <c r="E8">
        <f>属性拆分生成!L32</f>
        <v>36</v>
      </c>
      <c r="F8" s="2">
        <v>28</v>
      </c>
      <c r="G8">
        <f>属性拆分生成!M32</f>
        <v>59</v>
      </c>
      <c r="H8">
        <v>0</v>
      </c>
      <c r="I8">
        <v>0</v>
      </c>
      <c r="J8">
        <v>1</v>
      </c>
      <c r="K8">
        <f>属性拆分生成!O36</f>
        <v>15</v>
      </c>
      <c r="L8">
        <f>[3]升阶消耗!$I23</f>
        <v>2000</v>
      </c>
      <c r="M8" t="s">
        <v>121</v>
      </c>
    </row>
    <row r="9" spans="2:14">
      <c r="B9">
        <v>3</v>
      </c>
      <c r="C9">
        <f>属性拆分生成!J33</f>
        <v>406</v>
      </c>
      <c r="D9">
        <f>属性拆分生成!K33</f>
        <v>58</v>
      </c>
      <c r="E9">
        <f>属性拆分生成!L33</f>
        <v>58</v>
      </c>
      <c r="F9" s="2">
        <v>41</v>
      </c>
      <c r="G9">
        <f>属性拆分生成!M33</f>
        <v>95</v>
      </c>
      <c r="H9">
        <v>0</v>
      </c>
      <c r="I9">
        <v>0</v>
      </c>
      <c r="J9">
        <v>2</v>
      </c>
      <c r="K9">
        <f>属性拆分生成!O37</f>
        <v>20</v>
      </c>
      <c r="L9">
        <f>[3]升阶消耗!$I24</f>
        <v>4000</v>
      </c>
      <c r="M9" t="s">
        <v>121</v>
      </c>
      <c r="N9" t="s">
        <v>122</v>
      </c>
    </row>
    <row r="10" spans="2:14">
      <c r="B10">
        <v>4</v>
      </c>
      <c r="C10">
        <f>属性拆分生成!J34</f>
        <v>583</v>
      </c>
      <c r="D10">
        <f>属性拆分生成!K34</f>
        <v>83</v>
      </c>
      <c r="E10">
        <f>属性拆分生成!L34</f>
        <v>83</v>
      </c>
      <c r="F10" s="2">
        <v>54</v>
      </c>
      <c r="G10">
        <f>属性拆分生成!M34</f>
        <v>136</v>
      </c>
      <c r="H10">
        <v>0</v>
      </c>
      <c r="I10">
        <v>0</v>
      </c>
      <c r="J10">
        <v>2</v>
      </c>
      <c r="K10">
        <f>属性拆分生成!O38</f>
        <v>25</v>
      </c>
      <c r="L10">
        <f>[3]升阶消耗!$I25</f>
        <v>8000</v>
      </c>
      <c r="M10" t="s">
        <v>121</v>
      </c>
    </row>
    <row r="11" spans="2:14">
      <c r="B11">
        <v>5</v>
      </c>
      <c r="C11">
        <f>属性拆分生成!J35</f>
        <v>782</v>
      </c>
      <c r="D11">
        <f>属性拆分生成!K35</f>
        <v>111</v>
      </c>
      <c r="E11">
        <f>属性拆分生成!L35</f>
        <v>111</v>
      </c>
      <c r="F11" s="2">
        <v>67</v>
      </c>
      <c r="G11">
        <f>属性拆分生成!M35</f>
        <v>182</v>
      </c>
      <c r="H11">
        <v>0</v>
      </c>
      <c r="I11">
        <v>0</v>
      </c>
      <c r="J11">
        <v>2</v>
      </c>
      <c r="K11">
        <f>属性拆分生成!O39</f>
        <v>30</v>
      </c>
      <c r="L11">
        <f>[3]升阶消耗!$I26</f>
        <v>20000</v>
      </c>
      <c r="M11" t="s">
        <v>121</v>
      </c>
    </row>
    <row r="12" spans="2:14">
      <c r="B12">
        <v>6</v>
      </c>
      <c r="C12">
        <f>属性拆分生成!J36</f>
        <v>1020</v>
      </c>
      <c r="D12">
        <f>属性拆分生成!K36</f>
        <v>145</v>
      </c>
      <c r="E12">
        <f>属性拆分生成!L36</f>
        <v>145</v>
      </c>
      <c r="F12" s="2">
        <v>80</v>
      </c>
      <c r="G12">
        <f>属性拆分生成!M36</f>
        <v>238</v>
      </c>
      <c r="H12">
        <v>0</v>
      </c>
      <c r="I12">
        <v>0</v>
      </c>
      <c r="J12">
        <v>3</v>
      </c>
      <c r="K12">
        <f>属性拆分生成!O40</f>
        <v>35</v>
      </c>
      <c r="L12">
        <f>[3]升阶消耗!$I27</f>
        <v>30000</v>
      </c>
      <c r="M12" t="s">
        <v>121</v>
      </c>
      <c r="N12" t="s">
        <v>122</v>
      </c>
    </row>
    <row r="13" spans="2:14">
      <c r="B13">
        <v>7</v>
      </c>
      <c r="C13">
        <f>属性拆分生成!J37</f>
        <v>1290</v>
      </c>
      <c r="D13">
        <f>属性拆分生成!K37</f>
        <v>183</v>
      </c>
      <c r="E13">
        <f>属性拆分生成!L37</f>
        <v>183</v>
      </c>
      <c r="F13" s="2">
        <v>93</v>
      </c>
      <c r="G13">
        <f>属性拆分生成!M37</f>
        <v>301</v>
      </c>
      <c r="H13">
        <v>0</v>
      </c>
      <c r="I13">
        <v>0</v>
      </c>
      <c r="J13">
        <v>3</v>
      </c>
      <c r="K13">
        <f>属性拆分生成!O41</f>
        <v>40</v>
      </c>
      <c r="L13">
        <f>[3]升阶消耗!$I28</f>
        <v>50000</v>
      </c>
      <c r="M13" t="s">
        <v>121</v>
      </c>
    </row>
    <row r="14" spans="2:14">
      <c r="B14">
        <v>8</v>
      </c>
      <c r="C14">
        <f>属性拆分生成!J38</f>
        <v>1593</v>
      </c>
      <c r="D14">
        <f>属性拆分生成!K38</f>
        <v>226</v>
      </c>
      <c r="E14">
        <f>属性拆分生成!L38</f>
        <v>226</v>
      </c>
      <c r="F14" s="2">
        <v>106</v>
      </c>
      <c r="G14">
        <f>属性拆分生成!M38</f>
        <v>372</v>
      </c>
      <c r="H14">
        <v>0</v>
      </c>
      <c r="I14">
        <v>0</v>
      </c>
      <c r="J14">
        <v>3</v>
      </c>
      <c r="K14">
        <f>属性拆分生成!O42</f>
        <v>45</v>
      </c>
      <c r="L14">
        <f>[3]升阶消耗!$I29</f>
        <v>80000</v>
      </c>
      <c r="M14" t="s">
        <v>121</v>
      </c>
    </row>
    <row r="15" spans="2:14">
      <c r="B15">
        <v>9</v>
      </c>
      <c r="C15">
        <f>属性拆分生成!J39</f>
        <v>1939</v>
      </c>
      <c r="D15">
        <f>属性拆分生成!K39</f>
        <v>275</v>
      </c>
      <c r="E15">
        <f>属性拆分生成!L39</f>
        <v>275</v>
      </c>
      <c r="F15" s="2">
        <v>119</v>
      </c>
      <c r="G15">
        <f>属性拆分生成!M39</f>
        <v>453</v>
      </c>
      <c r="H15">
        <v>0</v>
      </c>
      <c r="I15">
        <v>0</v>
      </c>
      <c r="J15">
        <v>3</v>
      </c>
      <c r="K15">
        <f>属性拆分生成!O43</f>
        <v>50</v>
      </c>
      <c r="L15">
        <f>[3]升阶消耗!$I30</f>
        <v>100000</v>
      </c>
      <c r="M15" t="s">
        <v>121</v>
      </c>
    </row>
    <row r="16" spans="2:14">
      <c r="B16">
        <v>10</v>
      </c>
      <c r="C16">
        <f>属性拆分生成!J40</f>
        <v>0</v>
      </c>
      <c r="D16">
        <f>属性拆分生成!K40</f>
        <v>0</v>
      </c>
      <c r="E16">
        <f>属性拆分生成!L40</f>
        <v>0</v>
      </c>
      <c r="F16">
        <v>100</v>
      </c>
      <c r="G16">
        <f>属性拆分生成!M40</f>
        <v>0</v>
      </c>
      <c r="H16">
        <v>0</v>
      </c>
      <c r="I16">
        <v>0</v>
      </c>
      <c r="J16">
        <v>1</v>
      </c>
      <c r="K16">
        <f>属性拆分生成!O44</f>
        <v>0</v>
      </c>
      <c r="L16">
        <f>[3]升阶消耗!$I31</f>
        <v>0</v>
      </c>
      <c r="M16" t="s">
        <v>121</v>
      </c>
      <c r="N16" t="s">
        <v>122</v>
      </c>
    </row>
    <row r="17" spans="2:14">
      <c r="B17">
        <v>11</v>
      </c>
      <c r="C17">
        <f>属性拆分生成!J41</f>
        <v>0</v>
      </c>
      <c r="D17">
        <f>属性拆分生成!K41</f>
        <v>0</v>
      </c>
      <c r="E17">
        <f>属性拆分生成!L41</f>
        <v>0</v>
      </c>
      <c r="F17">
        <v>100</v>
      </c>
      <c r="G17">
        <f>属性拆分生成!M41</f>
        <v>0</v>
      </c>
      <c r="H17">
        <v>0</v>
      </c>
      <c r="I17">
        <v>0</v>
      </c>
      <c r="J17">
        <v>1</v>
      </c>
      <c r="K17">
        <f>属性拆分生成!O45</f>
        <v>0</v>
      </c>
      <c r="L17">
        <f>[3]升阶消耗!$I32</f>
        <v>0</v>
      </c>
      <c r="M17" t="s">
        <v>121</v>
      </c>
    </row>
    <row r="18" spans="2:14">
      <c r="B18">
        <v>12</v>
      </c>
      <c r="C18">
        <f>属性拆分生成!J42</f>
        <v>0</v>
      </c>
      <c r="D18">
        <f>属性拆分生成!K42</f>
        <v>0</v>
      </c>
      <c r="E18">
        <f>属性拆分生成!L42</f>
        <v>0</v>
      </c>
      <c r="F18">
        <v>100</v>
      </c>
      <c r="G18">
        <f>属性拆分生成!M42</f>
        <v>0</v>
      </c>
      <c r="H18">
        <v>0</v>
      </c>
      <c r="I18">
        <v>0</v>
      </c>
      <c r="J18">
        <v>1</v>
      </c>
      <c r="K18">
        <f>属性拆分生成!O46</f>
        <v>0</v>
      </c>
      <c r="L18">
        <f>[3]升阶消耗!$I33</f>
        <v>0</v>
      </c>
      <c r="M18" t="s">
        <v>121</v>
      </c>
    </row>
    <row r="19" spans="2:14">
      <c r="B19">
        <v>13</v>
      </c>
      <c r="C19">
        <f>属性拆分生成!J43</f>
        <v>0</v>
      </c>
      <c r="D19">
        <f>属性拆分生成!K43</f>
        <v>0</v>
      </c>
      <c r="E19">
        <f>属性拆分生成!L43</f>
        <v>0</v>
      </c>
      <c r="F19">
        <v>100</v>
      </c>
      <c r="G19">
        <f>属性拆分生成!M43</f>
        <v>0</v>
      </c>
      <c r="H19">
        <v>0</v>
      </c>
      <c r="I19">
        <v>0</v>
      </c>
      <c r="J19">
        <v>1</v>
      </c>
      <c r="K19">
        <f>属性拆分生成!O47</f>
        <v>0</v>
      </c>
      <c r="L19">
        <f>[3]升阶消耗!$I34</f>
        <v>0</v>
      </c>
      <c r="M19" t="s">
        <v>121</v>
      </c>
    </row>
    <row r="20" spans="2:14">
      <c r="B20">
        <v>14</v>
      </c>
      <c r="C20">
        <f>属性拆分生成!J44</f>
        <v>0</v>
      </c>
      <c r="D20">
        <f>属性拆分生成!K44</f>
        <v>0</v>
      </c>
      <c r="E20">
        <f>属性拆分生成!L44</f>
        <v>0</v>
      </c>
      <c r="F20">
        <v>100</v>
      </c>
      <c r="G20">
        <f>属性拆分生成!M44</f>
        <v>0</v>
      </c>
      <c r="H20">
        <v>0</v>
      </c>
      <c r="I20">
        <v>0</v>
      </c>
      <c r="J20">
        <v>1</v>
      </c>
      <c r="K20">
        <f>属性拆分生成!O48</f>
        <v>0</v>
      </c>
      <c r="L20">
        <f>[3]升阶消耗!$I35</f>
        <v>0</v>
      </c>
      <c r="M20" t="s">
        <v>121</v>
      </c>
    </row>
    <row r="21" spans="2:14">
      <c r="B21">
        <v>15</v>
      </c>
      <c r="C21">
        <f>属性拆分生成!J45</f>
        <v>0</v>
      </c>
      <c r="D21">
        <f>属性拆分生成!K45</f>
        <v>0</v>
      </c>
      <c r="E21">
        <f>属性拆分生成!L45</f>
        <v>0</v>
      </c>
      <c r="F21">
        <v>100</v>
      </c>
      <c r="G21">
        <f>属性拆分生成!M45</f>
        <v>0</v>
      </c>
      <c r="H21">
        <v>0</v>
      </c>
      <c r="I21">
        <v>0</v>
      </c>
      <c r="J21">
        <v>1</v>
      </c>
      <c r="K21">
        <f>属性拆分生成!O49</f>
        <v>0</v>
      </c>
      <c r="L21">
        <f>[3]升阶消耗!$I36</f>
        <v>0</v>
      </c>
      <c r="M21" t="s">
        <v>121</v>
      </c>
      <c r="N21" t="s">
        <v>122</v>
      </c>
    </row>
  </sheetData>
  <phoneticPr fontId="1" type="noConversion"/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84"/>
  <sheetViews>
    <sheetView workbookViewId="0">
      <selection activeCell="A67" sqref="A66:XFD67"/>
    </sheetView>
  </sheetViews>
  <sheetFormatPr defaultRowHeight="13.5"/>
  <cols>
    <col min="4" max="7" width="5.25" bestFit="1" customWidth="1"/>
    <col min="32" max="32" width="9.5" bestFit="1" customWidth="1"/>
    <col min="33" max="35" width="9.125" bestFit="1" customWidth="1"/>
  </cols>
  <sheetData>
    <row r="1" spans="2:35">
      <c r="B1" t="s">
        <v>178</v>
      </c>
    </row>
    <row r="2" spans="2:35">
      <c r="I2" t="s">
        <v>194</v>
      </c>
      <c r="K2" t="s">
        <v>70</v>
      </c>
      <c r="L2" t="s">
        <v>71</v>
      </c>
      <c r="M2" t="s">
        <v>72</v>
      </c>
      <c r="N2" t="s">
        <v>226</v>
      </c>
      <c r="P2" t="s">
        <v>234</v>
      </c>
      <c r="R2" t="s">
        <v>70</v>
      </c>
      <c r="S2" t="s">
        <v>71</v>
      </c>
      <c r="T2" t="s">
        <v>72</v>
      </c>
      <c r="U2" t="s">
        <v>226</v>
      </c>
      <c r="W2" t="s">
        <v>235</v>
      </c>
      <c r="Y2" t="s">
        <v>70</v>
      </c>
      <c r="Z2" t="s">
        <v>71</v>
      </c>
      <c r="AA2" t="s">
        <v>72</v>
      </c>
      <c r="AB2" t="s">
        <v>226</v>
      </c>
      <c r="AD2" t="s">
        <v>236</v>
      </c>
      <c r="AF2" t="s">
        <v>70</v>
      </c>
      <c r="AG2" t="s">
        <v>71</v>
      </c>
      <c r="AH2" t="s">
        <v>72</v>
      </c>
      <c r="AI2" t="s">
        <v>226</v>
      </c>
    </row>
    <row r="3" spans="2:35">
      <c r="J3" t="s">
        <v>227</v>
      </c>
      <c r="K3" s="55">
        <f>D7*装备拆分生成表!C$26</f>
        <v>0</v>
      </c>
      <c r="L3" s="55">
        <f>E7*装备拆分生成表!D$26</f>
        <v>2.2222222222222223</v>
      </c>
      <c r="M3" s="55">
        <f>F7*装备拆分生成表!E$26</f>
        <v>1.1111111111111112</v>
      </c>
      <c r="N3" s="55">
        <f>G7*装备拆分生成表!F$26</f>
        <v>0</v>
      </c>
      <c r="O3" s="52"/>
      <c r="Q3" t="s">
        <v>227</v>
      </c>
      <c r="R3" s="56">
        <f>D16*装备拆分生成表!C$26</f>
        <v>0</v>
      </c>
      <c r="S3" s="56">
        <f>E16*装备拆分生成表!D$26</f>
        <v>1.1111111111111112</v>
      </c>
      <c r="T3" s="56">
        <f>F16*装备拆分生成表!E$26</f>
        <v>2.2222222222222223</v>
      </c>
      <c r="U3" s="56">
        <f>G16*装备拆分生成表!F$26</f>
        <v>0</v>
      </c>
      <c r="X3" t="s">
        <v>227</v>
      </c>
      <c r="Y3" s="55">
        <f>D25*装备拆分生成表!C$26</f>
        <v>0</v>
      </c>
      <c r="Z3" s="55">
        <f>E25*装备拆分生成表!D$26</f>
        <v>1.5277777777777779</v>
      </c>
      <c r="AA3" s="55">
        <f>F25*装备拆分生成表!E$26</f>
        <v>1.5277777777777779</v>
      </c>
      <c r="AB3" s="55">
        <f>G25*装备拆分生成表!F$26</f>
        <v>0</v>
      </c>
      <c r="AE3" t="s">
        <v>227</v>
      </c>
      <c r="AF3" s="56">
        <f>D34*装备拆分生成表!C$26</f>
        <v>0</v>
      </c>
      <c r="AG3" s="56">
        <f>E34*装备拆分生成表!D$26</f>
        <v>1.6666666666666665</v>
      </c>
      <c r="AH3" s="56">
        <f>F34*装备拆分生成表!E$26</f>
        <v>1.6666666666666665</v>
      </c>
      <c r="AI3" s="56">
        <f>G34*装备拆分生成表!F$26</f>
        <v>0</v>
      </c>
    </row>
    <row r="4" spans="2:35">
      <c r="J4" t="s">
        <v>195</v>
      </c>
      <c r="K4" s="55">
        <f>D8*装备拆分生成表!C$26</f>
        <v>9.6666666666666661</v>
      </c>
      <c r="L4" s="55">
        <f>E8*装备拆分生成表!D$26</f>
        <v>0</v>
      </c>
      <c r="M4" s="55">
        <f>F8*装备拆分生成表!E$26</f>
        <v>0</v>
      </c>
      <c r="N4" s="55">
        <f>G8*装备拆分生成表!F$26</f>
        <v>0</v>
      </c>
      <c r="O4" s="52"/>
      <c r="Q4" t="s">
        <v>195</v>
      </c>
      <c r="R4" s="56">
        <f>D17*装备拆分生成表!C$26</f>
        <v>9.6666666666666661</v>
      </c>
      <c r="S4" s="56">
        <f>E17*装备拆分生成表!D$26</f>
        <v>0</v>
      </c>
      <c r="T4" s="56">
        <f>F17*装备拆分生成表!E$26</f>
        <v>0</v>
      </c>
      <c r="U4" s="56">
        <f>G17*装备拆分生成表!F$26</f>
        <v>0</v>
      </c>
      <c r="X4" t="s">
        <v>195</v>
      </c>
      <c r="Y4" s="55">
        <f>D26*装备拆分生成表!C$26</f>
        <v>15.466666666666667</v>
      </c>
      <c r="Z4" s="55">
        <f>E26*装备拆分生成表!D$26</f>
        <v>0</v>
      </c>
      <c r="AA4" s="55">
        <f>F26*装备拆分生成表!E$26</f>
        <v>0</v>
      </c>
      <c r="AB4" s="55">
        <f>G26*装备拆分生成表!F$26</f>
        <v>0</v>
      </c>
      <c r="AE4" t="s">
        <v>195</v>
      </c>
      <c r="AF4" s="56">
        <f>D35*装备拆分生成表!C$26</f>
        <v>9.6666666666666661</v>
      </c>
      <c r="AG4" s="56">
        <f>E35*装备拆分生成表!D$26</f>
        <v>0</v>
      </c>
      <c r="AH4" s="56">
        <f>F35*装备拆分生成表!E$26</f>
        <v>0</v>
      </c>
      <c r="AI4" s="56">
        <f>G35*装备拆分生成表!F$26</f>
        <v>0</v>
      </c>
    </row>
    <row r="5" spans="2:35">
      <c r="C5" t="s">
        <v>139</v>
      </c>
      <c r="D5">
        <f>SUM(D7:D12)</f>
        <v>1</v>
      </c>
      <c r="E5">
        <f>SUM(E7:E12)</f>
        <v>1.3</v>
      </c>
      <c r="F5">
        <f>SUM(F7:F12)</f>
        <v>0.60000000000000009</v>
      </c>
      <c r="G5">
        <f>SUM(G7:G12)</f>
        <v>0.7</v>
      </c>
      <c r="H5">
        <f>E5+F5/(G5*D5)</f>
        <v>2.1571428571428575</v>
      </c>
      <c r="J5" t="s">
        <v>196</v>
      </c>
      <c r="K5" s="55">
        <f>D9*装备拆分生成表!C$26</f>
        <v>0</v>
      </c>
      <c r="L5" s="55">
        <f>E9*装备拆分生成表!D$26</f>
        <v>0</v>
      </c>
      <c r="M5" s="55">
        <f>F9*装备拆分生成表!E$26</f>
        <v>0</v>
      </c>
      <c r="N5" s="55">
        <f>G9*装备拆分生成表!F$26</f>
        <v>1.8222222222222222</v>
      </c>
      <c r="O5" s="52"/>
      <c r="Q5" t="s">
        <v>196</v>
      </c>
      <c r="R5" s="56">
        <f>D18*装备拆分生成表!C$26</f>
        <v>0</v>
      </c>
      <c r="S5" s="56">
        <f>E18*装备拆分生成表!D$26</f>
        <v>0</v>
      </c>
      <c r="T5" s="56">
        <f>F18*装备拆分生成表!E$26</f>
        <v>0</v>
      </c>
      <c r="U5" s="56">
        <f>G18*装备拆分生成表!F$26</f>
        <v>1.8222222222222222</v>
      </c>
      <c r="X5" t="s">
        <v>196</v>
      </c>
      <c r="Y5" s="55">
        <f>D27*装备拆分生成表!C$26</f>
        <v>0</v>
      </c>
      <c r="Z5" s="55">
        <f>E27*装备拆分生成表!D$26</f>
        <v>0</v>
      </c>
      <c r="AA5" s="55">
        <f>F27*装备拆分生成表!E$26</f>
        <v>0</v>
      </c>
      <c r="AB5" s="55">
        <f>G27*装备拆分生成表!F$26</f>
        <v>2.7333333333333329</v>
      </c>
      <c r="AE5" t="s">
        <v>196</v>
      </c>
      <c r="AF5" s="56">
        <f>D36*装备拆分生成表!C$26</f>
        <v>0</v>
      </c>
      <c r="AG5" s="56">
        <f>E36*装备拆分生成表!D$26</f>
        <v>0</v>
      </c>
      <c r="AH5" s="56">
        <f>F36*装备拆分生成表!E$26</f>
        <v>0</v>
      </c>
      <c r="AI5" s="56">
        <f>G36*装备拆分生成表!F$26</f>
        <v>2.2777777777777777</v>
      </c>
    </row>
    <row r="6" spans="2:35">
      <c r="B6" t="s">
        <v>150</v>
      </c>
      <c r="D6" t="s">
        <v>148</v>
      </c>
      <c r="E6" t="s">
        <v>147</v>
      </c>
      <c r="F6" t="s">
        <v>146</v>
      </c>
      <c r="G6" t="s">
        <v>149</v>
      </c>
      <c r="J6" t="s">
        <v>197</v>
      </c>
      <c r="K6" s="55">
        <f>D10*装备拆分生成表!C$26</f>
        <v>0</v>
      </c>
      <c r="L6" s="55">
        <f>E10*装备拆分生成表!D$26</f>
        <v>0.27777777777777779</v>
      </c>
      <c r="M6" s="55">
        <f>F10*装备拆分生成表!E$26</f>
        <v>0</v>
      </c>
      <c r="N6" s="55">
        <f>G10*装备拆分生成表!F$26</f>
        <v>1.3666666666666665</v>
      </c>
      <c r="O6" s="52"/>
      <c r="Q6" t="s">
        <v>197</v>
      </c>
      <c r="R6" s="56">
        <f>D19*装备拆分生成表!C$26</f>
        <v>0</v>
      </c>
      <c r="S6" s="56">
        <f>E19*装备拆分生成表!D$26</f>
        <v>0</v>
      </c>
      <c r="T6" s="56">
        <f>F19*装备拆分生成表!E$26</f>
        <v>0.27777777777777779</v>
      </c>
      <c r="U6" s="56">
        <f>G19*装备拆分生成表!F$26</f>
        <v>1.3666666666666665</v>
      </c>
      <c r="X6" t="s">
        <v>197</v>
      </c>
      <c r="Y6" s="55">
        <f>D28*装备拆分生成表!C$26</f>
        <v>0</v>
      </c>
      <c r="Z6" s="55">
        <f>E28*装备拆分生成表!D$26</f>
        <v>0</v>
      </c>
      <c r="AA6" s="55">
        <f>F28*装备拆分生成表!E$26</f>
        <v>0</v>
      </c>
      <c r="AB6" s="55">
        <f>G28*装备拆分生成表!F$26</f>
        <v>2.0499999999999998</v>
      </c>
      <c r="AE6" t="s">
        <v>197</v>
      </c>
      <c r="AF6" s="56">
        <f>D37*装备拆分生成表!C$26</f>
        <v>0</v>
      </c>
      <c r="AG6" s="56">
        <f>E37*装备拆分生成表!D$26</f>
        <v>0</v>
      </c>
      <c r="AH6" s="56">
        <f>F37*装备拆分生成表!E$26</f>
        <v>0</v>
      </c>
      <c r="AI6" s="56">
        <f>G37*装备拆分生成表!F$26</f>
        <v>1.3666666666666665</v>
      </c>
    </row>
    <row r="7" spans="2:35">
      <c r="C7" t="s">
        <v>140</v>
      </c>
      <c r="E7">
        <v>0.8</v>
      </c>
      <c r="F7">
        <v>0.4</v>
      </c>
      <c r="J7" t="s">
        <v>198</v>
      </c>
      <c r="K7" s="55">
        <f>D11*装备拆分生成表!C$26</f>
        <v>7.7333333333333334</v>
      </c>
      <c r="L7" s="55">
        <f>E11*装备拆分生成表!D$26</f>
        <v>0</v>
      </c>
      <c r="M7" s="55">
        <f>F11*装备拆分生成表!E$26</f>
        <v>0.55555555555555558</v>
      </c>
      <c r="N7" s="55">
        <f>G11*装备拆分生成表!F$26</f>
        <v>0</v>
      </c>
      <c r="O7" s="52"/>
      <c r="Q7" t="s">
        <v>198</v>
      </c>
      <c r="R7" s="56">
        <f>D20*装备拆分生成表!C$26</f>
        <v>7.7333333333333334</v>
      </c>
      <c r="S7" s="56">
        <f>E20*装备拆分生成表!D$26</f>
        <v>0.55555555555555558</v>
      </c>
      <c r="T7" s="56">
        <f>F20*装备拆分生成表!E$26</f>
        <v>0</v>
      </c>
      <c r="U7" s="56">
        <f>G20*装备拆分生成表!F$26</f>
        <v>0</v>
      </c>
      <c r="X7" t="s">
        <v>198</v>
      </c>
      <c r="Y7" s="55">
        <f>D29*装备拆分生成表!C$26</f>
        <v>9.6666666666666661</v>
      </c>
      <c r="Z7" s="55">
        <f>E29*装备拆分生成表!D$26</f>
        <v>0</v>
      </c>
      <c r="AA7" s="55">
        <f>F29*装备拆分生成表!E$26</f>
        <v>0</v>
      </c>
      <c r="AB7" s="55">
        <f>G29*装备拆分生成表!F$26</f>
        <v>0</v>
      </c>
      <c r="AE7" t="s">
        <v>198</v>
      </c>
      <c r="AF7" s="56">
        <f>D38*装备拆分生成表!C$26</f>
        <v>5.8</v>
      </c>
      <c r="AG7" s="56">
        <f>E38*装备拆分生成表!D$26</f>
        <v>0</v>
      </c>
      <c r="AH7" s="56">
        <f>F38*装备拆分生成表!E$26</f>
        <v>0.55555555555555558</v>
      </c>
      <c r="AI7" s="56">
        <f>G38*装备拆分生成表!F$26</f>
        <v>0</v>
      </c>
    </row>
    <row r="8" spans="2:35">
      <c r="C8" t="s">
        <v>141</v>
      </c>
      <c r="D8">
        <v>0.5</v>
      </c>
      <c r="J8" t="s">
        <v>199</v>
      </c>
      <c r="K8" s="55">
        <f>D12*装备拆分生成表!C$26</f>
        <v>1.9333333333333333</v>
      </c>
      <c r="L8" s="55">
        <f>E12*装备拆分生成表!D$26</f>
        <v>1.1111111111111112</v>
      </c>
      <c r="M8" s="55">
        <f>F12*装备拆分生成表!E$26</f>
        <v>0</v>
      </c>
      <c r="N8" s="55">
        <f>G12*装备拆分生成表!F$26</f>
        <v>0</v>
      </c>
      <c r="O8" s="52"/>
      <c r="Q8" t="s">
        <v>199</v>
      </c>
      <c r="R8" s="56">
        <f>D21*装备拆分生成表!C$26</f>
        <v>1.9333333333333333</v>
      </c>
      <c r="S8" s="56">
        <f>E21*装备拆分生成表!D$26</f>
        <v>0</v>
      </c>
      <c r="T8" s="56">
        <f>F21*装备拆分生成表!E$26</f>
        <v>1.1111111111111112</v>
      </c>
      <c r="U8" s="56">
        <f>G21*装备拆分生成表!F$26</f>
        <v>0</v>
      </c>
      <c r="X8" t="s">
        <v>199</v>
      </c>
      <c r="Y8" s="55">
        <f>D30*装备拆分生成表!C$26</f>
        <v>3.8666666666666667</v>
      </c>
      <c r="Z8" s="55">
        <f>E30*装备拆分生成表!D$26</f>
        <v>0</v>
      </c>
      <c r="AA8" s="55">
        <f>F30*装备拆分生成表!E$26</f>
        <v>0</v>
      </c>
      <c r="AB8" s="55">
        <f>G30*装备拆分生成表!F$26</f>
        <v>0.45555555555555555</v>
      </c>
      <c r="AE8" t="s">
        <v>199</v>
      </c>
      <c r="AF8" s="55">
        <f>D39*装备拆分生成表!C$26</f>
        <v>3.8666666666666667</v>
      </c>
      <c r="AG8" s="55">
        <f>E39*装备拆分生成表!D$26</f>
        <v>0</v>
      </c>
      <c r="AH8" s="55">
        <f>F39*装备拆分生成表!E$26</f>
        <v>0</v>
      </c>
      <c r="AI8" s="55">
        <f>G39*装备拆分生成表!F$26</f>
        <v>1.3666666666666665</v>
      </c>
    </row>
    <row r="9" spans="2:35">
      <c r="C9" t="s">
        <v>142</v>
      </c>
      <c r="G9">
        <v>0.4</v>
      </c>
      <c r="K9" s="55"/>
      <c r="L9" s="55"/>
      <c r="M9" s="55"/>
      <c r="N9" s="55"/>
      <c r="O9" s="52"/>
      <c r="R9" s="56"/>
      <c r="S9" s="56"/>
      <c r="T9" s="56"/>
      <c r="U9" s="56"/>
      <c r="Y9" s="55"/>
      <c r="Z9" s="55"/>
      <c r="AA9" s="55"/>
      <c r="AB9" s="55"/>
      <c r="AF9" s="55"/>
      <c r="AG9" s="55"/>
      <c r="AH9" s="55"/>
      <c r="AI9" s="55"/>
    </row>
    <row r="10" spans="2:35">
      <c r="C10" t="s">
        <v>143</v>
      </c>
      <c r="E10">
        <v>0.1</v>
      </c>
      <c r="G10">
        <v>0.3</v>
      </c>
      <c r="K10" s="55"/>
      <c r="L10" s="55"/>
      <c r="M10" s="55"/>
      <c r="N10" s="55"/>
      <c r="O10" s="52"/>
      <c r="R10" s="56"/>
      <c r="S10" s="56"/>
      <c r="T10" s="56"/>
      <c r="U10" s="56"/>
      <c r="Y10" s="55"/>
      <c r="Z10" s="55"/>
      <c r="AA10" s="55"/>
      <c r="AB10" s="55"/>
      <c r="AF10" s="55"/>
      <c r="AG10" s="55"/>
      <c r="AH10" s="55"/>
      <c r="AI10" s="55"/>
    </row>
    <row r="11" spans="2:35">
      <c r="C11" t="s">
        <v>144</v>
      </c>
      <c r="D11">
        <v>0.4</v>
      </c>
      <c r="F11">
        <v>0.2</v>
      </c>
      <c r="J11" t="s">
        <v>200</v>
      </c>
      <c r="K11" s="55">
        <f>D7*装备拆分生成表!C$38</f>
        <v>0</v>
      </c>
      <c r="L11" s="55">
        <f>E7*装备拆分生成表!D$38</f>
        <v>3.2888888888888888</v>
      </c>
      <c r="M11" s="55">
        <f>F7*装备拆分生成表!E$38</f>
        <v>1.6444444444444444</v>
      </c>
      <c r="N11" s="55">
        <f>G7*装备拆分生成表!F$38</f>
        <v>0</v>
      </c>
      <c r="O11" s="52"/>
      <c r="Q11" t="s">
        <v>200</v>
      </c>
      <c r="R11" s="56">
        <f>D16*装备拆分生成表!C$38</f>
        <v>0</v>
      </c>
      <c r="S11" s="56">
        <f>E16*装备拆分生成表!D$38</f>
        <v>1.6444444444444444</v>
      </c>
      <c r="T11" s="56">
        <f>F16*装备拆分生成表!E$38</f>
        <v>3.2888888888888888</v>
      </c>
      <c r="U11" s="56">
        <f>G16*装备拆分生成表!F$38</f>
        <v>0</v>
      </c>
      <c r="X11" t="s">
        <v>200</v>
      </c>
      <c r="Y11" s="55">
        <f>D25*装备拆分生成表!C$38</f>
        <v>0</v>
      </c>
      <c r="Z11" s="55">
        <f>E25*装备拆分生成表!D$38</f>
        <v>2.2611111111111111</v>
      </c>
      <c r="AA11" s="55">
        <f>F25*装备拆分生成表!E$38</f>
        <v>2.2611111111111111</v>
      </c>
      <c r="AB11" s="55">
        <f>G25*装备拆分生成表!F$38</f>
        <v>0</v>
      </c>
      <c r="AE11" t="s">
        <v>200</v>
      </c>
      <c r="AF11" s="55">
        <f>D34*装备拆分生成表!C$38</f>
        <v>0</v>
      </c>
      <c r="AG11" s="55">
        <f>E34*装备拆分生成表!D$38</f>
        <v>2.4666666666666663</v>
      </c>
      <c r="AH11" s="55">
        <f>F34*装备拆分生成表!E$38</f>
        <v>2.4666666666666663</v>
      </c>
      <c r="AI11" s="55">
        <f>G34*装备拆分生成表!F$38</f>
        <v>0</v>
      </c>
    </row>
    <row r="12" spans="2:35">
      <c r="C12" t="s">
        <v>145</v>
      </c>
      <c r="D12">
        <v>0.1</v>
      </c>
      <c r="E12">
        <v>0.4</v>
      </c>
      <c r="J12" t="s">
        <v>201</v>
      </c>
      <c r="K12" s="55">
        <f>D8*装备拆分生成表!C$38</f>
        <v>14.111111111111111</v>
      </c>
      <c r="L12" s="55">
        <f>E8*装备拆分生成表!D$38</f>
        <v>0</v>
      </c>
      <c r="M12" s="55">
        <f>F8*装备拆分生成表!E$38</f>
        <v>0</v>
      </c>
      <c r="N12" s="55">
        <f>G8*装备拆分生成表!F$38</f>
        <v>0</v>
      </c>
      <c r="O12" s="52"/>
      <c r="Q12" t="s">
        <v>201</v>
      </c>
      <c r="R12" s="56">
        <f>D17*装备拆分生成表!C$38</f>
        <v>14.111111111111111</v>
      </c>
      <c r="S12" s="56">
        <f>E17*装备拆分生成表!D$38</f>
        <v>0</v>
      </c>
      <c r="T12" s="56">
        <f>F17*装备拆分生成表!E$38</f>
        <v>0</v>
      </c>
      <c r="U12" s="56">
        <f>G17*装备拆分生成表!F$38</f>
        <v>0</v>
      </c>
      <c r="X12" t="s">
        <v>201</v>
      </c>
      <c r="Y12" s="55">
        <f>D26*装备拆分生成表!C$38</f>
        <v>22.577777777777779</v>
      </c>
      <c r="Z12" s="55">
        <f>E26*装备拆分生成表!D$38</f>
        <v>0</v>
      </c>
      <c r="AA12" s="55">
        <f>F26*装备拆分生成表!E$38</f>
        <v>0</v>
      </c>
      <c r="AB12" s="55">
        <f>G26*装备拆分生成表!F$38</f>
        <v>0</v>
      </c>
      <c r="AE12" t="s">
        <v>201</v>
      </c>
      <c r="AF12" s="55">
        <f>D35*装备拆分生成表!C$38</f>
        <v>14.111111111111111</v>
      </c>
      <c r="AG12" s="55">
        <f>E35*装备拆分生成表!D$38</f>
        <v>0</v>
      </c>
      <c r="AH12" s="55">
        <f>F35*装备拆分生成表!E$38</f>
        <v>0</v>
      </c>
      <c r="AI12" s="55">
        <f>G35*装备拆分生成表!F$38</f>
        <v>0</v>
      </c>
    </row>
    <row r="13" spans="2:35">
      <c r="J13" t="s">
        <v>202</v>
      </c>
      <c r="K13" s="55">
        <f>D9*装备拆分生成表!C$38</f>
        <v>0</v>
      </c>
      <c r="L13" s="55">
        <f>E9*装备拆分生成表!D$38</f>
        <v>0</v>
      </c>
      <c r="M13" s="55">
        <f>F9*装备拆分生成表!E$38</f>
        <v>0</v>
      </c>
      <c r="N13" s="55">
        <f>G9*装备拆分生成表!F$38</f>
        <v>2.6222222222222222</v>
      </c>
      <c r="O13" s="52"/>
      <c r="Q13" t="s">
        <v>202</v>
      </c>
      <c r="R13" s="56">
        <f>D18*装备拆分生成表!C$38</f>
        <v>0</v>
      </c>
      <c r="S13" s="56">
        <f>E18*装备拆分生成表!D$38</f>
        <v>0</v>
      </c>
      <c r="T13" s="56">
        <f>F18*装备拆分生成表!E$38</f>
        <v>0</v>
      </c>
      <c r="U13" s="56">
        <f>G18*装备拆分生成表!F$38</f>
        <v>2.6222222222222222</v>
      </c>
      <c r="X13" t="s">
        <v>202</v>
      </c>
      <c r="Y13" s="55">
        <f>D27*装备拆分生成表!C$38</f>
        <v>0</v>
      </c>
      <c r="Z13" s="55">
        <f>E27*装备拆分生成表!D$38</f>
        <v>0</v>
      </c>
      <c r="AA13" s="55">
        <f>F27*装备拆分生成表!E$38</f>
        <v>0</v>
      </c>
      <c r="AB13" s="55">
        <f>G27*装备拆分生成表!F$38</f>
        <v>3.9333333333333331</v>
      </c>
      <c r="AE13" t="s">
        <v>202</v>
      </c>
      <c r="AF13" s="55">
        <f>D36*装备拆分生成表!C$38</f>
        <v>0</v>
      </c>
      <c r="AG13" s="55">
        <f>E36*装备拆分生成表!D$38</f>
        <v>0</v>
      </c>
      <c r="AH13" s="55">
        <f>F36*装备拆分生成表!E$38</f>
        <v>0</v>
      </c>
      <c r="AI13" s="55">
        <f>G36*装备拆分生成表!F$38</f>
        <v>3.2777777777777777</v>
      </c>
    </row>
    <row r="14" spans="2:35">
      <c r="D14">
        <f>SUM(D16:D21)</f>
        <v>1</v>
      </c>
      <c r="E14">
        <f>SUM(E16:E21)</f>
        <v>0.60000000000000009</v>
      </c>
      <c r="F14">
        <f>SUM(F16:F21)</f>
        <v>1.3</v>
      </c>
      <c r="G14">
        <f>SUM(G16:G21)</f>
        <v>0.7</v>
      </c>
      <c r="H14">
        <f>E14+F14/(G14*D14)</f>
        <v>2.4571428571428573</v>
      </c>
      <c r="J14" t="s">
        <v>203</v>
      </c>
      <c r="K14" s="55">
        <f>D10*装备拆分生成表!C$38</f>
        <v>0</v>
      </c>
      <c r="L14" s="55">
        <f>E10*装备拆分生成表!D$38</f>
        <v>0.41111111111111109</v>
      </c>
      <c r="M14" s="55">
        <f>F10*装备拆分生成表!E$38</f>
        <v>0</v>
      </c>
      <c r="N14" s="55">
        <f>G10*装备拆分生成表!F$38</f>
        <v>1.9666666666666666</v>
      </c>
      <c r="O14" s="52"/>
      <c r="Q14" t="s">
        <v>203</v>
      </c>
      <c r="R14" s="55">
        <f>D19*装备拆分生成表!C$38</f>
        <v>0</v>
      </c>
      <c r="S14" s="55">
        <f>E19*装备拆分生成表!D$38</f>
        <v>0</v>
      </c>
      <c r="T14" s="55">
        <f>F19*装备拆分生成表!E$38</f>
        <v>0.41111111111111109</v>
      </c>
      <c r="U14" s="55">
        <f>G19*装备拆分生成表!F$38</f>
        <v>1.9666666666666666</v>
      </c>
      <c r="X14" t="s">
        <v>203</v>
      </c>
      <c r="Y14" s="55">
        <f>D28*装备拆分生成表!C$38</f>
        <v>0</v>
      </c>
      <c r="Z14" s="55">
        <f>E28*装备拆分生成表!D$38</f>
        <v>0</v>
      </c>
      <c r="AA14" s="55">
        <f>F28*装备拆分生成表!E$38</f>
        <v>0</v>
      </c>
      <c r="AB14" s="55">
        <f>G28*装备拆分生成表!F$38</f>
        <v>2.95</v>
      </c>
      <c r="AE14" t="s">
        <v>203</v>
      </c>
      <c r="AF14" s="55">
        <f>D37*装备拆分生成表!C$38</f>
        <v>0</v>
      </c>
      <c r="AG14" s="55">
        <f>E37*装备拆分生成表!D$38</f>
        <v>0</v>
      </c>
      <c r="AH14" s="55">
        <f>F37*装备拆分生成表!E$38</f>
        <v>0</v>
      </c>
      <c r="AI14" s="55">
        <f>G37*装备拆分生成表!F$38</f>
        <v>1.9666666666666666</v>
      </c>
    </row>
    <row r="15" spans="2:35">
      <c r="B15" t="s">
        <v>151</v>
      </c>
      <c r="D15" t="s">
        <v>148</v>
      </c>
      <c r="E15" t="s">
        <v>147</v>
      </c>
      <c r="F15" t="s">
        <v>146</v>
      </c>
      <c r="G15" t="s">
        <v>149</v>
      </c>
      <c r="J15" t="s">
        <v>204</v>
      </c>
      <c r="K15" s="55">
        <f>D11*装备拆分生成表!C$38</f>
        <v>11.28888888888889</v>
      </c>
      <c r="L15" s="55">
        <f>E11*装备拆分生成表!D$38</f>
        <v>0</v>
      </c>
      <c r="M15" s="55">
        <f>F11*装备拆分生成表!E$38</f>
        <v>0.82222222222222219</v>
      </c>
      <c r="N15" s="55">
        <f>G11*装备拆分生成表!F$38</f>
        <v>0</v>
      </c>
      <c r="O15" s="52"/>
      <c r="Q15" t="s">
        <v>204</v>
      </c>
      <c r="R15" s="55">
        <f>D20*装备拆分生成表!C$38</f>
        <v>11.28888888888889</v>
      </c>
      <c r="S15" s="55">
        <f>E20*装备拆分生成表!D$38</f>
        <v>0.82222222222222219</v>
      </c>
      <c r="T15" s="55">
        <f>F20*装备拆分生成表!E$38</f>
        <v>0</v>
      </c>
      <c r="U15" s="55">
        <f>G20*装备拆分生成表!F$38</f>
        <v>0</v>
      </c>
      <c r="X15" t="s">
        <v>204</v>
      </c>
      <c r="Y15" s="55">
        <f>D29*装备拆分生成表!C$38</f>
        <v>14.111111111111111</v>
      </c>
      <c r="Z15" s="55">
        <f>E29*装备拆分生成表!D$38</f>
        <v>0</v>
      </c>
      <c r="AA15" s="55">
        <f>F29*装备拆分生成表!E$38</f>
        <v>0</v>
      </c>
      <c r="AB15" s="55">
        <f>G29*装备拆分生成表!F$38</f>
        <v>0</v>
      </c>
      <c r="AE15" t="s">
        <v>204</v>
      </c>
      <c r="AF15" s="55">
        <f>D38*装备拆分生成表!C$38</f>
        <v>8.4666666666666668</v>
      </c>
      <c r="AG15" s="55">
        <f>E38*装备拆分生成表!D$38</f>
        <v>0</v>
      </c>
      <c r="AH15" s="55">
        <f>F38*装备拆分生成表!E$38</f>
        <v>0.82222222222222219</v>
      </c>
      <c r="AI15" s="55">
        <f>G38*装备拆分生成表!F$38</f>
        <v>0</v>
      </c>
    </row>
    <row r="16" spans="2:35">
      <c r="C16" t="s">
        <v>140</v>
      </c>
      <c r="E16">
        <v>0.4</v>
      </c>
      <c r="F16">
        <v>0.8</v>
      </c>
      <c r="J16" t="s">
        <v>205</v>
      </c>
      <c r="K16" s="55">
        <f>D12*装备拆分生成表!C$38</f>
        <v>2.8222222222222224</v>
      </c>
      <c r="L16" s="55">
        <f>E12*装备拆分生成表!D$38</f>
        <v>1.6444444444444444</v>
      </c>
      <c r="M16" s="55">
        <f>F12*装备拆分生成表!E$38</f>
        <v>0</v>
      </c>
      <c r="N16" s="55">
        <f>G12*装备拆分生成表!F$38</f>
        <v>0</v>
      </c>
      <c r="O16" s="52"/>
      <c r="Q16" t="s">
        <v>205</v>
      </c>
      <c r="R16" s="55">
        <f>D21*装备拆分生成表!C$38</f>
        <v>2.8222222222222224</v>
      </c>
      <c r="S16" s="55">
        <f>E21*装备拆分生成表!D$38</f>
        <v>0</v>
      </c>
      <c r="T16" s="55">
        <f>F21*装备拆分生成表!E$38</f>
        <v>1.6444444444444444</v>
      </c>
      <c r="U16" s="55">
        <f>G21*装备拆分生成表!F$38</f>
        <v>0</v>
      </c>
      <c r="X16" t="s">
        <v>205</v>
      </c>
      <c r="Y16" s="55">
        <f>D30*装备拆分生成表!C$38</f>
        <v>5.6444444444444448</v>
      </c>
      <c r="Z16" s="55">
        <f>E30*装备拆分生成表!D$38</f>
        <v>0</v>
      </c>
      <c r="AA16" s="55">
        <f>F30*装备拆分生成表!E$38</f>
        <v>0</v>
      </c>
      <c r="AB16" s="55">
        <f>G30*装备拆分生成表!F$38</f>
        <v>0.65555555555555556</v>
      </c>
      <c r="AE16" t="s">
        <v>205</v>
      </c>
      <c r="AF16" s="55">
        <f>D39*装备拆分生成表!C$38</f>
        <v>5.6444444444444448</v>
      </c>
      <c r="AG16" s="55">
        <f>E39*装备拆分生成表!D$38</f>
        <v>0</v>
      </c>
      <c r="AH16" s="55">
        <f>F39*装备拆分生成表!E$38</f>
        <v>0</v>
      </c>
      <c r="AI16" s="55">
        <f>G39*装备拆分生成表!F$38</f>
        <v>1.9666666666666666</v>
      </c>
    </row>
    <row r="17" spans="2:35">
      <c r="C17" t="s">
        <v>141</v>
      </c>
      <c r="D17">
        <v>0.5</v>
      </c>
      <c r="K17" s="55"/>
      <c r="L17" s="55"/>
      <c r="M17" s="55"/>
      <c r="N17" s="55"/>
      <c r="O17" s="52"/>
      <c r="R17" s="55"/>
      <c r="S17" s="55"/>
      <c r="T17" s="55"/>
      <c r="U17" s="55"/>
      <c r="Y17" s="55"/>
      <c r="Z17" s="55"/>
      <c r="AA17" s="55"/>
      <c r="AB17" s="55"/>
      <c r="AF17" s="55"/>
      <c r="AG17" s="55"/>
      <c r="AH17" s="55"/>
      <c r="AI17" s="55"/>
    </row>
    <row r="18" spans="2:35">
      <c r="C18" t="s">
        <v>142</v>
      </c>
      <c r="G18">
        <v>0.4</v>
      </c>
      <c r="K18" s="55"/>
      <c r="L18" s="55"/>
      <c r="M18" s="55"/>
      <c r="N18" s="55"/>
      <c r="O18" s="52"/>
      <c r="R18" s="55"/>
      <c r="S18" s="55"/>
      <c r="T18" s="55"/>
      <c r="U18" s="55"/>
      <c r="Y18" s="55"/>
      <c r="Z18" s="55"/>
      <c r="AA18" s="55"/>
      <c r="AB18" s="55"/>
      <c r="AF18" s="55"/>
      <c r="AG18" s="55"/>
      <c r="AH18" s="55"/>
      <c r="AI18" s="55"/>
    </row>
    <row r="19" spans="2:35">
      <c r="C19" t="s">
        <v>143</v>
      </c>
      <c r="F19">
        <v>0.1</v>
      </c>
      <c r="G19">
        <v>0.3</v>
      </c>
      <c r="J19" t="s">
        <v>206</v>
      </c>
      <c r="K19" s="55">
        <f>D7*装备拆分生成表!C$50</f>
        <v>0</v>
      </c>
      <c r="L19" s="55">
        <f>E7*装备拆分生成表!D$50</f>
        <v>4.8888888888888893</v>
      </c>
      <c r="M19" s="55">
        <f>F7*装备拆分生成表!E$50</f>
        <v>2.4444444444444446</v>
      </c>
      <c r="N19" s="55">
        <f>G7*装备拆分生成表!F$50</f>
        <v>0</v>
      </c>
      <c r="O19" s="52"/>
      <c r="Q19" t="s">
        <v>206</v>
      </c>
      <c r="R19" s="55">
        <f>D16*装备拆分生成表!C$50</f>
        <v>0</v>
      </c>
      <c r="S19" s="55">
        <f>E16*装备拆分生成表!D$50</f>
        <v>2.4444444444444446</v>
      </c>
      <c r="T19" s="55">
        <f>F16*装备拆分生成表!E$50</f>
        <v>4.8888888888888893</v>
      </c>
      <c r="U19" s="55">
        <f>G16*装备拆分生成表!F$50</f>
        <v>0</v>
      </c>
      <c r="X19" t="s">
        <v>206</v>
      </c>
      <c r="Y19" s="55">
        <f>D25*装备拆分生成表!C$50</f>
        <v>0</v>
      </c>
      <c r="Z19" s="55">
        <f>E25*装备拆分生成表!D$50</f>
        <v>3.3611111111111112</v>
      </c>
      <c r="AA19" s="55">
        <f>F25*装备拆分生成表!E$50</f>
        <v>3.3611111111111112</v>
      </c>
      <c r="AB19" s="55">
        <f>G25*装备拆分生成表!F$50</f>
        <v>0</v>
      </c>
      <c r="AE19" t="s">
        <v>206</v>
      </c>
      <c r="AF19" s="55">
        <f>D34*装备拆分生成表!C$50</f>
        <v>0</v>
      </c>
      <c r="AG19" s="55">
        <f>E34*装备拆分生成表!D$50</f>
        <v>3.6666666666666661</v>
      </c>
      <c r="AH19" s="55">
        <f>F34*装备拆分生成表!E$50</f>
        <v>3.6666666666666661</v>
      </c>
      <c r="AI19" s="55">
        <f>G34*装备拆分生成表!F$50</f>
        <v>0</v>
      </c>
    </row>
    <row r="20" spans="2:35">
      <c r="C20" t="s">
        <v>144</v>
      </c>
      <c r="D20">
        <v>0.4</v>
      </c>
      <c r="E20">
        <v>0.2</v>
      </c>
      <c r="J20" t="s">
        <v>207</v>
      </c>
      <c r="K20" s="55">
        <f>D8*装备拆分生成表!C$50</f>
        <v>21.222222222222221</v>
      </c>
      <c r="L20" s="55">
        <f>E8*装备拆分生成表!D$50</f>
        <v>0</v>
      </c>
      <c r="M20" s="55">
        <f>F8*装备拆分生成表!E$50</f>
        <v>0</v>
      </c>
      <c r="N20" s="55">
        <f>G8*装备拆分生成表!F$50</f>
        <v>0</v>
      </c>
      <c r="O20" s="52"/>
      <c r="Q20" t="s">
        <v>207</v>
      </c>
      <c r="R20" s="55">
        <f>D17*装备拆分生成表!C$50</f>
        <v>21.222222222222221</v>
      </c>
      <c r="S20" s="55">
        <f>E17*装备拆分生成表!D$50</f>
        <v>0</v>
      </c>
      <c r="T20" s="55">
        <f>F17*装备拆分生成表!E$50</f>
        <v>0</v>
      </c>
      <c r="U20" s="55">
        <f>G17*装备拆分生成表!F$50</f>
        <v>0</v>
      </c>
      <c r="X20" t="s">
        <v>207</v>
      </c>
      <c r="Y20" s="55">
        <f>D26*装备拆分生成表!C$50</f>
        <v>33.955555555555556</v>
      </c>
      <c r="Z20" s="55">
        <f>E26*装备拆分生成表!D$50</f>
        <v>0</v>
      </c>
      <c r="AA20" s="55">
        <f>F26*装备拆分生成表!E$50</f>
        <v>0</v>
      </c>
      <c r="AB20" s="55">
        <f>G26*装备拆分生成表!F$50</f>
        <v>0</v>
      </c>
      <c r="AE20" t="s">
        <v>207</v>
      </c>
      <c r="AF20" s="55">
        <f>D35*装备拆分生成表!C$50</f>
        <v>21.222222222222221</v>
      </c>
      <c r="AG20" s="55">
        <f>E35*装备拆分生成表!D$50</f>
        <v>0</v>
      </c>
      <c r="AH20" s="55">
        <f>F35*装备拆分生成表!E$50</f>
        <v>0</v>
      </c>
      <c r="AI20" s="55">
        <f>G35*装备拆分生成表!F$50</f>
        <v>0</v>
      </c>
    </row>
    <row r="21" spans="2:35">
      <c r="C21" t="s">
        <v>145</v>
      </c>
      <c r="D21">
        <v>0.1</v>
      </c>
      <c r="F21">
        <v>0.4</v>
      </c>
      <c r="J21" t="s">
        <v>208</v>
      </c>
      <c r="K21" s="55">
        <f>D9*装备拆分生成表!C$50</f>
        <v>0</v>
      </c>
      <c r="L21" s="55">
        <f>E9*装备拆分生成表!D$50</f>
        <v>0</v>
      </c>
      <c r="M21" s="55">
        <f>F9*装备拆分生成表!E$50</f>
        <v>0</v>
      </c>
      <c r="N21" s="55">
        <f>G9*装备拆分生成表!F$50</f>
        <v>4</v>
      </c>
      <c r="O21" s="52"/>
      <c r="Q21" t="s">
        <v>208</v>
      </c>
      <c r="R21" s="55">
        <f>D18*装备拆分生成表!C$50</f>
        <v>0</v>
      </c>
      <c r="S21" s="55">
        <f>E18*装备拆分生成表!D$50</f>
        <v>0</v>
      </c>
      <c r="T21" s="55">
        <f>F18*装备拆分生成表!E$50</f>
        <v>0</v>
      </c>
      <c r="U21" s="55">
        <f>G18*装备拆分生成表!F$50</f>
        <v>4</v>
      </c>
      <c r="X21" t="s">
        <v>208</v>
      </c>
      <c r="Y21" s="55">
        <f>D27*装备拆分生成表!C$50</f>
        <v>0</v>
      </c>
      <c r="Z21" s="55">
        <f>E27*装备拆分生成表!D$50</f>
        <v>0</v>
      </c>
      <c r="AA21" s="55">
        <f>F27*装备拆分生成表!E$50</f>
        <v>0</v>
      </c>
      <c r="AB21" s="55">
        <f>G27*装备拆分生成表!F$50</f>
        <v>6</v>
      </c>
      <c r="AE21" t="s">
        <v>208</v>
      </c>
      <c r="AF21" s="55">
        <f>D36*装备拆分生成表!C$50</f>
        <v>0</v>
      </c>
      <c r="AG21" s="55">
        <f>E36*装备拆分生成表!D$50</f>
        <v>0</v>
      </c>
      <c r="AH21" s="55">
        <f>F36*装备拆分生成表!E$50</f>
        <v>0</v>
      </c>
      <c r="AI21" s="55">
        <f>G36*装备拆分生成表!F$50</f>
        <v>5</v>
      </c>
    </row>
    <row r="22" spans="2:35">
      <c r="J22" t="s">
        <v>209</v>
      </c>
      <c r="K22" s="55">
        <f>D10*装备拆分生成表!C$50</f>
        <v>0</v>
      </c>
      <c r="L22" s="55">
        <f>E10*装备拆分生成表!D$50</f>
        <v>0.61111111111111116</v>
      </c>
      <c r="M22" s="55">
        <f>F10*装备拆分生成表!E$50</f>
        <v>0</v>
      </c>
      <c r="N22" s="55">
        <f>G10*装备拆分生成表!F$50</f>
        <v>3</v>
      </c>
      <c r="O22" s="52"/>
      <c r="Q22" t="s">
        <v>209</v>
      </c>
      <c r="R22" s="55">
        <f>D19*装备拆分生成表!C$50</f>
        <v>0</v>
      </c>
      <c r="S22" s="55">
        <f>E19*装备拆分生成表!D$50</f>
        <v>0</v>
      </c>
      <c r="T22" s="55">
        <f>F19*装备拆分生成表!E$50</f>
        <v>0.61111111111111116</v>
      </c>
      <c r="U22" s="55">
        <f>G19*装备拆分生成表!F$50</f>
        <v>3</v>
      </c>
      <c r="X22" t="s">
        <v>209</v>
      </c>
      <c r="Y22" s="55">
        <f>D28*装备拆分生成表!C$50</f>
        <v>0</v>
      </c>
      <c r="Z22" s="55">
        <f>E28*装备拆分生成表!D$50</f>
        <v>0</v>
      </c>
      <c r="AA22" s="55">
        <f>F28*装备拆分生成表!E$50</f>
        <v>0</v>
      </c>
      <c r="AB22" s="55">
        <f>G28*装备拆分生成表!F$50</f>
        <v>4.5</v>
      </c>
      <c r="AE22" t="s">
        <v>209</v>
      </c>
      <c r="AF22" s="55">
        <f>D37*装备拆分生成表!C$50</f>
        <v>0</v>
      </c>
      <c r="AG22" s="55">
        <f>E37*装备拆分生成表!D$50</f>
        <v>0</v>
      </c>
      <c r="AH22" s="55">
        <f>F37*装备拆分生成表!E$50</f>
        <v>0</v>
      </c>
      <c r="AI22" s="55">
        <f>G37*装备拆分生成表!F$50</f>
        <v>3</v>
      </c>
    </row>
    <row r="23" spans="2:35">
      <c r="D23">
        <f>SUM(D25:D30)</f>
        <v>1.5</v>
      </c>
      <c r="E23">
        <f>SUM(E25:E30)</f>
        <v>0.55000000000000004</v>
      </c>
      <c r="F23">
        <f>SUM(F25:F30)</f>
        <v>0.55000000000000004</v>
      </c>
      <c r="G23">
        <f>SUM(G25:G30)</f>
        <v>1.1500000000000001</v>
      </c>
      <c r="H23">
        <f>E23+F23/(G23*D23)</f>
        <v>0.86884057971014506</v>
      </c>
      <c r="J23" t="s">
        <v>210</v>
      </c>
      <c r="K23" s="55">
        <f>D11*装备拆分生成表!C$50</f>
        <v>16.977777777777778</v>
      </c>
      <c r="L23" s="55">
        <f>E11*装备拆分生成表!D$50</f>
        <v>0</v>
      </c>
      <c r="M23" s="55">
        <f>F11*装备拆分生成表!E$50</f>
        <v>1.2222222222222223</v>
      </c>
      <c r="N23" s="55">
        <f>G11*装备拆分生成表!F$50</f>
        <v>0</v>
      </c>
      <c r="O23" s="52"/>
      <c r="Q23" t="s">
        <v>210</v>
      </c>
      <c r="R23" s="55">
        <f>D20*装备拆分生成表!C$50</f>
        <v>16.977777777777778</v>
      </c>
      <c r="S23" s="55">
        <f>E20*装备拆分生成表!D$50</f>
        <v>1.2222222222222223</v>
      </c>
      <c r="T23" s="55">
        <f>F20*装备拆分生成表!E$50</f>
        <v>0</v>
      </c>
      <c r="U23" s="55">
        <f>G20*装备拆分生成表!F$50</f>
        <v>0</v>
      </c>
      <c r="X23" t="s">
        <v>210</v>
      </c>
      <c r="Y23" s="55">
        <f>D29*装备拆分生成表!C$50</f>
        <v>21.222222222222221</v>
      </c>
      <c r="Z23" s="55">
        <f>E29*装备拆分生成表!D$50</f>
        <v>0</v>
      </c>
      <c r="AA23" s="55">
        <f>F29*装备拆分生成表!E$50</f>
        <v>0</v>
      </c>
      <c r="AB23" s="55">
        <f>G29*装备拆分生成表!F$50</f>
        <v>0</v>
      </c>
      <c r="AE23" t="s">
        <v>210</v>
      </c>
      <c r="AF23" s="55">
        <f>D38*装备拆分生成表!C$50</f>
        <v>12.733333333333333</v>
      </c>
      <c r="AG23" s="55">
        <f>E38*装备拆分生成表!D$50</f>
        <v>0</v>
      </c>
      <c r="AH23" s="55">
        <f>F38*装备拆分生成表!E$50</f>
        <v>1.2222222222222223</v>
      </c>
      <c r="AI23" s="55">
        <f>G38*装备拆分生成表!F$50</f>
        <v>0</v>
      </c>
    </row>
    <row r="24" spans="2:35">
      <c r="B24" t="s">
        <v>169</v>
      </c>
      <c r="D24" t="s">
        <v>148</v>
      </c>
      <c r="E24" t="s">
        <v>147</v>
      </c>
      <c r="F24" t="s">
        <v>146</v>
      </c>
      <c r="G24" t="s">
        <v>149</v>
      </c>
      <c r="J24" t="s">
        <v>211</v>
      </c>
      <c r="K24" s="55">
        <f>D12*装备拆分生成表!C$50</f>
        <v>4.2444444444444445</v>
      </c>
      <c r="L24" s="55">
        <f>E12*装备拆分生成表!D$50</f>
        <v>2.4444444444444446</v>
      </c>
      <c r="M24" s="55">
        <f>F12*装备拆分生成表!E$50</f>
        <v>0</v>
      </c>
      <c r="N24" s="55">
        <f>G12*装备拆分生成表!F$50</f>
        <v>0</v>
      </c>
      <c r="O24" s="52"/>
      <c r="Q24" t="s">
        <v>211</v>
      </c>
      <c r="R24" s="55">
        <f>D21*装备拆分生成表!C$50</f>
        <v>4.2444444444444445</v>
      </c>
      <c r="S24" s="55">
        <f>E21*装备拆分生成表!D$50</f>
        <v>0</v>
      </c>
      <c r="T24" s="55">
        <f>F21*装备拆分生成表!E$50</f>
        <v>2.4444444444444446</v>
      </c>
      <c r="U24" s="55">
        <f>G21*装备拆分生成表!F$50</f>
        <v>0</v>
      </c>
      <c r="X24" t="s">
        <v>211</v>
      </c>
      <c r="Y24" s="55">
        <f>D30*装备拆分生成表!C$50</f>
        <v>8.4888888888888889</v>
      </c>
      <c r="Z24" s="55">
        <f>E30*装备拆分生成表!D$50</f>
        <v>0</v>
      </c>
      <c r="AA24" s="55">
        <f>F30*装备拆分生成表!E$50</f>
        <v>0</v>
      </c>
      <c r="AB24" s="55">
        <f>G30*装备拆分生成表!F$50</f>
        <v>1</v>
      </c>
      <c r="AE24" t="s">
        <v>211</v>
      </c>
      <c r="AF24" s="55">
        <f>D39*装备拆分生成表!C$50</f>
        <v>8.4888888888888889</v>
      </c>
      <c r="AG24" s="55">
        <f>E39*装备拆分生成表!D$50</f>
        <v>0</v>
      </c>
      <c r="AH24" s="55">
        <f>F39*装备拆分生成表!E$50</f>
        <v>0</v>
      </c>
      <c r="AI24" s="55">
        <f>G39*装备拆分生成表!F$50</f>
        <v>3</v>
      </c>
    </row>
    <row r="25" spans="2:35">
      <c r="C25" t="s">
        <v>140</v>
      </c>
      <c r="E25">
        <v>0.55000000000000004</v>
      </c>
      <c r="F25">
        <v>0.55000000000000004</v>
      </c>
      <c r="K25" s="55"/>
      <c r="L25" s="55"/>
      <c r="M25" s="55"/>
      <c r="N25" s="55"/>
      <c r="O25" s="52"/>
      <c r="R25" s="55"/>
      <c r="S25" s="55"/>
      <c r="T25" s="55"/>
      <c r="U25" s="55"/>
      <c r="Y25" s="55"/>
      <c r="Z25" s="55"/>
      <c r="AA25" s="55"/>
      <c r="AB25" s="55"/>
      <c r="AF25" s="55"/>
      <c r="AG25" s="55"/>
      <c r="AH25" s="55"/>
      <c r="AI25" s="55"/>
    </row>
    <row r="26" spans="2:35">
      <c r="C26" t="s">
        <v>141</v>
      </c>
      <c r="D26">
        <v>0.8</v>
      </c>
      <c r="K26" s="55"/>
      <c r="L26" s="55"/>
      <c r="M26" s="55"/>
      <c r="N26" s="55"/>
      <c r="O26" s="52"/>
      <c r="R26" s="55"/>
      <c r="S26" s="55"/>
      <c r="T26" s="55"/>
      <c r="U26" s="55"/>
      <c r="Y26" s="55"/>
      <c r="Z26" s="55"/>
      <c r="AA26" s="55"/>
      <c r="AB26" s="55"/>
      <c r="AF26" s="55"/>
      <c r="AG26" s="55"/>
      <c r="AH26" s="55"/>
      <c r="AI26" s="55"/>
    </row>
    <row r="27" spans="2:35">
      <c r="C27" t="s">
        <v>142</v>
      </c>
      <c r="G27">
        <v>0.6</v>
      </c>
      <c r="J27" t="s">
        <v>212</v>
      </c>
      <c r="K27" s="55">
        <f>D7*装备拆分生成表!C$62</f>
        <v>0</v>
      </c>
      <c r="L27" s="55">
        <f>E7*装备拆分生成表!D$62</f>
        <v>10.577777777777778</v>
      </c>
      <c r="M27" s="55">
        <f>F7*装备拆分生成表!E$62</f>
        <v>5.2888888888888888</v>
      </c>
      <c r="N27" s="55">
        <f>G7*装备拆分生成表!F$62</f>
        <v>0</v>
      </c>
      <c r="O27" s="52"/>
      <c r="Q27" t="s">
        <v>212</v>
      </c>
      <c r="R27" s="55">
        <f>D16*装备拆分生成表!C$62</f>
        <v>0</v>
      </c>
      <c r="S27" s="55">
        <f>E16*装备拆分生成表!D$62</f>
        <v>5.2888888888888888</v>
      </c>
      <c r="T27" s="55">
        <f>F16*装备拆分生成表!E$62</f>
        <v>10.577777777777778</v>
      </c>
      <c r="U27" s="55">
        <f>G16*装备拆分生成表!F$62</f>
        <v>0</v>
      </c>
      <c r="X27" t="s">
        <v>212</v>
      </c>
      <c r="Y27" s="55">
        <f>D25*装备拆分生成表!C$62</f>
        <v>0</v>
      </c>
      <c r="Z27" s="55">
        <f>E25*装备拆分生成表!D$62</f>
        <v>7.2722222222222221</v>
      </c>
      <c r="AA27" s="55">
        <f>F25*装备拆分生成表!E$62</f>
        <v>7.2722222222222221</v>
      </c>
      <c r="AB27" s="55">
        <f>G25*装备拆分生成表!F$62</f>
        <v>0</v>
      </c>
      <c r="AE27" t="s">
        <v>212</v>
      </c>
      <c r="AF27" s="55">
        <f>D34*装备拆分生成表!C$62</f>
        <v>0</v>
      </c>
      <c r="AG27" s="55">
        <f>E34*装备拆分生成表!D$62</f>
        <v>7.9333333333333327</v>
      </c>
      <c r="AH27" s="55">
        <f>F34*装备拆分生成表!E$62</f>
        <v>7.9333333333333327</v>
      </c>
      <c r="AI27" s="55">
        <f>G34*装备拆分生成表!F$62</f>
        <v>0</v>
      </c>
    </row>
    <row r="28" spans="2:35">
      <c r="C28" t="s">
        <v>143</v>
      </c>
      <c r="G28">
        <v>0.45</v>
      </c>
      <c r="J28" t="s">
        <v>213</v>
      </c>
      <c r="K28" s="55">
        <f>D8*装备拆分生成表!C$62</f>
        <v>46</v>
      </c>
      <c r="L28" s="55">
        <f>E8*装备拆分生成表!D$62</f>
        <v>0</v>
      </c>
      <c r="M28" s="55">
        <f>F8*装备拆分生成表!E$62</f>
        <v>0</v>
      </c>
      <c r="N28" s="55">
        <f>G8*装备拆分生成表!F$62</f>
        <v>0</v>
      </c>
      <c r="O28" s="52"/>
      <c r="Q28" t="s">
        <v>213</v>
      </c>
      <c r="R28" s="55">
        <f>D17*装备拆分生成表!C$62</f>
        <v>46</v>
      </c>
      <c r="S28" s="55">
        <f>E17*装备拆分生成表!D$62</f>
        <v>0</v>
      </c>
      <c r="T28" s="55">
        <f>F17*装备拆分生成表!E$62</f>
        <v>0</v>
      </c>
      <c r="U28" s="55">
        <f>G17*装备拆分生成表!F$62</f>
        <v>0</v>
      </c>
      <c r="X28" t="s">
        <v>213</v>
      </c>
      <c r="Y28" s="55">
        <f>D26*装备拆分生成表!C$62</f>
        <v>73.600000000000009</v>
      </c>
      <c r="Z28" s="55">
        <f>E26*装备拆分生成表!D$62</f>
        <v>0</v>
      </c>
      <c r="AA28" s="55">
        <f>F26*装备拆分生成表!E$62</f>
        <v>0</v>
      </c>
      <c r="AB28" s="55">
        <f>G26*装备拆分生成表!F$62</f>
        <v>0</v>
      </c>
      <c r="AE28" t="s">
        <v>213</v>
      </c>
      <c r="AF28" s="55">
        <f>D35*装备拆分生成表!C$62</f>
        <v>46</v>
      </c>
      <c r="AG28" s="55">
        <f>E35*装备拆分生成表!D$62</f>
        <v>0</v>
      </c>
      <c r="AH28" s="55">
        <f>F35*装备拆分生成表!E$62</f>
        <v>0</v>
      </c>
      <c r="AI28" s="55">
        <f>G35*装备拆分生成表!F$62</f>
        <v>0</v>
      </c>
    </row>
    <row r="29" spans="2:35">
      <c r="C29" t="s">
        <v>144</v>
      </c>
      <c r="D29">
        <v>0.5</v>
      </c>
      <c r="J29" t="s">
        <v>214</v>
      </c>
      <c r="K29" s="55">
        <f>D9*装备拆分生成表!C$62</f>
        <v>0</v>
      </c>
      <c r="L29" s="55">
        <f>E9*装备拆分生成表!D$62</f>
        <v>0</v>
      </c>
      <c r="M29" s="55">
        <f>F9*装备拆分生成表!E$62</f>
        <v>0</v>
      </c>
      <c r="N29" s="55">
        <f>G9*装备拆分生成表!F$62</f>
        <v>8.6222222222222236</v>
      </c>
      <c r="O29" s="52"/>
      <c r="Q29" t="s">
        <v>214</v>
      </c>
      <c r="R29" s="55">
        <f>D18*装备拆分生成表!C$62</f>
        <v>0</v>
      </c>
      <c r="S29" s="55">
        <f>E18*装备拆分生成表!D$62</f>
        <v>0</v>
      </c>
      <c r="T29" s="55">
        <f>F18*装备拆分生成表!E$62</f>
        <v>0</v>
      </c>
      <c r="U29" s="55">
        <f>G18*装备拆分生成表!F$62</f>
        <v>8.6222222222222236</v>
      </c>
      <c r="X29" t="s">
        <v>214</v>
      </c>
      <c r="Y29" s="55">
        <f>D27*装备拆分生成表!C$62</f>
        <v>0</v>
      </c>
      <c r="Z29" s="55">
        <f>E27*装备拆分生成表!D$62</f>
        <v>0</v>
      </c>
      <c r="AA29" s="55">
        <f>F27*装备拆分生成表!E$62</f>
        <v>0</v>
      </c>
      <c r="AB29" s="55">
        <f>G27*装备拆分生成表!F$62</f>
        <v>12.933333333333334</v>
      </c>
      <c r="AE29" t="s">
        <v>214</v>
      </c>
      <c r="AF29" s="55">
        <f>D36*装备拆分生成表!C$62</f>
        <v>0</v>
      </c>
      <c r="AG29" s="55">
        <f>E36*装备拆分生成表!D$62</f>
        <v>0</v>
      </c>
      <c r="AH29" s="55">
        <f>F36*装备拆分生成表!E$62</f>
        <v>0</v>
      </c>
      <c r="AI29" s="55">
        <f>G36*装备拆分生成表!F$62</f>
        <v>10.777777777777779</v>
      </c>
    </row>
    <row r="30" spans="2:35">
      <c r="C30" t="s">
        <v>145</v>
      </c>
      <c r="D30">
        <v>0.2</v>
      </c>
      <c r="G30">
        <v>0.1</v>
      </c>
      <c r="J30" t="s">
        <v>215</v>
      </c>
      <c r="K30" s="55">
        <f>D10*装备拆分生成表!C$62</f>
        <v>0</v>
      </c>
      <c r="L30" s="55">
        <f>E10*装备拆分生成表!D$62</f>
        <v>1.3222222222222222</v>
      </c>
      <c r="M30" s="55">
        <f>F10*装备拆分生成表!E$62</f>
        <v>0</v>
      </c>
      <c r="N30" s="55">
        <f>G10*装备拆分生成表!F$62</f>
        <v>6.4666666666666668</v>
      </c>
      <c r="O30" s="52"/>
      <c r="Q30" t="s">
        <v>215</v>
      </c>
      <c r="R30" s="55">
        <f>D19*装备拆分生成表!C$62</f>
        <v>0</v>
      </c>
      <c r="S30" s="55">
        <f>E19*装备拆分生成表!D$62</f>
        <v>0</v>
      </c>
      <c r="T30" s="55">
        <f>F19*装备拆分生成表!E$62</f>
        <v>1.3222222222222222</v>
      </c>
      <c r="U30" s="55">
        <f>G19*装备拆分生成表!F$62</f>
        <v>6.4666666666666668</v>
      </c>
      <c r="X30" t="s">
        <v>215</v>
      </c>
      <c r="Y30" s="55">
        <f>D28*装备拆分生成表!C$62</f>
        <v>0</v>
      </c>
      <c r="Z30" s="55">
        <f>E28*装备拆分生成表!D$62</f>
        <v>0</v>
      </c>
      <c r="AA30" s="55">
        <f>F28*装备拆分生成表!E$62</f>
        <v>0</v>
      </c>
      <c r="AB30" s="55">
        <f>G28*装备拆分生成表!F$62</f>
        <v>9.7000000000000011</v>
      </c>
      <c r="AE30" t="s">
        <v>215</v>
      </c>
      <c r="AF30" s="55">
        <f>D37*装备拆分生成表!C$62</f>
        <v>0</v>
      </c>
      <c r="AG30" s="55">
        <f>E37*装备拆分生成表!D$62</f>
        <v>0</v>
      </c>
      <c r="AH30" s="55">
        <f>F37*装备拆分生成表!E$62</f>
        <v>0</v>
      </c>
      <c r="AI30" s="55">
        <f>G37*装备拆分生成表!F$62</f>
        <v>6.4666666666666668</v>
      </c>
    </row>
    <row r="31" spans="2:35">
      <c r="J31" t="s">
        <v>216</v>
      </c>
      <c r="K31" s="55">
        <f>D11*装备拆分生成表!C$62</f>
        <v>36.800000000000004</v>
      </c>
      <c r="L31" s="55">
        <f>E11*装备拆分生成表!D$62</f>
        <v>0</v>
      </c>
      <c r="M31" s="55">
        <f>F11*装备拆分生成表!E$62</f>
        <v>2.6444444444444444</v>
      </c>
      <c r="N31" s="55">
        <f>G11*装备拆分生成表!F$62</f>
        <v>0</v>
      </c>
      <c r="O31" s="52"/>
      <c r="Q31" t="s">
        <v>216</v>
      </c>
      <c r="R31" s="55">
        <f>D20*装备拆分生成表!C$62</f>
        <v>36.800000000000004</v>
      </c>
      <c r="S31" s="55">
        <f>E20*装备拆分生成表!D$62</f>
        <v>2.6444444444444444</v>
      </c>
      <c r="T31" s="55">
        <f>F20*装备拆分生成表!E$62</f>
        <v>0</v>
      </c>
      <c r="U31" s="55">
        <f>G20*装备拆分生成表!F$62</f>
        <v>0</v>
      </c>
      <c r="X31" t="s">
        <v>216</v>
      </c>
      <c r="Y31" s="55">
        <f>D29*装备拆分生成表!C$62</f>
        <v>46</v>
      </c>
      <c r="Z31" s="55">
        <f>E29*装备拆分生成表!D$62</f>
        <v>0</v>
      </c>
      <c r="AA31" s="55">
        <f>F29*装备拆分生成表!E$62</f>
        <v>0</v>
      </c>
      <c r="AB31" s="55">
        <f>G29*装备拆分生成表!F$62</f>
        <v>0</v>
      </c>
      <c r="AE31" t="s">
        <v>216</v>
      </c>
      <c r="AF31" s="55">
        <f>D38*装备拆分生成表!C$62</f>
        <v>27.599999999999998</v>
      </c>
      <c r="AG31" s="55">
        <f>E38*装备拆分生成表!D$62</f>
        <v>0</v>
      </c>
      <c r="AH31" s="55">
        <f>F38*装备拆分生成表!E$62</f>
        <v>2.6444444444444444</v>
      </c>
      <c r="AI31" s="55">
        <f>G38*装备拆分生成表!F$62</f>
        <v>0</v>
      </c>
    </row>
    <row r="32" spans="2:35">
      <c r="D32">
        <f>SUM(D34:D39)</f>
        <v>1</v>
      </c>
      <c r="E32">
        <f>SUM(E34:E39)</f>
        <v>0.6</v>
      </c>
      <c r="F32">
        <f>SUM(F34:F39)</f>
        <v>0.8</v>
      </c>
      <c r="G32">
        <f>SUM(G34:G39)</f>
        <v>1.1000000000000001</v>
      </c>
      <c r="H32">
        <f>E32+F32/(G32*D32)</f>
        <v>1.3272727272727272</v>
      </c>
      <c r="J32" t="s">
        <v>217</v>
      </c>
      <c r="K32" s="55">
        <f>D12*装备拆分生成表!C$62</f>
        <v>9.2000000000000011</v>
      </c>
      <c r="L32" s="55">
        <f>E12*装备拆分生成表!D$62</f>
        <v>5.2888888888888888</v>
      </c>
      <c r="M32" s="55">
        <f>F12*装备拆分生成表!E$62</f>
        <v>0</v>
      </c>
      <c r="N32" s="55">
        <f>G12*装备拆分生成表!F$62</f>
        <v>0</v>
      </c>
      <c r="O32" s="52"/>
      <c r="Q32" t="s">
        <v>217</v>
      </c>
      <c r="R32" s="55">
        <f>D21*装备拆分生成表!C$62</f>
        <v>9.2000000000000011</v>
      </c>
      <c r="S32" s="55">
        <f>E21*装备拆分生成表!D$62</f>
        <v>0</v>
      </c>
      <c r="T32" s="55">
        <f>F21*装备拆分生成表!E$62</f>
        <v>5.2888888888888888</v>
      </c>
      <c r="U32" s="55">
        <f>G21*装备拆分生成表!F$62</f>
        <v>0</v>
      </c>
      <c r="X32" t="s">
        <v>217</v>
      </c>
      <c r="Y32" s="55">
        <f>D30*装备拆分生成表!C$62</f>
        <v>18.400000000000002</v>
      </c>
      <c r="Z32" s="55">
        <f>E30*装备拆分生成表!D$62</f>
        <v>0</v>
      </c>
      <c r="AA32" s="55">
        <f>F30*装备拆分生成表!E$62</f>
        <v>0</v>
      </c>
      <c r="AB32" s="55">
        <f>G30*装备拆分生成表!F$62</f>
        <v>2.1555555555555559</v>
      </c>
      <c r="AE32" t="s">
        <v>217</v>
      </c>
      <c r="AF32" s="55">
        <f>D39*装备拆分生成表!C$62</f>
        <v>18.400000000000002</v>
      </c>
      <c r="AG32" s="55">
        <f>E39*装备拆分生成表!D$62</f>
        <v>0</v>
      </c>
      <c r="AH32" s="55">
        <f>F39*装备拆分生成表!E$62</f>
        <v>0</v>
      </c>
      <c r="AI32" s="55">
        <f>G39*装备拆分生成表!F$62</f>
        <v>6.4666666666666668</v>
      </c>
    </row>
    <row r="33" spans="2:35">
      <c r="B33" t="s">
        <v>168</v>
      </c>
      <c r="D33" t="s">
        <v>148</v>
      </c>
      <c r="E33" t="s">
        <v>147</v>
      </c>
      <c r="F33" t="s">
        <v>146</v>
      </c>
      <c r="G33" t="s">
        <v>149</v>
      </c>
      <c r="K33" s="55"/>
      <c r="L33" s="55"/>
      <c r="M33" s="55"/>
      <c r="N33" s="55"/>
      <c r="O33" s="52"/>
      <c r="R33" s="55"/>
      <c r="S33" s="55"/>
      <c r="T33" s="55"/>
      <c r="U33" s="55"/>
      <c r="Y33" s="55"/>
      <c r="Z33" s="55"/>
      <c r="AA33" s="55"/>
      <c r="AB33" s="55"/>
      <c r="AF33" s="55"/>
      <c r="AG33" s="55"/>
      <c r="AH33" s="55"/>
      <c r="AI33" s="55"/>
    </row>
    <row r="34" spans="2:35">
      <c r="C34" t="s">
        <v>140</v>
      </c>
      <c r="E34">
        <v>0.6</v>
      </c>
      <c r="F34">
        <v>0.6</v>
      </c>
      <c r="K34" s="55"/>
      <c r="L34" s="55"/>
      <c r="M34" s="55"/>
      <c r="N34" s="55"/>
      <c r="O34" s="52"/>
      <c r="R34" s="55"/>
      <c r="S34" s="55"/>
      <c r="T34" s="55"/>
      <c r="U34" s="55"/>
      <c r="Y34" s="55"/>
      <c r="Z34" s="55"/>
      <c r="AA34" s="55"/>
      <c r="AB34" s="55"/>
      <c r="AF34" s="55"/>
      <c r="AG34" s="55"/>
      <c r="AH34" s="55"/>
      <c r="AI34" s="55"/>
    </row>
    <row r="35" spans="2:35">
      <c r="C35" t="s">
        <v>141</v>
      </c>
      <c r="D35">
        <v>0.5</v>
      </c>
      <c r="J35" t="s">
        <v>218</v>
      </c>
      <c r="K35" s="55">
        <f>D7*装备拆分生成表!C$74</f>
        <v>0</v>
      </c>
      <c r="L35" s="55">
        <f>E7*装备拆分生成表!D$74</f>
        <v>21.68888888888889</v>
      </c>
      <c r="M35" s="55">
        <f>F7*装备拆分生成表!E$74</f>
        <v>10.844444444444445</v>
      </c>
      <c r="N35" s="55">
        <f>G7*装备拆分生成表!F$74</f>
        <v>0</v>
      </c>
      <c r="O35" s="52"/>
      <c r="Q35" t="s">
        <v>218</v>
      </c>
      <c r="R35" s="55">
        <f>D16*装备拆分生成表!C$74</f>
        <v>0</v>
      </c>
      <c r="S35" s="55">
        <f>E16*装备拆分生成表!D$74</f>
        <v>10.844444444444445</v>
      </c>
      <c r="T35" s="55">
        <f>F16*装备拆分生成表!E$74</f>
        <v>21.68888888888889</v>
      </c>
      <c r="U35" s="55">
        <f>G16*装备拆分生成表!F$74</f>
        <v>0</v>
      </c>
      <c r="X35" t="s">
        <v>218</v>
      </c>
      <c r="Y35" s="55">
        <f>D25*装备拆分生成表!C$74</f>
        <v>0</v>
      </c>
      <c r="Z35" s="55">
        <f>E25*装备拆分生成表!D$74</f>
        <v>14.911111111111111</v>
      </c>
      <c r="AA35" s="55">
        <f>F25*装备拆分生成表!E$74</f>
        <v>14.911111111111111</v>
      </c>
      <c r="AB35" s="55">
        <f>G25*装备拆分生成表!F$74</f>
        <v>0</v>
      </c>
      <c r="AC35" s="50"/>
      <c r="AE35" t="s">
        <v>218</v>
      </c>
      <c r="AF35" s="55">
        <f>D34*装备拆分生成表!C$74</f>
        <v>0</v>
      </c>
      <c r="AG35" s="55">
        <f>E34*装备拆分生成表!D$74</f>
        <v>16.266666666666666</v>
      </c>
      <c r="AH35" s="55">
        <f>F34*装备拆分生成表!E$74</f>
        <v>16.266666666666666</v>
      </c>
      <c r="AI35" s="55">
        <f>G34*装备拆分生成表!F$74</f>
        <v>0</v>
      </c>
    </row>
    <row r="36" spans="2:35">
      <c r="C36" t="s">
        <v>142</v>
      </c>
      <c r="G36">
        <v>0.5</v>
      </c>
      <c r="J36" t="s">
        <v>219</v>
      </c>
      <c r="K36" s="55">
        <f>D8*装备拆分生成表!C$74</f>
        <v>93.722222222222229</v>
      </c>
      <c r="L36" s="55">
        <f>E8*装备拆分生成表!D$74</f>
        <v>0</v>
      </c>
      <c r="M36" s="55">
        <f>F8*装备拆分生成表!E$74</f>
        <v>0</v>
      </c>
      <c r="N36" s="55">
        <f>G8*装备拆分生成表!F$74</f>
        <v>0</v>
      </c>
      <c r="O36" s="52"/>
      <c r="Q36" t="s">
        <v>219</v>
      </c>
      <c r="R36" s="55">
        <f>D17*装备拆分生成表!C$74</f>
        <v>93.722222222222229</v>
      </c>
      <c r="S36" s="55">
        <f>E17*装备拆分生成表!D$74</f>
        <v>0</v>
      </c>
      <c r="T36" s="55">
        <f>F17*装备拆分生成表!E$74</f>
        <v>0</v>
      </c>
      <c r="U36" s="55">
        <f>G17*装备拆分生成表!F$74</f>
        <v>0</v>
      </c>
      <c r="X36" t="s">
        <v>219</v>
      </c>
      <c r="Y36" s="55">
        <f>D26*装备拆分生成表!C$74</f>
        <v>149.95555555555558</v>
      </c>
      <c r="Z36" s="55">
        <f>E26*装备拆分生成表!D$74</f>
        <v>0</v>
      </c>
      <c r="AA36" s="55">
        <f>F26*装备拆分生成表!E$74</f>
        <v>0</v>
      </c>
      <c r="AB36" s="55">
        <f>G26*装备拆分生成表!F$74</f>
        <v>0</v>
      </c>
      <c r="AC36" s="50"/>
      <c r="AE36" t="s">
        <v>219</v>
      </c>
      <c r="AF36" s="55">
        <f>D35*装备拆分生成表!C$74</f>
        <v>93.722222222222229</v>
      </c>
      <c r="AG36" s="55">
        <f>E35*装备拆分生成表!D$74</f>
        <v>0</v>
      </c>
      <c r="AH36" s="55">
        <f>F35*装备拆分生成表!E$74</f>
        <v>0</v>
      </c>
      <c r="AI36" s="55">
        <f>G35*装备拆分生成表!F$74</f>
        <v>0</v>
      </c>
    </row>
    <row r="37" spans="2:35">
      <c r="C37" t="s">
        <v>143</v>
      </c>
      <c r="G37">
        <v>0.3</v>
      </c>
      <c r="J37" t="s">
        <v>220</v>
      </c>
      <c r="K37" s="55">
        <f>D9*装备拆分生成表!C$74</f>
        <v>0</v>
      </c>
      <c r="L37" s="55">
        <f>E9*装备拆分生成表!D$74</f>
        <v>0</v>
      </c>
      <c r="M37" s="55">
        <f>F9*装备拆分生成表!E$74</f>
        <v>0</v>
      </c>
      <c r="N37" s="55">
        <f>G9*装备拆分生成表!F$74</f>
        <v>17.600000000000001</v>
      </c>
      <c r="O37" s="52"/>
      <c r="Q37" t="s">
        <v>220</v>
      </c>
      <c r="R37" s="55">
        <f>D18*装备拆分生成表!C$74</f>
        <v>0</v>
      </c>
      <c r="S37" s="55">
        <f>E18*装备拆分生成表!D$74</f>
        <v>0</v>
      </c>
      <c r="T37" s="55">
        <f>F18*装备拆分生成表!E$74</f>
        <v>0</v>
      </c>
      <c r="U37" s="55">
        <f>G18*装备拆分生成表!F$74</f>
        <v>17.600000000000001</v>
      </c>
      <c r="X37" t="s">
        <v>220</v>
      </c>
      <c r="Y37" s="55">
        <f>D27*装备拆分生成表!C$74</f>
        <v>0</v>
      </c>
      <c r="Z37" s="55">
        <f>E27*装备拆分生成表!D$74</f>
        <v>0</v>
      </c>
      <c r="AA37" s="55">
        <f>F27*装备拆分生成表!E$74</f>
        <v>0</v>
      </c>
      <c r="AB37" s="55">
        <f>G27*装备拆分生成表!F$74</f>
        <v>26.4</v>
      </c>
      <c r="AC37" s="50"/>
      <c r="AE37" t="s">
        <v>220</v>
      </c>
      <c r="AF37" s="55">
        <f>D36*装备拆分生成表!C$74</f>
        <v>0</v>
      </c>
      <c r="AG37" s="55">
        <f>E36*装备拆分生成表!D$74</f>
        <v>0</v>
      </c>
      <c r="AH37" s="55">
        <f>F36*装备拆分生成表!E$74</f>
        <v>0</v>
      </c>
      <c r="AI37" s="55">
        <f>G36*装备拆分生成表!F$74</f>
        <v>22</v>
      </c>
    </row>
    <row r="38" spans="2:35">
      <c r="C38" t="s">
        <v>144</v>
      </c>
      <c r="D38">
        <v>0.3</v>
      </c>
      <c r="F38">
        <v>0.2</v>
      </c>
      <c r="J38" t="s">
        <v>221</v>
      </c>
      <c r="K38" s="55">
        <f>D10*装备拆分生成表!C$74</f>
        <v>0</v>
      </c>
      <c r="L38" s="55">
        <f>E10*装备拆分生成表!D$74</f>
        <v>2.7111111111111112</v>
      </c>
      <c r="M38" s="55">
        <f>F10*装备拆分生成表!E$74</f>
        <v>0</v>
      </c>
      <c r="N38" s="55">
        <f>G10*装备拆分生成表!F$74</f>
        <v>13.2</v>
      </c>
      <c r="O38" s="52"/>
      <c r="Q38" t="s">
        <v>221</v>
      </c>
      <c r="R38" s="55">
        <f>D19*装备拆分生成表!C$74</f>
        <v>0</v>
      </c>
      <c r="S38" s="55">
        <f>E19*装备拆分生成表!D$74</f>
        <v>0</v>
      </c>
      <c r="T38" s="55">
        <f>F19*装备拆分生成表!E$74</f>
        <v>2.7111111111111112</v>
      </c>
      <c r="U38" s="55">
        <f>G19*装备拆分生成表!F$74</f>
        <v>13.2</v>
      </c>
      <c r="X38" t="s">
        <v>221</v>
      </c>
      <c r="Y38" s="55">
        <f>D28*装备拆分生成表!C$74</f>
        <v>0</v>
      </c>
      <c r="Z38" s="55">
        <f>E28*装备拆分生成表!D$74</f>
        <v>0</v>
      </c>
      <c r="AA38" s="55">
        <f>F28*装备拆分生成表!E$74</f>
        <v>0</v>
      </c>
      <c r="AB38" s="55">
        <f>G28*装备拆分生成表!F$74</f>
        <v>19.8</v>
      </c>
      <c r="AC38" s="50"/>
      <c r="AE38" t="s">
        <v>221</v>
      </c>
      <c r="AF38" s="55">
        <f>D37*装备拆分生成表!C$74</f>
        <v>0</v>
      </c>
      <c r="AG38" s="55">
        <f>E37*装备拆分生成表!D$74</f>
        <v>0</v>
      </c>
      <c r="AH38" s="55">
        <f>F37*装备拆分生成表!E$74</f>
        <v>0</v>
      </c>
      <c r="AI38" s="55">
        <f>G37*装备拆分生成表!F$74</f>
        <v>13.2</v>
      </c>
    </row>
    <row r="39" spans="2:35">
      <c r="C39" t="s">
        <v>145</v>
      </c>
      <c r="D39">
        <v>0.2</v>
      </c>
      <c r="G39">
        <v>0.3</v>
      </c>
      <c r="J39" t="s">
        <v>222</v>
      </c>
      <c r="K39" s="55">
        <f>D11*装备拆分生成表!C$74</f>
        <v>74.977777777777789</v>
      </c>
      <c r="L39" s="55">
        <f>E11*装备拆分生成表!D$74</f>
        <v>0</v>
      </c>
      <c r="M39" s="55">
        <f>F11*装备拆分生成表!E$74</f>
        <v>5.4222222222222225</v>
      </c>
      <c r="N39" s="55">
        <f>G11*装备拆分生成表!F$74</f>
        <v>0</v>
      </c>
      <c r="O39" s="52"/>
      <c r="Q39" t="s">
        <v>222</v>
      </c>
      <c r="R39" s="55">
        <f>D20*装备拆分生成表!C$74</f>
        <v>74.977777777777789</v>
      </c>
      <c r="S39" s="55">
        <f>E20*装备拆分生成表!D$74</f>
        <v>5.4222222222222225</v>
      </c>
      <c r="T39" s="55">
        <f>F20*装备拆分生成表!E$74</f>
        <v>0</v>
      </c>
      <c r="U39" s="55">
        <f>G20*装备拆分生成表!F$74</f>
        <v>0</v>
      </c>
      <c r="X39" t="s">
        <v>222</v>
      </c>
      <c r="Y39" s="55">
        <f>D29*装备拆分生成表!C$74</f>
        <v>93.722222222222229</v>
      </c>
      <c r="Z39" s="55">
        <f>E29*装备拆分生成表!D$74</f>
        <v>0</v>
      </c>
      <c r="AA39" s="55">
        <f>F29*装备拆分生成表!E$74</f>
        <v>0</v>
      </c>
      <c r="AB39" s="55">
        <f>G29*装备拆分生成表!F$74</f>
        <v>0</v>
      </c>
      <c r="AC39" s="50"/>
      <c r="AE39" t="s">
        <v>222</v>
      </c>
      <c r="AF39" s="55">
        <f>D38*装备拆分生成表!C$74</f>
        <v>56.233333333333334</v>
      </c>
      <c r="AG39" s="55">
        <f>E38*装备拆分生成表!D$74</f>
        <v>0</v>
      </c>
      <c r="AH39" s="55">
        <f>F38*装备拆分生成表!E$74</f>
        <v>5.4222222222222225</v>
      </c>
      <c r="AI39" s="55">
        <f>G38*装备拆分生成表!F$74</f>
        <v>0</v>
      </c>
    </row>
    <row r="40" spans="2:35">
      <c r="J40" t="s">
        <v>223</v>
      </c>
      <c r="K40" s="55">
        <f>D12*装备拆分生成表!C$74</f>
        <v>18.744444444444447</v>
      </c>
      <c r="L40" s="55">
        <f>E12*装备拆分生成表!D$74</f>
        <v>10.844444444444445</v>
      </c>
      <c r="M40" s="55">
        <f>F12*装备拆分生成表!E$74</f>
        <v>0</v>
      </c>
      <c r="N40" s="55">
        <f>G12*装备拆分生成表!F$74</f>
        <v>0</v>
      </c>
      <c r="O40" s="52"/>
      <c r="Q40" t="s">
        <v>223</v>
      </c>
      <c r="R40" s="55">
        <f>D21*装备拆分生成表!C$74</f>
        <v>18.744444444444447</v>
      </c>
      <c r="S40" s="55">
        <f>E21*装备拆分生成表!D$74</f>
        <v>0</v>
      </c>
      <c r="T40" s="55">
        <f>F21*装备拆分生成表!E$74</f>
        <v>10.844444444444445</v>
      </c>
      <c r="U40" s="55">
        <f>G21*装备拆分生成表!F$74</f>
        <v>0</v>
      </c>
      <c r="X40" t="s">
        <v>223</v>
      </c>
      <c r="Y40" s="55">
        <f>D30*装备拆分生成表!C$74</f>
        <v>37.488888888888894</v>
      </c>
      <c r="Z40" s="55">
        <f>E30*装备拆分生成表!D$74</f>
        <v>0</v>
      </c>
      <c r="AA40" s="55">
        <f>F30*装备拆分生成表!E$74</f>
        <v>0</v>
      </c>
      <c r="AB40" s="55">
        <f>G30*装备拆分生成表!F$74</f>
        <v>4.4000000000000004</v>
      </c>
      <c r="AC40" s="50"/>
      <c r="AE40" t="s">
        <v>223</v>
      </c>
      <c r="AF40" s="55">
        <f>D39*装备拆分生成表!C$74</f>
        <v>37.488888888888894</v>
      </c>
      <c r="AG40" s="55">
        <f>E39*装备拆分生成表!D$74</f>
        <v>0</v>
      </c>
      <c r="AH40" s="55">
        <f>F39*装备拆分生成表!E$74</f>
        <v>0</v>
      </c>
      <c r="AI40" s="55">
        <f>G39*装备拆分生成表!F$74</f>
        <v>13.2</v>
      </c>
    </row>
    <row r="41" spans="2:35">
      <c r="H41" t="s">
        <v>240</v>
      </c>
      <c r="K41" s="55"/>
      <c r="L41" s="55"/>
      <c r="M41" s="55"/>
      <c r="N41" s="55"/>
      <c r="O41" s="52"/>
      <c r="R41" s="55"/>
      <c r="S41" s="55"/>
      <c r="T41" s="55"/>
      <c r="U41" s="55"/>
      <c r="Y41" s="55"/>
      <c r="Z41" s="55"/>
      <c r="AA41" s="55"/>
      <c r="AB41" s="55"/>
      <c r="AF41" s="55"/>
      <c r="AG41" s="55"/>
      <c r="AH41" s="55"/>
      <c r="AI41" s="55"/>
    </row>
    <row r="42" spans="2:35">
      <c r="J42" t="s">
        <v>228</v>
      </c>
      <c r="K42" s="55">
        <f>装备拆分生成表!C$21*D7</f>
        <v>0</v>
      </c>
      <c r="L42" s="55">
        <f>装备拆分生成表!D$21*E7</f>
        <v>44.800000000000004</v>
      </c>
      <c r="M42" s="55">
        <f>装备拆分生成表!E$21*F7</f>
        <v>22.400000000000002</v>
      </c>
      <c r="N42" s="55">
        <f>装备拆分生成表!F$21*G7</f>
        <v>0</v>
      </c>
      <c r="O42" s="52"/>
      <c r="Q42" t="s">
        <v>228</v>
      </c>
      <c r="R42" s="55">
        <f>装备拆分生成表!C$21*D16</f>
        <v>0</v>
      </c>
      <c r="S42" s="55">
        <f>装备拆分生成表!D$21*E16</f>
        <v>22.400000000000002</v>
      </c>
      <c r="T42" s="55">
        <f>装备拆分生成表!E$21*F16</f>
        <v>44.800000000000004</v>
      </c>
      <c r="U42" s="55">
        <f>装备拆分生成表!F$21*G16</f>
        <v>0</v>
      </c>
      <c r="X42" t="s">
        <v>228</v>
      </c>
      <c r="Y42" s="55">
        <f>装备拆分生成表!C$21*D25</f>
        <v>0</v>
      </c>
      <c r="Z42" s="55">
        <f>装备拆分生成表!D$21*E25</f>
        <v>30.800000000000004</v>
      </c>
      <c r="AA42" s="55">
        <f>装备拆分生成表!E$21*F25</f>
        <v>30.800000000000004</v>
      </c>
      <c r="AB42" s="55">
        <f>装备拆分生成表!F$21*G25</f>
        <v>0</v>
      </c>
      <c r="AE42" t="s">
        <v>228</v>
      </c>
      <c r="AF42" s="55">
        <f>装备拆分生成表!C$21*D34</f>
        <v>0</v>
      </c>
      <c r="AG42" s="55">
        <f>装备拆分生成表!D$21*E34</f>
        <v>33.6</v>
      </c>
      <c r="AH42" s="55">
        <f>装备拆分生成表!E$21*F34</f>
        <v>33.6</v>
      </c>
      <c r="AI42" s="55">
        <f>装备拆分生成表!F$21*G34</f>
        <v>0</v>
      </c>
    </row>
    <row r="43" spans="2:35">
      <c r="J43" t="s">
        <v>229</v>
      </c>
      <c r="K43" s="55">
        <f>装备拆分生成表!C$21*D8</f>
        <v>194</v>
      </c>
      <c r="L43" s="55">
        <f>装备拆分生成表!D$21*E8</f>
        <v>0</v>
      </c>
      <c r="M43" s="55">
        <f>装备拆分生成表!E$21*F8</f>
        <v>0</v>
      </c>
      <c r="N43" s="55">
        <f>装备拆分生成表!F$21*G8</f>
        <v>0</v>
      </c>
      <c r="O43" s="52"/>
      <c r="Q43" t="s">
        <v>229</v>
      </c>
      <c r="R43" s="55">
        <f>装备拆分生成表!C$21*D17</f>
        <v>194</v>
      </c>
      <c r="S43" s="55">
        <f>装备拆分生成表!D$21*E17</f>
        <v>0</v>
      </c>
      <c r="T43" s="55">
        <f>装备拆分生成表!E$21*F17</f>
        <v>0</v>
      </c>
      <c r="U43" s="55">
        <f>装备拆分生成表!F$21*G17</f>
        <v>0</v>
      </c>
      <c r="X43" t="s">
        <v>229</v>
      </c>
      <c r="Y43" s="55">
        <f>装备拆分生成表!C$21*D26</f>
        <v>310.40000000000003</v>
      </c>
      <c r="Z43" s="55">
        <f>装备拆分生成表!D$21*E26</f>
        <v>0</v>
      </c>
      <c r="AA43" s="55">
        <f>装备拆分生成表!E$21*F26</f>
        <v>0</v>
      </c>
      <c r="AB43" s="55">
        <f>装备拆分生成表!F$21*G26</f>
        <v>0</v>
      </c>
      <c r="AE43" t="s">
        <v>229</v>
      </c>
      <c r="AF43" s="55">
        <f>装备拆分生成表!C$21*D35</f>
        <v>194</v>
      </c>
      <c r="AG43" s="55">
        <f>装备拆分生成表!D$21*E35</f>
        <v>0</v>
      </c>
      <c r="AH43" s="55">
        <f>装备拆分生成表!E$21*F35</f>
        <v>0</v>
      </c>
      <c r="AI43" s="55">
        <f>装备拆分生成表!F$21*G35</f>
        <v>0</v>
      </c>
    </row>
    <row r="44" spans="2:35">
      <c r="J44" t="s">
        <v>230</v>
      </c>
      <c r="K44" s="55">
        <f>装备拆分生成表!C$21*D9</f>
        <v>0</v>
      </c>
      <c r="L44" s="55">
        <f>装备拆分生成表!D$21*E9</f>
        <v>0</v>
      </c>
      <c r="M44" s="55">
        <f>装备拆分生成表!E$21*F9</f>
        <v>0</v>
      </c>
      <c r="N44" s="55">
        <f>装备拆分生成表!F$21*G9</f>
        <v>36.4</v>
      </c>
      <c r="O44" s="52"/>
      <c r="Q44" t="s">
        <v>230</v>
      </c>
      <c r="R44" s="55">
        <f>装备拆分生成表!C$21*D18</f>
        <v>0</v>
      </c>
      <c r="S44" s="55">
        <f>装备拆分生成表!D$21*E18</f>
        <v>0</v>
      </c>
      <c r="T44" s="55">
        <f>装备拆分生成表!E$21*F18</f>
        <v>0</v>
      </c>
      <c r="U44" s="55">
        <f>装备拆分生成表!F$21*G18</f>
        <v>36.4</v>
      </c>
      <c r="X44" t="s">
        <v>230</v>
      </c>
      <c r="Y44" s="55">
        <f>装备拆分生成表!C$21*D27</f>
        <v>0</v>
      </c>
      <c r="Z44" s="55">
        <f>装备拆分生成表!D$21*E27</f>
        <v>0</v>
      </c>
      <c r="AA44" s="55">
        <f>装备拆分生成表!E$21*F27</f>
        <v>0</v>
      </c>
      <c r="AB44" s="55">
        <f>装备拆分生成表!F$21*G27</f>
        <v>54.6</v>
      </c>
      <c r="AE44" t="s">
        <v>230</v>
      </c>
      <c r="AF44" s="55">
        <f>装备拆分生成表!C$21*D36</f>
        <v>0</v>
      </c>
      <c r="AG44" s="55">
        <f>装备拆分生成表!D$21*E36</f>
        <v>0</v>
      </c>
      <c r="AH44" s="55">
        <f>装备拆分生成表!E$21*F36</f>
        <v>0</v>
      </c>
      <c r="AI44" s="55">
        <f>装备拆分生成表!F$21*G36</f>
        <v>45.5</v>
      </c>
    </row>
    <row r="45" spans="2:35">
      <c r="J45" t="s">
        <v>231</v>
      </c>
      <c r="K45" s="55">
        <f>装备拆分生成表!C$21*D10</f>
        <v>0</v>
      </c>
      <c r="L45" s="55">
        <f>装备拆分生成表!D$21*E10</f>
        <v>5.6000000000000005</v>
      </c>
      <c r="M45" s="55">
        <f>装备拆分生成表!E$21*F10</f>
        <v>0</v>
      </c>
      <c r="N45" s="55">
        <f>装备拆分生成表!F$21*G10</f>
        <v>27.3</v>
      </c>
      <c r="O45" s="52"/>
      <c r="Q45" t="s">
        <v>231</v>
      </c>
      <c r="R45" s="55">
        <f>装备拆分生成表!C$21*D19</f>
        <v>0</v>
      </c>
      <c r="S45" s="55">
        <f>装备拆分生成表!D$21*E19</f>
        <v>0</v>
      </c>
      <c r="T45" s="55">
        <f>装备拆分生成表!E$21*F19</f>
        <v>5.6000000000000005</v>
      </c>
      <c r="U45" s="55">
        <f>装备拆分生成表!F$21*G19</f>
        <v>27.3</v>
      </c>
      <c r="X45" t="s">
        <v>231</v>
      </c>
      <c r="Y45" s="55">
        <f>装备拆分生成表!C$21*D28</f>
        <v>0</v>
      </c>
      <c r="Z45" s="55">
        <f>装备拆分生成表!D$21*E28</f>
        <v>0</v>
      </c>
      <c r="AA45" s="55">
        <f>装备拆分生成表!E$21*F28</f>
        <v>0</v>
      </c>
      <c r="AB45" s="55">
        <f>装备拆分生成表!F$21*G28</f>
        <v>40.950000000000003</v>
      </c>
      <c r="AE45" t="s">
        <v>231</v>
      </c>
      <c r="AF45" s="55">
        <f>装备拆分生成表!C$21*D37</f>
        <v>0</v>
      </c>
      <c r="AG45" s="55">
        <f>装备拆分生成表!D$21*E37</f>
        <v>0</v>
      </c>
      <c r="AH45" s="55">
        <f>装备拆分生成表!E$21*F37</f>
        <v>0</v>
      </c>
      <c r="AI45" s="55">
        <f>装备拆分生成表!F$21*G37</f>
        <v>27.3</v>
      </c>
    </row>
    <row r="46" spans="2:35">
      <c r="J46" t="s">
        <v>232</v>
      </c>
      <c r="K46" s="55">
        <f>装备拆分生成表!C$21*D11</f>
        <v>155.20000000000002</v>
      </c>
      <c r="L46" s="55">
        <f>装备拆分生成表!D$21*E11</f>
        <v>0</v>
      </c>
      <c r="M46" s="55">
        <f>装备拆分生成表!E$21*F11</f>
        <v>11.200000000000001</v>
      </c>
      <c r="N46" s="55">
        <f>装备拆分生成表!F$21*G11</f>
        <v>0</v>
      </c>
      <c r="O46" s="52"/>
      <c r="Q46" t="s">
        <v>232</v>
      </c>
      <c r="R46" s="55">
        <f>装备拆分生成表!C$21*D20</f>
        <v>155.20000000000002</v>
      </c>
      <c r="S46" s="55">
        <f>装备拆分生成表!D$21*E20</f>
        <v>11.200000000000001</v>
      </c>
      <c r="T46" s="55">
        <f>装备拆分生成表!E$21*F20</f>
        <v>0</v>
      </c>
      <c r="U46" s="55">
        <f>装备拆分生成表!F$21*G20</f>
        <v>0</v>
      </c>
      <c r="X46" t="s">
        <v>232</v>
      </c>
      <c r="Y46" s="55">
        <f>装备拆分生成表!C$21*D29</f>
        <v>194</v>
      </c>
      <c r="Z46" s="55">
        <f>装备拆分生成表!D$21*E29</f>
        <v>0</v>
      </c>
      <c r="AA46" s="55">
        <f>装备拆分生成表!E$21*F29</f>
        <v>0</v>
      </c>
      <c r="AB46" s="55">
        <f>装备拆分生成表!F$21*G29</f>
        <v>0</v>
      </c>
      <c r="AE46" t="s">
        <v>232</v>
      </c>
      <c r="AF46" s="55">
        <f>装备拆分生成表!C$21*D38</f>
        <v>116.39999999999999</v>
      </c>
      <c r="AG46" s="55">
        <f>装备拆分生成表!D$21*E38</f>
        <v>0</v>
      </c>
      <c r="AH46" s="55">
        <f>装备拆分生成表!E$21*F38</f>
        <v>11.200000000000001</v>
      </c>
      <c r="AI46" s="55">
        <f>装备拆分生成表!F$21*G38</f>
        <v>0</v>
      </c>
    </row>
    <row r="47" spans="2:35">
      <c r="J47" t="s">
        <v>233</v>
      </c>
      <c r="K47" s="55">
        <f>装备拆分生成表!C$21*D12</f>
        <v>38.800000000000004</v>
      </c>
      <c r="L47" s="55">
        <f>装备拆分生成表!D$21*E12</f>
        <v>22.400000000000002</v>
      </c>
      <c r="M47" s="55">
        <f>装备拆分生成表!E$21*F12</f>
        <v>0</v>
      </c>
      <c r="N47" s="55">
        <f>装备拆分生成表!F$21*G12</f>
        <v>0</v>
      </c>
      <c r="O47" s="52"/>
      <c r="Q47" t="s">
        <v>233</v>
      </c>
      <c r="R47" s="55">
        <f>装备拆分生成表!C$21*D21</f>
        <v>38.800000000000004</v>
      </c>
      <c r="S47" s="55">
        <f>装备拆分生成表!D$21*E21</f>
        <v>0</v>
      </c>
      <c r="T47" s="55">
        <f>装备拆分生成表!E$21*F21</f>
        <v>22.400000000000002</v>
      </c>
      <c r="U47" s="55">
        <f>装备拆分生成表!F$21*G21</f>
        <v>0</v>
      </c>
      <c r="X47" t="s">
        <v>233</v>
      </c>
      <c r="Y47" s="55">
        <f>装备拆分生成表!C$21*D30</f>
        <v>77.600000000000009</v>
      </c>
      <c r="Z47" s="55">
        <f>装备拆分生成表!D$21*E30</f>
        <v>0</v>
      </c>
      <c r="AA47" s="55">
        <f>装备拆分生成表!E$21*F30</f>
        <v>0</v>
      </c>
      <c r="AB47" s="55">
        <f>装备拆分生成表!F$21*G30</f>
        <v>9.1</v>
      </c>
      <c r="AE47" t="s">
        <v>233</v>
      </c>
      <c r="AF47" s="55">
        <f>装备拆分生成表!C$21*D39</f>
        <v>77.600000000000009</v>
      </c>
      <c r="AG47" s="55">
        <f>装备拆分生成表!D$21*E39</f>
        <v>0</v>
      </c>
      <c r="AH47" s="55">
        <f>装备拆分生成表!E$21*F39</f>
        <v>0</v>
      </c>
      <c r="AI47" s="55">
        <f>装备拆分生成表!F$21*G39</f>
        <v>27.3</v>
      </c>
    </row>
    <row r="48" spans="2:35">
      <c r="J48" t="s">
        <v>241</v>
      </c>
      <c r="K48" s="55">
        <f>装备拆分生成表!$H$5*装备拆分生成表!C$20*D7</f>
        <v>0</v>
      </c>
      <c r="L48" s="55">
        <f>装备拆分生成表!$H$5*装备拆分生成表!D$20*E7</f>
        <v>68.753126400000014</v>
      </c>
      <c r="M48" s="55">
        <f>装备拆分生成表!$H$5*装备拆分生成表!E$20*F7</f>
        <v>34.376563200000007</v>
      </c>
      <c r="N48" s="55">
        <f>装备拆分生成表!$H$5*装备拆分生成表!F$20*G7</f>
        <v>0</v>
      </c>
      <c r="O48" s="52"/>
      <c r="Q48" t="s">
        <v>241</v>
      </c>
      <c r="R48" s="55">
        <f>装备拆分生成表!$H$5*装备拆分生成表!C$20*D16</f>
        <v>0</v>
      </c>
      <c r="S48" s="55">
        <f>装备拆分生成表!$H$5*装备拆分生成表!D$20*E16</f>
        <v>34.376563200000007</v>
      </c>
      <c r="T48" s="55">
        <f>装备拆分生成表!$H$5*装备拆分生成表!E$20*F16</f>
        <v>68.753126400000014</v>
      </c>
      <c r="U48" s="55">
        <f>装备拆分生成表!$H$5*装备拆分生成表!F$20*G16</f>
        <v>0</v>
      </c>
      <c r="X48" t="s">
        <v>241</v>
      </c>
      <c r="Y48" s="55">
        <f>装备拆分生成表!$H$5*装备拆分生成表!C$20*D25</f>
        <v>0</v>
      </c>
      <c r="Z48" s="55">
        <f>装备拆分生成表!$H$5*装备拆分生成表!D$20*E25</f>
        <v>47.267774400000008</v>
      </c>
      <c r="AA48" s="55">
        <f>装备拆分生成表!$H$5*装备拆分生成表!E$20*F25</f>
        <v>47.267774400000008</v>
      </c>
      <c r="AB48" s="55">
        <f>装备拆分生成表!$H$5*装备拆分生成表!F$20*G25</f>
        <v>0</v>
      </c>
      <c r="AE48" t="s">
        <v>241</v>
      </c>
      <c r="AF48" s="55">
        <f>装备拆分生成表!$H$5*装备拆分生成表!C$20*D34</f>
        <v>0</v>
      </c>
      <c r="AG48" s="55">
        <f>装备拆分生成表!$H$5*装备拆分生成表!D$20*E34</f>
        <v>51.564844800000003</v>
      </c>
      <c r="AH48" s="55">
        <f>装备拆分生成表!$H$5*装备拆分生成表!E$20*F34</f>
        <v>51.564844800000003</v>
      </c>
      <c r="AI48" s="55">
        <f>装备拆分生成表!$H$5*装备拆分生成表!F$20*G34</f>
        <v>0</v>
      </c>
    </row>
    <row r="49" spans="10:35">
      <c r="J49" t="s">
        <v>242</v>
      </c>
      <c r="K49" s="55">
        <f>装备拆分生成表!$H$5*装备拆分生成表!C$20*D8</f>
        <v>297.72559200000001</v>
      </c>
      <c r="L49" s="55">
        <f>装备拆分生成表!$H$5*装备拆分生成表!D$20*E8</f>
        <v>0</v>
      </c>
      <c r="M49" s="55">
        <f>装备拆分生成表!$H$5*装备拆分生成表!E$20*F8</f>
        <v>0</v>
      </c>
      <c r="N49" s="55">
        <f>装备拆分生成表!$H$5*装备拆分生成表!F$20*G8</f>
        <v>0</v>
      </c>
      <c r="O49" s="52"/>
      <c r="Q49" t="s">
        <v>242</v>
      </c>
      <c r="R49" s="55">
        <f>装备拆分生成表!$H$5*装备拆分生成表!C$20*D17</f>
        <v>297.72559200000001</v>
      </c>
      <c r="S49" s="55">
        <f>装备拆分生成表!$H$5*装备拆分生成表!D$20*E17</f>
        <v>0</v>
      </c>
      <c r="T49" s="55">
        <f>装备拆分生成表!$H$5*装备拆分生成表!E$20*F17</f>
        <v>0</v>
      </c>
      <c r="U49" s="55">
        <f>装备拆分生成表!$H$5*装备拆分生成表!F$20*G17</f>
        <v>0</v>
      </c>
      <c r="X49" t="s">
        <v>242</v>
      </c>
      <c r="Y49" s="55">
        <f>装备拆分生成表!$H$5*装备拆分生成表!C$20*D26</f>
        <v>476.36094720000006</v>
      </c>
      <c r="Z49" s="55">
        <f>装备拆分生成表!$H$5*装备拆分生成表!D$20*E26</f>
        <v>0</v>
      </c>
      <c r="AA49" s="55">
        <f>装备拆分生成表!$H$5*装备拆分生成表!E$20*F26</f>
        <v>0</v>
      </c>
      <c r="AB49" s="55">
        <f>装备拆分生成表!$H$5*装备拆分生成表!F$20*G26</f>
        <v>0</v>
      </c>
      <c r="AE49" t="s">
        <v>242</v>
      </c>
      <c r="AF49" s="55">
        <f>装备拆分生成表!$H$5*装备拆分生成表!C$20*D35</f>
        <v>297.72559200000001</v>
      </c>
      <c r="AG49" s="55">
        <f>装备拆分生成表!$H$5*装备拆分生成表!D$20*E35</f>
        <v>0</v>
      </c>
      <c r="AH49" s="55">
        <f>装备拆分生成表!$H$5*装备拆分生成表!E$20*F35</f>
        <v>0</v>
      </c>
      <c r="AI49" s="55">
        <f>装备拆分生成表!$H$5*装备拆分生成表!F$20*G35</f>
        <v>0</v>
      </c>
    </row>
    <row r="50" spans="10:35">
      <c r="J50" t="s">
        <v>243</v>
      </c>
      <c r="K50" s="55">
        <f>装备拆分生成表!$H$5*装备拆分生成表!C$20*D9</f>
        <v>0</v>
      </c>
      <c r="L50" s="55">
        <f>装备拆分生成表!$H$5*装备拆分生成表!D$20*E9</f>
        <v>0</v>
      </c>
      <c r="M50" s="55">
        <f>装备拆分生成表!$H$5*装备拆分生成表!E$20*F9</f>
        <v>0</v>
      </c>
      <c r="N50" s="55">
        <f>装备拆分生成表!$H$5*装备拆分生成表!F$20*G9</f>
        <v>55.861915200000013</v>
      </c>
      <c r="O50" s="52"/>
      <c r="Q50" t="s">
        <v>243</v>
      </c>
      <c r="R50" s="55">
        <f>装备拆分生成表!$H$5*装备拆分生成表!C$20*D18</f>
        <v>0</v>
      </c>
      <c r="S50" s="55">
        <f>装备拆分生成表!$H$5*装备拆分生成表!D$20*E18</f>
        <v>0</v>
      </c>
      <c r="T50" s="55">
        <f>装备拆分生成表!$H$5*装备拆分生成表!E$20*F18</f>
        <v>0</v>
      </c>
      <c r="U50" s="55">
        <f>装备拆分生成表!$H$5*装备拆分生成表!F$20*G18</f>
        <v>55.861915200000013</v>
      </c>
      <c r="X50" t="s">
        <v>243</v>
      </c>
      <c r="Y50" s="55">
        <f>装备拆分生成表!$H$5*装备拆分生成表!C$20*D27</f>
        <v>0</v>
      </c>
      <c r="Z50" s="55">
        <f>装备拆分生成表!$H$5*装备拆分生成表!D$20*E27</f>
        <v>0</v>
      </c>
      <c r="AA50" s="55">
        <f>装备拆分生成表!$H$5*装备拆分生成表!E$20*F27</f>
        <v>0</v>
      </c>
      <c r="AB50" s="55">
        <f>装备拆分生成表!$H$5*装备拆分生成表!F$20*G27</f>
        <v>83.792872800000012</v>
      </c>
      <c r="AE50" t="s">
        <v>243</v>
      </c>
      <c r="AF50" s="55">
        <f>装备拆分生成表!$H$5*装备拆分生成表!C$20*D36</f>
        <v>0</v>
      </c>
      <c r="AG50" s="55">
        <f>装备拆分生成表!$H$5*装备拆分生成表!D$20*E36</f>
        <v>0</v>
      </c>
      <c r="AH50" s="55">
        <f>装备拆分生成表!$H$5*装备拆分生成表!E$20*F36</f>
        <v>0</v>
      </c>
      <c r="AI50" s="55">
        <f>装备拆分生成表!$H$5*装备拆分生成表!F$20*G36</f>
        <v>69.827394000000012</v>
      </c>
    </row>
    <row r="51" spans="10:35">
      <c r="J51" t="s">
        <v>244</v>
      </c>
      <c r="K51" s="55">
        <f>装备拆分生成表!$H$5*装备拆分生成表!C$20*D10</f>
        <v>0</v>
      </c>
      <c r="L51" s="55">
        <f>装备拆分生成表!$H$5*装备拆分生成表!D$20*E10</f>
        <v>8.5941408000000017</v>
      </c>
      <c r="M51" s="55">
        <f>装备拆分生成表!$H$5*装备拆分生成表!E$20*F10</f>
        <v>0</v>
      </c>
      <c r="N51" s="55">
        <f>装备拆分生成表!$H$5*装备拆分生成表!F$20*G10</f>
        <v>41.896436400000006</v>
      </c>
      <c r="O51" s="52"/>
      <c r="Q51" t="s">
        <v>244</v>
      </c>
      <c r="R51" s="55">
        <f>装备拆分生成表!$H$5*装备拆分生成表!C$20*D19</f>
        <v>0</v>
      </c>
      <c r="S51" s="55">
        <f>装备拆分生成表!$H$5*装备拆分生成表!D$20*E19</f>
        <v>0</v>
      </c>
      <c r="T51" s="55">
        <f>装备拆分生成表!$H$5*装备拆分生成表!E$20*F19</f>
        <v>8.5941408000000017</v>
      </c>
      <c r="U51" s="55">
        <f>装备拆分生成表!$H$5*装备拆分生成表!F$20*G19</f>
        <v>41.896436400000006</v>
      </c>
      <c r="X51" t="s">
        <v>244</v>
      </c>
      <c r="Y51" s="55">
        <f>装备拆分生成表!$H$5*装备拆分生成表!C$20*D28</f>
        <v>0</v>
      </c>
      <c r="Z51" s="55">
        <f>装备拆分生成表!$H$5*装备拆分生成表!D$20*E28</f>
        <v>0</v>
      </c>
      <c r="AA51" s="55">
        <f>装备拆分生成表!$H$5*装备拆分生成表!E$20*F28</f>
        <v>0</v>
      </c>
      <c r="AB51" s="55">
        <f>装备拆分生成表!$H$5*装备拆分生成表!F$20*G28</f>
        <v>62.844654600000013</v>
      </c>
      <c r="AE51" t="s">
        <v>244</v>
      </c>
      <c r="AF51" s="55">
        <f>装备拆分生成表!$H$5*装备拆分生成表!C$20*D37</f>
        <v>0</v>
      </c>
      <c r="AG51" s="55">
        <f>装备拆分生成表!$H$5*装备拆分生成表!D$20*E37</f>
        <v>0</v>
      </c>
      <c r="AH51" s="55">
        <f>装备拆分生成表!$H$5*装备拆分生成表!E$20*F37</f>
        <v>0</v>
      </c>
      <c r="AI51" s="55">
        <f>装备拆分生成表!$H$5*装备拆分生成表!F$20*G37</f>
        <v>41.896436400000006</v>
      </c>
    </row>
    <row r="52" spans="10:35">
      <c r="J52" t="s">
        <v>245</v>
      </c>
      <c r="K52" s="55">
        <f>装备拆分生成表!$H$5*装备拆分生成表!C$20*D11</f>
        <v>238.18047360000003</v>
      </c>
      <c r="L52" s="55">
        <f>装备拆分生成表!$H$5*装备拆分生成表!D$20*E11</f>
        <v>0</v>
      </c>
      <c r="M52" s="55">
        <f>装备拆分生成表!$H$5*装备拆分生成表!E$20*F11</f>
        <v>17.188281600000003</v>
      </c>
      <c r="N52" s="55">
        <f>装备拆分生成表!$H$5*装备拆分生成表!F$20*G11</f>
        <v>0</v>
      </c>
      <c r="O52" s="52"/>
      <c r="Q52" t="s">
        <v>245</v>
      </c>
      <c r="R52" s="55">
        <f>装备拆分生成表!$H$5*装备拆分生成表!C$20*D20</f>
        <v>238.18047360000003</v>
      </c>
      <c r="S52" s="55">
        <f>装备拆分生成表!$H$5*装备拆分生成表!D$20*E20</f>
        <v>17.188281600000003</v>
      </c>
      <c r="T52" s="55">
        <f>装备拆分生成表!$H$5*装备拆分生成表!E$20*F20</f>
        <v>0</v>
      </c>
      <c r="U52" s="55">
        <f>装备拆分生成表!$H$5*装备拆分生成表!F$20*G20</f>
        <v>0</v>
      </c>
      <c r="X52" t="s">
        <v>245</v>
      </c>
      <c r="Y52" s="55">
        <f>装备拆分生成表!$H$5*装备拆分生成表!C$20*D29</f>
        <v>297.72559200000001</v>
      </c>
      <c r="Z52" s="55">
        <f>装备拆分生成表!$H$5*装备拆分生成表!D$20*E29</f>
        <v>0</v>
      </c>
      <c r="AA52" s="55">
        <f>装备拆分生成表!$H$5*装备拆分生成表!E$20*F29</f>
        <v>0</v>
      </c>
      <c r="AB52" s="55">
        <f>装备拆分生成表!$H$5*装备拆分生成表!F$20*G29</f>
        <v>0</v>
      </c>
      <c r="AE52" t="s">
        <v>245</v>
      </c>
      <c r="AF52" s="55">
        <f>装备拆分生成表!$H$5*装备拆分生成表!C$20*D38</f>
        <v>178.63535519999999</v>
      </c>
      <c r="AG52" s="55">
        <f>装备拆分生成表!$H$5*装备拆分生成表!D$20*E38</f>
        <v>0</v>
      </c>
      <c r="AH52" s="55">
        <f>装备拆分生成表!$H$5*装备拆分生成表!E$20*F38</f>
        <v>17.188281600000003</v>
      </c>
      <c r="AI52" s="55">
        <f>装备拆分生成表!$H$5*装备拆分生成表!F$20*G38</f>
        <v>0</v>
      </c>
    </row>
    <row r="53" spans="10:35">
      <c r="J53" t="s">
        <v>246</v>
      </c>
      <c r="K53" s="55">
        <f>装备拆分生成表!$H$5*装备拆分生成表!C$20*D12</f>
        <v>59.545118400000007</v>
      </c>
      <c r="L53" s="55">
        <f>装备拆分生成表!$H$5*装备拆分生成表!D$20*E12</f>
        <v>34.376563200000007</v>
      </c>
      <c r="M53" s="55">
        <f>装备拆分生成表!$H$5*装备拆分生成表!E$20*F12</f>
        <v>0</v>
      </c>
      <c r="N53" s="55">
        <f>装备拆分生成表!$H$5*装备拆分生成表!F$20*G12</f>
        <v>0</v>
      </c>
      <c r="O53" s="52"/>
      <c r="Q53" t="s">
        <v>246</v>
      </c>
      <c r="R53" s="55">
        <f>装备拆分生成表!$H$5*装备拆分生成表!C$20*D21</f>
        <v>59.545118400000007</v>
      </c>
      <c r="S53" s="55">
        <f>装备拆分生成表!$H$5*装备拆分生成表!D$20*E21</f>
        <v>0</v>
      </c>
      <c r="T53" s="55">
        <f>装备拆分生成表!$H$5*装备拆分生成表!E$20*F21</f>
        <v>34.376563200000007</v>
      </c>
      <c r="U53" s="55">
        <f>装备拆分生成表!$H$5*装备拆分生成表!F$20*G21</f>
        <v>0</v>
      </c>
      <c r="X53" t="s">
        <v>246</v>
      </c>
      <c r="Y53" s="55">
        <f>装备拆分生成表!$H$5*装备拆分生成表!C$20*D30</f>
        <v>119.09023680000001</v>
      </c>
      <c r="Z53" s="55">
        <f>装备拆分生成表!$H$5*装备拆分生成表!D$20*E30</f>
        <v>0</v>
      </c>
      <c r="AA53" s="55">
        <f>装备拆分生成表!$H$5*装备拆分生成表!E$20*F30</f>
        <v>0</v>
      </c>
      <c r="AB53" s="55">
        <f>装备拆分生成表!$H$5*装备拆分生成表!F$20*G30</f>
        <v>13.965478800000003</v>
      </c>
      <c r="AE53" t="s">
        <v>246</v>
      </c>
      <c r="AF53" s="55">
        <f>装备拆分生成表!$H$5*装备拆分生成表!C$20*D39</f>
        <v>119.09023680000001</v>
      </c>
      <c r="AG53" s="55">
        <f>装备拆分生成表!$H$5*装备拆分生成表!D$20*E39</f>
        <v>0</v>
      </c>
      <c r="AH53" s="55">
        <f>装备拆分生成表!$H$5*装备拆分生成表!E$20*F39</f>
        <v>0</v>
      </c>
      <c r="AI53" s="55">
        <f>装备拆分生成表!$H$5*装备拆分生成表!F$20*G39</f>
        <v>41.896436400000006</v>
      </c>
    </row>
    <row r="54" spans="10:35">
      <c r="J54" t="s">
        <v>247</v>
      </c>
      <c r="K54" s="55">
        <f>装备拆分生成表!$H$7*装备拆分生成表!C$20*D7</f>
        <v>0</v>
      </c>
      <c r="L54" s="55">
        <f>装备拆分生成表!$H$7*装备拆分生成表!D$20*E7</f>
        <v>107.84350044160004</v>
      </c>
      <c r="M54" s="55">
        <f>装备拆分生成表!$H$7*装备拆分生成表!E$20*F7</f>
        <v>53.921750220800021</v>
      </c>
      <c r="N54" s="55">
        <f>装备拆分生成表!$H$7*装备拆分生成表!F$20*G7</f>
        <v>0</v>
      </c>
      <c r="O54" s="52"/>
      <c r="Q54" t="s">
        <v>247</v>
      </c>
      <c r="R54" s="55">
        <f>装备拆分生成表!$H$7*装备拆分生成表!C$20*D16</f>
        <v>0</v>
      </c>
      <c r="S54" s="55">
        <f>装备拆分生成表!$H$7*装备拆分生成表!D$20*E16</f>
        <v>53.921750220800021</v>
      </c>
      <c r="T54" s="55">
        <f>装备拆分生成表!$H$7*装备拆分生成表!E$20*F16</f>
        <v>107.84350044160004</v>
      </c>
      <c r="U54" s="55">
        <f>装备拆分生成表!$H$7*装备拆分生成表!F$20*G16</f>
        <v>0</v>
      </c>
      <c r="X54" t="s">
        <v>247</v>
      </c>
      <c r="Y54" s="55">
        <f>装备拆分生成表!$H$7*装备拆分生成表!C$20*D25</f>
        <v>0</v>
      </c>
      <c r="Z54" s="55">
        <f>装备拆分生成表!$H$7*装备拆分生成表!D$20*E25</f>
        <v>74.142406553600026</v>
      </c>
      <c r="AA54" s="55">
        <f>装备拆分生成表!$H$7*装备拆分生成表!E$20*F25</f>
        <v>74.142406553600026</v>
      </c>
      <c r="AB54" s="55">
        <f>装备拆分生成表!$H$7*装备拆分生成表!F$20*G25</f>
        <v>0</v>
      </c>
      <c r="AE54" t="s">
        <v>247</v>
      </c>
      <c r="AF54" s="55">
        <f>装备拆分生成表!$H$7*装备拆分生成表!C$20*D34</f>
        <v>0</v>
      </c>
      <c r="AG54" s="55">
        <f>装备拆分生成表!$H$7*装备拆分生成表!D$20*E34</f>
        <v>80.882625331200018</v>
      </c>
      <c r="AH54" s="55">
        <f>装备拆分生成表!$H$7*装备拆分生成表!E$20*F34</f>
        <v>80.882625331200018</v>
      </c>
      <c r="AI54" s="55">
        <f>装备拆分生成表!$H$7*装备拆分生成表!F$20*G34</f>
        <v>0</v>
      </c>
    </row>
    <row r="55" spans="10:35">
      <c r="J55" t="s">
        <v>248</v>
      </c>
      <c r="K55" s="55">
        <f>装备拆分生成表!$H$7*装备拆分生成表!C$20*D8</f>
        <v>467.00087244800011</v>
      </c>
      <c r="L55" s="55">
        <f>装备拆分生成表!$H$7*装备拆分生成表!D$20*E8</f>
        <v>0</v>
      </c>
      <c r="M55" s="55">
        <f>装备拆分生成表!$H$7*装备拆分生成表!E$20*F8</f>
        <v>0</v>
      </c>
      <c r="N55" s="55">
        <f>装备拆分生成表!$H$7*装备拆分生成表!F$20*G8</f>
        <v>0</v>
      </c>
      <c r="O55" s="52"/>
      <c r="Q55" t="s">
        <v>248</v>
      </c>
      <c r="R55" s="55">
        <f>装备拆分生成表!$H$7*装备拆分生成表!C$20*D17</f>
        <v>467.00087244800011</v>
      </c>
      <c r="S55" s="55">
        <f>装备拆分生成表!$H$7*装备拆分生成表!D$20*E17</f>
        <v>0</v>
      </c>
      <c r="T55" s="55">
        <f>装备拆分生成表!$H$7*装备拆分生成表!E$20*F17</f>
        <v>0</v>
      </c>
      <c r="U55" s="55">
        <f>装备拆分生成表!$H$7*装备拆分生成表!F$20*G17</f>
        <v>0</v>
      </c>
      <c r="X55" t="s">
        <v>248</v>
      </c>
      <c r="Y55" s="55">
        <f>装备拆分生成表!$H$7*装备拆分生成表!C$20*D26</f>
        <v>747.20139591680027</v>
      </c>
      <c r="Z55" s="55">
        <f>装备拆分生成表!$H$7*装备拆分生成表!D$20*E26</f>
        <v>0</v>
      </c>
      <c r="AA55" s="55">
        <f>装备拆分生成表!$H$7*装备拆分生成表!E$20*F26</f>
        <v>0</v>
      </c>
      <c r="AB55" s="55">
        <f>装备拆分生成表!$H$7*装备拆分生成表!F$20*G26</f>
        <v>0</v>
      </c>
      <c r="AE55" t="s">
        <v>248</v>
      </c>
      <c r="AF55" s="55">
        <f>装备拆分生成表!$H$7*装备拆分生成表!C$20*D35</f>
        <v>467.00087244800011</v>
      </c>
      <c r="AG55" s="55">
        <f>装备拆分生成表!$H$7*装备拆分生成表!D$20*E35</f>
        <v>0</v>
      </c>
      <c r="AH55" s="55">
        <f>装备拆分生成表!$H$7*装备拆分生成表!E$20*F35</f>
        <v>0</v>
      </c>
      <c r="AI55" s="55">
        <f>装备拆分生成表!$H$7*装备拆分生成表!F$20*G35</f>
        <v>0</v>
      </c>
    </row>
    <row r="56" spans="10:35">
      <c r="J56" t="s">
        <v>249</v>
      </c>
      <c r="K56" s="55">
        <f>装备拆分生成表!$H$7*装备拆分生成表!C$20*D9</f>
        <v>0</v>
      </c>
      <c r="L56" s="55">
        <f>装备拆分生成表!$H$7*装备拆分生成表!D$20*E9</f>
        <v>0</v>
      </c>
      <c r="M56" s="55">
        <f>装备拆分生成表!$H$7*装备拆分生成表!E$20*F9</f>
        <v>0</v>
      </c>
      <c r="N56" s="55">
        <f>装备拆分生成表!$H$7*装备拆分生成表!F$20*G9</f>
        <v>87.622844108800024</v>
      </c>
      <c r="O56" s="52"/>
      <c r="Q56" t="s">
        <v>249</v>
      </c>
      <c r="R56" s="55">
        <f>装备拆分生成表!$H$7*装备拆分生成表!C$20*D18</f>
        <v>0</v>
      </c>
      <c r="S56" s="55">
        <f>装备拆分生成表!$H$7*装备拆分生成表!D$20*E18</f>
        <v>0</v>
      </c>
      <c r="T56" s="55">
        <f>装备拆分生成表!$H$7*装备拆分生成表!E$20*F18</f>
        <v>0</v>
      </c>
      <c r="U56" s="55">
        <f>装备拆分生成表!$H$7*装备拆分生成表!F$20*G18</f>
        <v>87.622844108800024</v>
      </c>
      <c r="X56" t="s">
        <v>249</v>
      </c>
      <c r="Y56" s="55">
        <f>装备拆分生成表!$H$7*装备拆分生成表!C$20*D27</f>
        <v>0</v>
      </c>
      <c r="Z56" s="55">
        <f>装备拆分生成表!$H$7*装备拆分生成表!D$20*E27</f>
        <v>0</v>
      </c>
      <c r="AA56" s="55">
        <f>装备拆分生成表!$H$7*装备拆分生成表!E$20*F27</f>
        <v>0</v>
      </c>
      <c r="AB56" s="55">
        <f>装备拆分生成表!$H$7*装备拆分生成表!F$20*G27</f>
        <v>131.43426616320002</v>
      </c>
      <c r="AE56" t="s">
        <v>249</v>
      </c>
      <c r="AF56" s="55">
        <f>装备拆分生成表!$H$7*装备拆分生成表!C$20*D36</f>
        <v>0</v>
      </c>
      <c r="AG56" s="55">
        <f>装备拆分生成表!$H$7*装备拆分生成表!D$20*E36</f>
        <v>0</v>
      </c>
      <c r="AH56" s="55">
        <f>装备拆分生成表!$H$7*装备拆分生成表!E$20*F36</f>
        <v>0</v>
      </c>
      <c r="AI56" s="55">
        <f>装备拆分生成表!$H$7*装备拆分生成表!F$20*G36</f>
        <v>109.52855513600002</v>
      </c>
    </row>
    <row r="57" spans="10:35">
      <c r="J57" t="s">
        <v>250</v>
      </c>
      <c r="K57" s="55">
        <f>装备拆分生成表!$H$7*装备拆分生成表!C$20*D10</f>
        <v>0</v>
      </c>
      <c r="L57" s="55">
        <f>装备拆分生成表!$H$7*装备拆分生成表!D$20*E10</f>
        <v>13.480437555200005</v>
      </c>
      <c r="M57" s="55">
        <f>装备拆分生成表!$H$7*装备拆分生成表!E$20*F10</f>
        <v>0</v>
      </c>
      <c r="N57" s="55">
        <f>装备拆分生成表!$H$7*装备拆分生成表!F$20*G10</f>
        <v>65.717133081600011</v>
      </c>
      <c r="O57" s="52"/>
      <c r="Q57" t="s">
        <v>250</v>
      </c>
      <c r="R57" s="55">
        <f>装备拆分生成表!$H$7*装备拆分生成表!C$20*D19</f>
        <v>0</v>
      </c>
      <c r="S57" s="55">
        <f>装备拆分生成表!$H$7*装备拆分生成表!D$20*E19</f>
        <v>0</v>
      </c>
      <c r="T57" s="55">
        <f>装备拆分生成表!$H$7*装备拆分生成表!E$20*F19</f>
        <v>13.480437555200005</v>
      </c>
      <c r="U57" s="55">
        <f>装备拆分生成表!$H$7*装备拆分生成表!F$20*G19</f>
        <v>65.717133081600011</v>
      </c>
      <c r="X57" t="s">
        <v>250</v>
      </c>
      <c r="Y57" s="55">
        <f>装备拆分生成表!$H$7*装备拆分生成表!C$20*D28</f>
        <v>0</v>
      </c>
      <c r="Z57" s="55">
        <f>装备拆分生成表!$H$7*装备拆分生成表!D$20*E28</f>
        <v>0</v>
      </c>
      <c r="AA57" s="55">
        <f>装备拆分生成表!$H$7*装备拆分生成表!E$20*F28</f>
        <v>0</v>
      </c>
      <c r="AB57" s="55">
        <f>装备拆分生成表!$H$7*装备拆分生成表!F$20*G28</f>
        <v>98.575699622400023</v>
      </c>
      <c r="AE57" t="s">
        <v>250</v>
      </c>
      <c r="AF57" s="55">
        <f>装备拆分生成表!$H$7*装备拆分生成表!C$20*D37</f>
        <v>0</v>
      </c>
      <c r="AG57" s="55">
        <f>装备拆分生成表!$H$7*装备拆分生成表!D$20*E37</f>
        <v>0</v>
      </c>
      <c r="AH57" s="55">
        <f>装备拆分生成表!$H$7*装备拆分生成表!E$20*F37</f>
        <v>0</v>
      </c>
      <c r="AI57" s="55">
        <f>装备拆分生成表!$H$7*装备拆分生成表!F$20*G37</f>
        <v>65.717133081600011</v>
      </c>
    </row>
    <row r="58" spans="10:35">
      <c r="J58" t="s">
        <v>251</v>
      </c>
      <c r="K58" s="55">
        <f>装备拆分生成表!$H$7*装备拆分生成表!C$20*D11</f>
        <v>373.60069795840013</v>
      </c>
      <c r="L58" s="55">
        <f>装备拆分生成表!$H$7*装备拆分生成表!D$20*E11</f>
        <v>0</v>
      </c>
      <c r="M58" s="55">
        <f>装备拆分生成表!$H$7*装备拆分生成表!E$20*F11</f>
        <v>26.960875110400011</v>
      </c>
      <c r="N58" s="55">
        <f>装备拆分生成表!$H$7*装备拆分生成表!F$20*G11</f>
        <v>0</v>
      </c>
      <c r="O58" s="52"/>
      <c r="Q58" t="s">
        <v>251</v>
      </c>
      <c r="R58" s="55">
        <f>装备拆分生成表!$H$7*装备拆分生成表!C$20*D20</f>
        <v>373.60069795840013</v>
      </c>
      <c r="S58" s="55">
        <f>装备拆分生成表!$H$7*装备拆分生成表!D$20*E20</f>
        <v>26.960875110400011</v>
      </c>
      <c r="T58" s="55">
        <f>装备拆分生成表!$H$7*装备拆分生成表!E$20*F20</f>
        <v>0</v>
      </c>
      <c r="U58" s="55">
        <f>装备拆分生成表!$H$7*装备拆分生成表!F$20*G20</f>
        <v>0</v>
      </c>
      <c r="X58" t="s">
        <v>251</v>
      </c>
      <c r="Y58" s="55">
        <f>装备拆分生成表!$H$7*装备拆分生成表!C$20*D29</f>
        <v>467.00087244800011</v>
      </c>
      <c r="Z58" s="55">
        <f>装备拆分生成表!$H$7*装备拆分生成表!D$20*E29</f>
        <v>0</v>
      </c>
      <c r="AA58" s="55">
        <f>装备拆分生成表!$H$7*装备拆分生成表!E$20*F29</f>
        <v>0</v>
      </c>
      <c r="AB58" s="55">
        <f>装备拆分生成表!$H$7*装备拆分生成表!F$20*G29</f>
        <v>0</v>
      </c>
      <c r="AE58" t="s">
        <v>251</v>
      </c>
      <c r="AF58" s="55">
        <f>装备拆分生成表!$H$7*装备拆分生成表!C$20*D38</f>
        <v>280.20052346880004</v>
      </c>
      <c r="AG58" s="55">
        <f>装备拆分生成表!$H$7*装备拆分生成表!D$20*E38</f>
        <v>0</v>
      </c>
      <c r="AH58" s="55">
        <f>装备拆分生成表!$H$7*装备拆分生成表!E$20*F38</f>
        <v>26.960875110400011</v>
      </c>
      <c r="AI58" s="55">
        <f>装备拆分生成表!$H$7*装备拆分生成表!F$20*G38</f>
        <v>0</v>
      </c>
    </row>
    <row r="59" spans="10:35">
      <c r="J59" t="s">
        <v>252</v>
      </c>
      <c r="K59" s="55">
        <f>装备拆分生成表!$H$7*装备拆分生成表!C$20*D12</f>
        <v>93.400174489600033</v>
      </c>
      <c r="L59" s="55">
        <f>装备拆分生成表!$H$7*装备拆分生成表!D$20*E12</f>
        <v>53.921750220800021</v>
      </c>
      <c r="M59" s="55">
        <f>装备拆分生成表!$H$7*装备拆分生成表!E$20*F12</f>
        <v>0</v>
      </c>
      <c r="N59" s="55">
        <f>装备拆分生成表!$H$7*装备拆分生成表!F$20*G12</f>
        <v>0</v>
      </c>
      <c r="O59" s="52"/>
      <c r="Q59" t="s">
        <v>252</v>
      </c>
      <c r="R59" s="55">
        <f>装备拆分生成表!$H$7*装备拆分生成表!C$20*D21</f>
        <v>93.400174489600033</v>
      </c>
      <c r="S59" s="55">
        <f>装备拆分生成表!$H$7*装备拆分生成表!D$20*E21</f>
        <v>0</v>
      </c>
      <c r="T59" s="55">
        <f>装备拆分生成表!$H$7*装备拆分生成表!E$20*F21</f>
        <v>53.921750220800021</v>
      </c>
      <c r="U59" s="55">
        <f>装备拆分生成表!$H$7*装备拆分生成表!F$20*G21</f>
        <v>0</v>
      </c>
      <c r="X59" t="s">
        <v>252</v>
      </c>
      <c r="Y59" s="55">
        <f>装备拆分生成表!$H$7*装备拆分生成表!C$20*D30</f>
        <v>186.80034897920007</v>
      </c>
      <c r="Z59" s="55">
        <f>装备拆分生成表!$H$7*装备拆分生成表!D$20*E30</f>
        <v>0</v>
      </c>
      <c r="AA59" s="55">
        <f>装备拆分生成表!$H$7*装备拆分生成表!E$20*F30</f>
        <v>0</v>
      </c>
      <c r="AB59" s="55">
        <f>装备拆分生成表!$H$7*装备拆分生成表!F$20*G30</f>
        <v>21.905711027200006</v>
      </c>
      <c r="AE59" t="s">
        <v>252</v>
      </c>
      <c r="AF59" s="55">
        <f>装备拆分生成表!$H$7*装备拆分生成表!C$20*D39</f>
        <v>186.80034897920007</v>
      </c>
      <c r="AG59" s="55">
        <f>装备拆分生成表!$H$7*装备拆分生成表!D$20*E39</f>
        <v>0</v>
      </c>
      <c r="AH59" s="55">
        <f>装备拆分生成表!$H$7*装备拆分生成表!E$20*F39</f>
        <v>0</v>
      </c>
      <c r="AI59" s="55">
        <f>装备拆分生成表!$H$7*装备拆分生成表!F$20*G39</f>
        <v>65.717133081600011</v>
      </c>
    </row>
    <row r="60" spans="10:35">
      <c r="J60" t="s">
        <v>253</v>
      </c>
      <c r="K60" s="55">
        <f>装备拆分生成表!$H$9*装备拆分生成表!C$20*D7</f>
        <v>0</v>
      </c>
      <c r="L60" s="55">
        <f>装备拆分生成表!$H$9*装备拆分生成表!D$20*E7</f>
        <v>191.95974573135362</v>
      </c>
      <c r="M60" s="55">
        <f>装备拆分生成表!$H$9*装备拆分生成表!E$20*F7</f>
        <v>95.979872865676811</v>
      </c>
      <c r="N60" s="55">
        <f>装备拆分生成表!$H$9*装备拆分生成表!F$20*G7</f>
        <v>0</v>
      </c>
      <c r="O60" s="52"/>
      <c r="Q60" t="s">
        <v>253</v>
      </c>
      <c r="R60" s="55">
        <f>装备拆分生成表!$H$9*装备拆分生成表!C$20*D16</f>
        <v>0</v>
      </c>
      <c r="S60" s="55">
        <f>装备拆分生成表!$H$9*装备拆分生成表!D$20*E16</f>
        <v>95.979872865676811</v>
      </c>
      <c r="T60" s="55">
        <f>装备拆分生成表!$H$9*装备拆分生成表!E$20*F16</f>
        <v>191.95974573135362</v>
      </c>
      <c r="U60" s="55">
        <f>装备拆分生成表!$H$9*装备拆分生成表!F$20*G16</f>
        <v>0</v>
      </c>
      <c r="X60" t="s">
        <v>253</v>
      </c>
      <c r="Y60" s="55">
        <f>装备拆分生成表!$H$9*装备拆分生成表!C$20*D25</f>
        <v>0</v>
      </c>
      <c r="Z60" s="55">
        <f>装备拆分生成表!$H$9*装备拆分生成表!D$20*E25</f>
        <v>131.97232519030561</v>
      </c>
      <c r="AA60" s="55">
        <f>装备拆分生成表!$H$9*装备拆分生成表!E$20*F25</f>
        <v>131.97232519030561</v>
      </c>
      <c r="AB60" s="55">
        <f>装备拆分生成表!$H$9*装备拆分生成表!F$20*G25</f>
        <v>0</v>
      </c>
      <c r="AE60" t="s">
        <v>253</v>
      </c>
      <c r="AF60" s="55">
        <f>装备拆分生成表!$H$9*装备拆分生成表!C$20*D34</f>
        <v>0</v>
      </c>
      <c r="AG60" s="55">
        <f>装备拆分生成表!$H$9*装备拆分生成表!D$20*E34</f>
        <v>143.9698092985152</v>
      </c>
      <c r="AH60" s="55">
        <f>装备拆分生成表!$H$9*装备拆分生成表!E$20*F34</f>
        <v>143.9698092985152</v>
      </c>
      <c r="AI60" s="55">
        <f>装备拆分生成表!$H$9*装备拆分生成表!F$20*G34</f>
        <v>0</v>
      </c>
    </row>
    <row r="61" spans="10:35">
      <c r="J61" t="s">
        <v>254</v>
      </c>
      <c r="K61" s="55">
        <f>装备拆分生成表!$H$9*装备拆分生成表!C$20*D8</f>
        <v>831.2542560688081</v>
      </c>
      <c r="L61" s="55">
        <f>装备拆分生成表!$H$9*装备拆分生成表!D$20*E8</f>
        <v>0</v>
      </c>
      <c r="M61" s="55">
        <f>装备拆分生成表!$H$9*装备拆分生成表!E$20*F8</f>
        <v>0</v>
      </c>
      <c r="N61" s="55">
        <f>装备拆分生成表!$H$9*装备拆分生成表!F$20*G8</f>
        <v>0</v>
      </c>
      <c r="O61" s="52"/>
      <c r="Q61" t="s">
        <v>254</v>
      </c>
      <c r="R61" s="55">
        <f>装备拆分生成表!$H$9*装备拆分生成表!C$20*D17</f>
        <v>831.2542560688081</v>
      </c>
      <c r="S61" s="55">
        <f>装备拆分生成表!$H$9*装备拆分生成表!D$20*E17</f>
        <v>0</v>
      </c>
      <c r="T61" s="55">
        <f>装备拆分生成表!$H$9*装备拆分生成表!E$20*F17</f>
        <v>0</v>
      </c>
      <c r="U61" s="55">
        <f>装备拆分生成表!$H$9*装备拆分生成表!F$20*G17</f>
        <v>0</v>
      </c>
      <c r="X61" t="s">
        <v>254</v>
      </c>
      <c r="Y61" s="55">
        <f>装备拆分生成表!$H$9*装备拆分生成表!C$20*D26</f>
        <v>1330.006809710093</v>
      </c>
      <c r="Z61" s="55">
        <f>装备拆分生成表!$H$9*装备拆分生成表!D$20*E26</f>
        <v>0</v>
      </c>
      <c r="AA61" s="55">
        <f>装备拆分生成表!$H$9*装备拆分生成表!E$20*F26</f>
        <v>0</v>
      </c>
      <c r="AB61" s="55">
        <f>装备拆分生成表!$H$9*装备拆分生成表!F$20*G26</f>
        <v>0</v>
      </c>
      <c r="AE61" t="s">
        <v>254</v>
      </c>
      <c r="AF61" s="55">
        <f>装备拆分生成表!$H$9*装备拆分生成表!C$20*D35</f>
        <v>831.2542560688081</v>
      </c>
      <c r="AG61" s="55">
        <f>装备拆分生成表!$H$9*装备拆分生成表!D$20*E35</f>
        <v>0</v>
      </c>
      <c r="AH61" s="55">
        <f>装备拆分生成表!$H$9*装备拆分生成表!E$20*F35</f>
        <v>0</v>
      </c>
      <c r="AI61" s="55">
        <f>装备拆分生成表!$H$9*装备拆分生成表!F$20*G35</f>
        <v>0</v>
      </c>
    </row>
    <row r="62" spans="10:35">
      <c r="J62" t="s">
        <v>255</v>
      </c>
      <c r="K62" s="55">
        <f>装备拆分生成表!$H$9*装备拆分生成表!C$20*D9</f>
        <v>0</v>
      </c>
      <c r="L62" s="55">
        <f>装备拆分生成表!$H$9*装备拆分生成表!D$20*E9</f>
        <v>0</v>
      </c>
      <c r="M62" s="55">
        <f>装备拆分生成表!$H$9*装备拆分生成表!E$20*F9</f>
        <v>0</v>
      </c>
      <c r="N62" s="55">
        <f>装备拆分生成表!$H$9*装备拆分生成表!F$20*G9</f>
        <v>155.96729340672482</v>
      </c>
      <c r="O62" s="52"/>
      <c r="Q62" t="s">
        <v>255</v>
      </c>
      <c r="R62" s="55">
        <f>装备拆分生成表!$H$9*装备拆分生成表!C$20*D18</f>
        <v>0</v>
      </c>
      <c r="S62" s="55">
        <f>装备拆分生成表!$H$9*装备拆分生成表!D$20*E18</f>
        <v>0</v>
      </c>
      <c r="T62" s="55">
        <f>装备拆分生成表!$H$9*装备拆分生成表!E$20*F18</f>
        <v>0</v>
      </c>
      <c r="U62" s="55">
        <f>装备拆分生成表!$H$9*装备拆分生成表!F$20*G18</f>
        <v>155.96729340672482</v>
      </c>
      <c r="X62" t="s">
        <v>255</v>
      </c>
      <c r="Y62" s="55">
        <f>装备拆分生成表!$H$9*装备拆分生成表!C$20*D27</f>
        <v>0</v>
      </c>
      <c r="Z62" s="55">
        <f>装备拆分生成表!$H$9*装备拆分生成表!D$20*E27</f>
        <v>0</v>
      </c>
      <c r="AA62" s="55">
        <f>装备拆分生成表!$H$9*装备拆分生成表!E$20*F27</f>
        <v>0</v>
      </c>
      <c r="AB62" s="55">
        <f>装备拆分生成表!$H$9*装备拆分生成表!F$20*G27</f>
        <v>233.95094011008723</v>
      </c>
      <c r="AE62" t="s">
        <v>255</v>
      </c>
      <c r="AF62" s="55">
        <f>装备拆分生成表!$H$9*装备拆分生成表!C$20*D36</f>
        <v>0</v>
      </c>
      <c r="AG62" s="55">
        <f>装备拆分生成表!$H$9*装备拆分生成表!D$20*E36</f>
        <v>0</v>
      </c>
      <c r="AH62" s="55">
        <f>装备拆分生成表!$H$9*装备拆分生成表!E$20*F36</f>
        <v>0</v>
      </c>
      <c r="AI62" s="55">
        <f>装备拆分生成表!$H$9*装备拆分生成表!F$20*G36</f>
        <v>194.95911675840603</v>
      </c>
    </row>
    <row r="63" spans="10:35">
      <c r="J63" t="s">
        <v>256</v>
      </c>
      <c r="K63" s="55">
        <f>装备拆分生成表!$H$9*装备拆分生成表!C$20*D10</f>
        <v>0</v>
      </c>
      <c r="L63" s="55">
        <f>装备拆分生成表!$H$9*装备拆分生成表!D$20*E10</f>
        <v>23.994968216419203</v>
      </c>
      <c r="M63" s="55">
        <f>装备拆分生成表!$H$9*装备拆分生成表!E$20*F10</f>
        <v>0</v>
      </c>
      <c r="N63" s="55">
        <f>装备拆分生成表!$H$9*装备拆分生成表!F$20*G10</f>
        <v>116.97547005504362</v>
      </c>
      <c r="O63" s="52"/>
      <c r="Q63" t="s">
        <v>256</v>
      </c>
      <c r="R63" s="55">
        <f>装备拆分生成表!$H$9*装备拆分生成表!C$20*D19</f>
        <v>0</v>
      </c>
      <c r="S63" s="55">
        <f>装备拆分生成表!$H$9*装备拆分生成表!D$20*E19</f>
        <v>0</v>
      </c>
      <c r="T63" s="55">
        <f>装备拆分生成表!$H$9*装备拆分生成表!E$20*F19</f>
        <v>23.994968216419203</v>
      </c>
      <c r="U63" s="55">
        <f>装备拆分生成表!$H$9*装备拆分生成表!F$20*G19</f>
        <v>116.97547005504362</v>
      </c>
      <c r="X63" t="s">
        <v>256</v>
      </c>
      <c r="Y63" s="55">
        <f>装备拆分生成表!$H$9*装备拆分生成表!C$20*D28</f>
        <v>0</v>
      </c>
      <c r="Z63" s="55">
        <f>装备拆分生成表!$H$9*装备拆分生成表!D$20*E28</f>
        <v>0</v>
      </c>
      <c r="AA63" s="55">
        <f>装备拆分生成表!$H$9*装备拆分生成表!E$20*F28</f>
        <v>0</v>
      </c>
      <c r="AB63" s="55">
        <f>装备拆分生成表!$H$9*装备拆分生成表!F$20*G28</f>
        <v>175.46320508256542</v>
      </c>
      <c r="AE63" t="s">
        <v>256</v>
      </c>
      <c r="AF63" s="55">
        <f>装备拆分生成表!$H$9*装备拆分生成表!C$20*D37</f>
        <v>0</v>
      </c>
      <c r="AG63" s="55">
        <f>装备拆分生成表!$H$9*装备拆分生成表!D$20*E37</f>
        <v>0</v>
      </c>
      <c r="AH63" s="55">
        <f>装备拆分生成表!$H$9*装备拆分生成表!E$20*F37</f>
        <v>0</v>
      </c>
      <c r="AI63" s="55">
        <f>装备拆分生成表!$H$9*装备拆分生成表!F$20*G37</f>
        <v>116.97547005504362</v>
      </c>
    </row>
    <row r="64" spans="10:35">
      <c r="J64" t="s">
        <v>257</v>
      </c>
      <c r="K64" s="55">
        <f>装备拆分生成表!$H$9*装备拆分生成表!C$20*D11</f>
        <v>665.00340485504648</v>
      </c>
      <c r="L64" s="55">
        <f>装备拆分生成表!$H$9*装备拆分生成表!D$20*E11</f>
        <v>0</v>
      </c>
      <c r="M64" s="55">
        <f>装备拆分生成表!$H$9*装备拆分生成表!E$20*F11</f>
        <v>47.989936432838405</v>
      </c>
      <c r="N64" s="55">
        <f>装备拆分生成表!$H$9*装备拆分生成表!F$20*G11</f>
        <v>0</v>
      </c>
      <c r="O64" s="52"/>
      <c r="Q64" t="s">
        <v>257</v>
      </c>
      <c r="R64" s="55">
        <f>装备拆分生成表!$H$9*装备拆分生成表!C$20*D20</f>
        <v>665.00340485504648</v>
      </c>
      <c r="S64" s="55">
        <f>装备拆分生成表!$H$9*装备拆分生成表!D$20*E20</f>
        <v>47.989936432838405</v>
      </c>
      <c r="T64" s="55">
        <f>装备拆分生成表!$H$9*装备拆分生成表!E$20*F20</f>
        <v>0</v>
      </c>
      <c r="U64" s="55">
        <f>装备拆分生成表!$H$9*装备拆分生成表!F$20*G20</f>
        <v>0</v>
      </c>
      <c r="X64" t="s">
        <v>257</v>
      </c>
      <c r="Y64" s="55">
        <f>装备拆分生成表!$H$9*装备拆分生成表!C$20*D29</f>
        <v>831.2542560688081</v>
      </c>
      <c r="Z64" s="55">
        <f>装备拆分生成表!$H$9*装备拆分生成表!D$20*E29</f>
        <v>0</v>
      </c>
      <c r="AA64" s="55">
        <f>装备拆分生成表!$H$9*装备拆分生成表!E$20*F29</f>
        <v>0</v>
      </c>
      <c r="AB64" s="55">
        <f>装备拆分生成表!$H$9*装备拆分生成表!F$20*G29</f>
        <v>0</v>
      </c>
      <c r="AE64" t="s">
        <v>257</v>
      </c>
      <c r="AF64" s="55">
        <f>装备拆分生成表!$H$9*装备拆分生成表!C$20*D38</f>
        <v>498.75255364128486</v>
      </c>
      <c r="AG64" s="55">
        <f>装备拆分生成表!$H$9*装备拆分生成表!D$20*E38</f>
        <v>0</v>
      </c>
      <c r="AH64" s="55">
        <f>装备拆分生成表!$H$9*装备拆分生成表!E$20*F38</f>
        <v>47.989936432838405</v>
      </c>
      <c r="AI64" s="55">
        <f>装备拆分生成表!$H$9*装备拆分生成表!F$20*G38</f>
        <v>0</v>
      </c>
    </row>
    <row r="65" spans="10:35">
      <c r="J65" t="s">
        <v>258</v>
      </c>
      <c r="K65" s="55">
        <f>装备拆分生成表!$H$9*装备拆分生成表!C$20*D12</f>
        <v>166.25085121376162</v>
      </c>
      <c r="L65" s="55">
        <f>装备拆分生成表!$H$9*装备拆分生成表!D$20*E12</f>
        <v>95.979872865676811</v>
      </c>
      <c r="M65" s="55">
        <f>装备拆分生成表!$H$9*装备拆分生成表!E$20*F12</f>
        <v>0</v>
      </c>
      <c r="N65" s="55">
        <f>装备拆分生成表!$H$9*装备拆分生成表!F$20*G12</f>
        <v>0</v>
      </c>
      <c r="O65" s="52"/>
      <c r="Q65" t="s">
        <v>258</v>
      </c>
      <c r="R65" s="55">
        <f>装备拆分生成表!$H$9*装备拆分生成表!C$20*D21</f>
        <v>166.25085121376162</v>
      </c>
      <c r="S65" s="55">
        <f>装备拆分生成表!$H$9*装备拆分生成表!D$20*E21</f>
        <v>0</v>
      </c>
      <c r="T65" s="55">
        <f>装备拆分生成表!$H$9*装备拆分生成表!E$20*F21</f>
        <v>95.979872865676811</v>
      </c>
      <c r="U65" s="55">
        <f>装备拆分生成表!$H$9*装备拆分生成表!F$20*G21</f>
        <v>0</v>
      </c>
      <c r="X65" t="s">
        <v>258</v>
      </c>
      <c r="Y65" s="55">
        <f>装备拆分生成表!$H$9*装备拆分生成表!C$20*D30</f>
        <v>332.50170242752324</v>
      </c>
      <c r="Z65" s="55">
        <f>装备拆分生成表!$H$9*装备拆分生成表!D$20*E30</f>
        <v>0</v>
      </c>
      <c r="AA65" s="55">
        <f>装备拆分生成表!$H$9*装备拆分生成表!E$20*F30</f>
        <v>0</v>
      </c>
      <c r="AB65" s="55">
        <f>装备拆分生成表!$H$9*装备拆分生成表!F$20*G30</f>
        <v>38.991823351681205</v>
      </c>
      <c r="AE65" t="s">
        <v>258</v>
      </c>
      <c r="AF65" s="55">
        <f>装备拆分生成表!$H$9*装备拆分生成表!C$20*D39</f>
        <v>332.50170242752324</v>
      </c>
      <c r="AG65" s="55">
        <f>装备拆分生成表!$H$9*装备拆分生成表!D$20*E39</f>
        <v>0</v>
      </c>
      <c r="AH65" s="55">
        <f>装备拆分生成表!$H$9*装备拆分生成表!E$20*F39</f>
        <v>0</v>
      </c>
      <c r="AI65" s="55">
        <f>装备拆分生成表!$H$9*装备拆分生成表!F$20*G39</f>
        <v>116.97547005504362</v>
      </c>
    </row>
    <row r="66" spans="10:35">
      <c r="J66" t="s">
        <v>259</v>
      </c>
      <c r="K66" s="55">
        <f>装备拆分生成表!$H$12*装备拆分生成表!C$20*D7</f>
        <v>0</v>
      </c>
      <c r="L66" s="55">
        <f>装备拆分生成表!$H$12*装备拆分生成表!D$20*E7</f>
        <v>347.9304845694121</v>
      </c>
      <c r="M66" s="55">
        <f>装备拆分生成表!$H$12*装备拆分生成表!E$20*F7</f>
        <v>173.96524228470605</v>
      </c>
      <c r="N66" s="55">
        <f>装备拆分生成表!$H$12*装备拆分生成表!F$20*G7</f>
        <v>0</v>
      </c>
      <c r="O66" s="52"/>
      <c r="Q66" t="s">
        <v>259</v>
      </c>
      <c r="R66" s="55">
        <f>装备拆分生成表!$H$12*装备拆分生成表!C$20*D16</f>
        <v>0</v>
      </c>
      <c r="S66" s="55">
        <f>装备拆分生成表!$H$12*装备拆分生成表!D$20*E16</f>
        <v>173.96524228470605</v>
      </c>
      <c r="T66" s="55">
        <f>装备拆分生成表!$H$12*装备拆分生成表!E$20*F16</f>
        <v>347.9304845694121</v>
      </c>
      <c r="U66" s="55">
        <f>装备拆分生成表!$H$12*装备拆分生成表!F$20*G16</f>
        <v>0</v>
      </c>
      <c r="X66" t="s">
        <v>259</v>
      </c>
      <c r="Y66" s="55">
        <f>装备拆分生成表!$H$12*装备拆分生成表!C$20*D25</f>
        <v>0</v>
      </c>
      <c r="Z66" s="55">
        <f>装备拆分生成表!$H$12*装备拆分生成表!D$20*E25</f>
        <v>239.20220814147081</v>
      </c>
      <c r="AA66" s="55">
        <f>装备拆分生成表!$H$12*装备拆分生成表!E$20*F25</f>
        <v>239.20220814147081</v>
      </c>
      <c r="AB66" s="55">
        <f>装备拆分生成表!$H$12*装备拆分生成表!F$20*G25</f>
        <v>0</v>
      </c>
      <c r="AE66" t="s">
        <v>259</v>
      </c>
      <c r="AF66" s="55">
        <f>装备拆分生成表!$H$12*装备拆分生成表!C$20*D34</f>
        <v>0</v>
      </c>
      <c r="AG66" s="55">
        <f>装备拆分生成表!$H$12*装备拆分生成表!D$20*E34</f>
        <v>260.94786342705902</v>
      </c>
      <c r="AH66" s="55">
        <f>装备拆分生成表!$H$12*装备拆分生成表!E$20*F34</f>
        <v>260.94786342705902</v>
      </c>
      <c r="AI66" s="55">
        <f>装备拆分生成表!$H$12*装备拆分生成表!F$20*G34</f>
        <v>0</v>
      </c>
    </row>
    <row r="67" spans="10:35">
      <c r="J67" t="s">
        <v>260</v>
      </c>
      <c r="K67" s="55">
        <f>装备拆分生成表!$H$12*装备拆分生成表!C$20*D8</f>
        <v>1506.6632590729005</v>
      </c>
      <c r="L67" s="55">
        <f>装备拆分生成表!$H$12*装备拆分生成表!D$20*E8</f>
        <v>0</v>
      </c>
      <c r="M67" s="55">
        <f>装备拆分生成表!$H$12*装备拆分生成表!E$20*F8</f>
        <v>0</v>
      </c>
      <c r="N67" s="55">
        <f>装备拆分生成表!$H$12*装备拆分生成表!F$20*G8</f>
        <v>0</v>
      </c>
      <c r="O67" s="52"/>
      <c r="Q67" t="s">
        <v>260</v>
      </c>
      <c r="R67" s="55">
        <f>装备拆分生成表!$H$12*装备拆分生成表!C$20*D17</f>
        <v>1506.6632590729005</v>
      </c>
      <c r="S67" s="55">
        <f>装备拆分生成表!$H$12*装备拆分生成表!D$20*E17</f>
        <v>0</v>
      </c>
      <c r="T67" s="55">
        <f>装备拆分生成表!$H$12*装备拆分生成表!E$20*F17</f>
        <v>0</v>
      </c>
      <c r="U67" s="55">
        <f>装备拆分生成表!$H$12*装备拆分生成表!F$20*G17</f>
        <v>0</v>
      </c>
      <c r="X67" t="s">
        <v>260</v>
      </c>
      <c r="Y67" s="55">
        <f>装备拆分生成表!$H$12*装备拆分生成表!C$20*D26</f>
        <v>2410.6612145166409</v>
      </c>
      <c r="Z67" s="55">
        <f>装备拆分生成表!$H$12*装备拆分生成表!D$20*E26</f>
        <v>0</v>
      </c>
      <c r="AA67" s="55">
        <f>装备拆分生成表!$H$12*装备拆分生成表!E$20*F26</f>
        <v>0</v>
      </c>
      <c r="AB67" s="55">
        <f>装备拆分生成表!$H$12*装备拆分生成表!F$20*G26</f>
        <v>0</v>
      </c>
      <c r="AE67" t="s">
        <v>260</v>
      </c>
      <c r="AF67" s="55">
        <f>装备拆分生成表!$H$12*装备拆分生成表!C$20*D35</f>
        <v>1506.6632590729005</v>
      </c>
      <c r="AG67" s="55">
        <f>装备拆分生成表!$H$12*装备拆分生成表!D$20*E35</f>
        <v>0</v>
      </c>
      <c r="AH67" s="55">
        <f>装备拆分生成表!$H$12*装备拆分生成表!E$20*F35</f>
        <v>0</v>
      </c>
      <c r="AI67" s="55">
        <f>装备拆分生成表!$H$12*装备拆分生成表!F$20*G35</f>
        <v>0</v>
      </c>
    </row>
    <row r="68" spans="10:35">
      <c r="J68" t="s">
        <v>261</v>
      </c>
      <c r="K68" s="55">
        <f>装备拆分生成表!$H$12*装备拆分生成表!C$20*D9</f>
        <v>0</v>
      </c>
      <c r="L68" s="55">
        <f>装备拆分生成表!$H$12*装备拆分生成表!D$20*E9</f>
        <v>0</v>
      </c>
      <c r="M68" s="55">
        <f>装备拆分生成表!$H$12*装备拆分生成表!E$20*F9</f>
        <v>0</v>
      </c>
      <c r="N68" s="55">
        <f>装备拆分生成表!$H$12*装备拆分生成表!F$20*G9</f>
        <v>282.69351871264729</v>
      </c>
      <c r="O68" s="52"/>
      <c r="Q68" t="s">
        <v>261</v>
      </c>
      <c r="R68" s="55">
        <f>装备拆分生成表!$H$12*装备拆分生成表!C$20*D18</f>
        <v>0</v>
      </c>
      <c r="S68" s="55">
        <f>装备拆分生成表!$H$12*装备拆分生成表!D$20*E18</f>
        <v>0</v>
      </c>
      <c r="T68" s="55">
        <f>装备拆分生成表!$H$12*装备拆分生成表!E$20*F18</f>
        <v>0</v>
      </c>
      <c r="U68" s="55">
        <f>装备拆分生成表!$H$12*装备拆分生成表!F$20*G18</f>
        <v>282.69351871264729</v>
      </c>
      <c r="X68" t="s">
        <v>261</v>
      </c>
      <c r="Y68" s="55">
        <f>装备拆分生成表!$H$12*装备拆分生成表!C$20*D27</f>
        <v>0</v>
      </c>
      <c r="Z68" s="55">
        <f>装备拆分生成表!$H$12*装备拆分生成表!D$20*E27</f>
        <v>0</v>
      </c>
      <c r="AA68" s="55">
        <f>装备拆分生成表!$H$12*装备拆分生成表!E$20*F27</f>
        <v>0</v>
      </c>
      <c r="AB68" s="55">
        <f>装备拆分生成表!$H$12*装备拆分生成表!F$20*G27</f>
        <v>424.04027806897096</v>
      </c>
      <c r="AE68" t="s">
        <v>261</v>
      </c>
      <c r="AF68" s="55">
        <f>装备拆分生成表!$H$12*装备拆分生成表!C$20*D36</f>
        <v>0</v>
      </c>
      <c r="AG68" s="55">
        <f>装备拆分生成表!$H$12*装备拆分生成表!D$20*E36</f>
        <v>0</v>
      </c>
      <c r="AH68" s="55">
        <f>装备拆分生成表!$H$12*装备拆分生成表!E$20*F36</f>
        <v>0</v>
      </c>
      <c r="AI68" s="55">
        <f>装备拆分生成表!$H$12*装备拆分生成表!F$20*G36</f>
        <v>353.36689839080913</v>
      </c>
    </row>
    <row r="69" spans="10:35">
      <c r="J69" t="s">
        <v>262</v>
      </c>
      <c r="K69" s="55">
        <f>装备拆分生成表!$H$12*装备拆分生成表!C$20*D10</f>
        <v>0</v>
      </c>
      <c r="L69" s="55">
        <f>装备拆分生成表!$H$12*装备拆分生成表!D$20*E10</f>
        <v>43.491310571176513</v>
      </c>
      <c r="M69" s="55">
        <f>装备拆分生成表!$H$12*装备拆分生成表!E$20*F10</f>
        <v>0</v>
      </c>
      <c r="N69" s="55">
        <f>装备拆分生成表!$H$12*装备拆分生成表!F$20*G10</f>
        <v>212.02013903448548</v>
      </c>
      <c r="O69" s="52"/>
      <c r="Q69" t="s">
        <v>262</v>
      </c>
      <c r="R69" s="55">
        <f>装备拆分生成表!$H$12*装备拆分生成表!C$20*D19</f>
        <v>0</v>
      </c>
      <c r="S69" s="55">
        <f>装备拆分生成表!$H$12*装备拆分生成表!D$20*E19</f>
        <v>0</v>
      </c>
      <c r="T69" s="55">
        <f>装备拆分生成表!$H$12*装备拆分生成表!E$20*F19</f>
        <v>43.491310571176513</v>
      </c>
      <c r="U69" s="55">
        <f>装备拆分生成表!$H$12*装备拆分生成表!F$20*G19</f>
        <v>212.02013903448548</v>
      </c>
      <c r="X69" t="s">
        <v>262</v>
      </c>
      <c r="Y69" s="55">
        <f>装备拆分生成表!$H$12*装备拆分生成表!C$20*D28</f>
        <v>0</v>
      </c>
      <c r="Z69" s="55">
        <f>装备拆分生成表!$H$12*装备拆分生成表!D$20*E28</f>
        <v>0</v>
      </c>
      <c r="AA69" s="55">
        <f>装备拆分生成表!$H$12*装备拆分生成表!E$20*F28</f>
        <v>0</v>
      </c>
      <c r="AB69" s="55">
        <f>装备拆分生成表!$H$12*装备拆分生成表!F$20*G28</f>
        <v>318.03020855172821</v>
      </c>
      <c r="AE69" t="s">
        <v>262</v>
      </c>
      <c r="AF69" s="55">
        <f>装备拆分生成表!$H$12*装备拆分生成表!C$20*D37</f>
        <v>0</v>
      </c>
      <c r="AG69" s="55">
        <f>装备拆分生成表!$H$12*装备拆分生成表!D$20*E37</f>
        <v>0</v>
      </c>
      <c r="AH69" s="55">
        <f>装备拆分生成表!$H$12*装备拆分生成表!E$20*F37</f>
        <v>0</v>
      </c>
      <c r="AI69" s="55">
        <f>装备拆分生成表!$H$12*装备拆分生成表!F$20*G37</f>
        <v>212.02013903448548</v>
      </c>
    </row>
    <row r="70" spans="10:35">
      <c r="J70" t="s">
        <v>263</v>
      </c>
      <c r="K70" s="55">
        <f>装备拆分生成表!$H$12*装备拆分生成表!C$20*D11</f>
        <v>1205.3306072583205</v>
      </c>
      <c r="L70" s="55">
        <f>装备拆分生成表!$H$12*装备拆分生成表!D$20*E11</f>
        <v>0</v>
      </c>
      <c r="M70" s="55">
        <f>装备拆分生成表!$H$12*装备拆分生成表!E$20*F11</f>
        <v>86.982621142353025</v>
      </c>
      <c r="N70" s="55">
        <f>装备拆分生成表!$H$12*装备拆分生成表!F$20*G11</f>
        <v>0</v>
      </c>
      <c r="O70" s="52"/>
      <c r="Q70" t="s">
        <v>263</v>
      </c>
      <c r="R70" s="55">
        <f>装备拆分生成表!$H$12*装备拆分生成表!C$20*D20</f>
        <v>1205.3306072583205</v>
      </c>
      <c r="S70" s="55">
        <f>装备拆分生成表!$H$12*装备拆分生成表!D$20*E20</f>
        <v>86.982621142353025</v>
      </c>
      <c r="T70" s="55">
        <f>装备拆分生成表!$H$12*装备拆分生成表!E$20*F20</f>
        <v>0</v>
      </c>
      <c r="U70" s="55">
        <f>装备拆分生成表!$H$12*装备拆分生成表!F$20*G20</f>
        <v>0</v>
      </c>
      <c r="X70" t="s">
        <v>263</v>
      </c>
      <c r="Y70" s="55">
        <f>装备拆分生成表!$H$12*装备拆分生成表!C$20*D29</f>
        <v>1506.6632590729005</v>
      </c>
      <c r="Z70" s="55">
        <f>装备拆分生成表!$H$12*装备拆分生成表!D$20*E29</f>
        <v>0</v>
      </c>
      <c r="AA70" s="55">
        <f>装备拆分生成表!$H$12*装备拆分生成表!E$20*F29</f>
        <v>0</v>
      </c>
      <c r="AB70" s="55">
        <f>装备拆分生成表!$H$12*装备拆分生成表!F$20*G29</f>
        <v>0</v>
      </c>
      <c r="AE70" t="s">
        <v>263</v>
      </c>
      <c r="AF70" s="55">
        <f>装备拆分生成表!$H$12*装备拆分生成表!C$20*D38</f>
        <v>903.99795544374024</v>
      </c>
      <c r="AG70" s="55">
        <f>装备拆分生成表!$H$12*装备拆分生成表!D$20*E38</f>
        <v>0</v>
      </c>
      <c r="AH70" s="55">
        <f>装备拆分生成表!$H$12*装备拆分生成表!E$20*F38</f>
        <v>86.982621142353025</v>
      </c>
      <c r="AI70" s="55">
        <f>装备拆分生成表!$H$12*装备拆分生成表!F$20*G38</f>
        <v>0</v>
      </c>
    </row>
    <row r="71" spans="10:35">
      <c r="J71" t="s">
        <v>264</v>
      </c>
      <c r="K71" s="55">
        <f>装备拆分生成表!$H$12*装备拆分生成表!C$20*D12</f>
        <v>301.33265181458012</v>
      </c>
      <c r="L71" s="55">
        <f>装备拆分生成表!$H$12*装备拆分生成表!D$20*E12</f>
        <v>173.96524228470605</v>
      </c>
      <c r="M71" s="55">
        <f>装备拆分生成表!$H$12*装备拆分生成表!E$20*F12</f>
        <v>0</v>
      </c>
      <c r="N71" s="55">
        <f>装备拆分生成表!$H$12*装备拆分生成表!F$20*G12</f>
        <v>0</v>
      </c>
      <c r="O71" s="52"/>
      <c r="Q71" t="s">
        <v>264</v>
      </c>
      <c r="R71" s="55">
        <f>装备拆分生成表!$H$12*装备拆分生成表!C$20*D21</f>
        <v>301.33265181458012</v>
      </c>
      <c r="S71" s="55">
        <f>装备拆分生成表!$H$12*装备拆分生成表!D$20*E21</f>
        <v>0</v>
      </c>
      <c r="T71" s="55">
        <f>装备拆分生成表!$H$12*装备拆分生成表!E$20*F21</f>
        <v>173.96524228470605</v>
      </c>
      <c r="U71" s="55">
        <f>装备拆分生成表!$H$12*装备拆分生成表!F$20*G21</f>
        <v>0</v>
      </c>
      <c r="X71" t="s">
        <v>264</v>
      </c>
      <c r="Y71" s="55">
        <f>装备拆分生成表!$H$12*装备拆分生成表!C$20*D30</f>
        <v>602.66530362916023</v>
      </c>
      <c r="Z71" s="55">
        <f>装备拆分生成表!$H$12*装备拆分生成表!D$20*E30</f>
        <v>0</v>
      </c>
      <c r="AA71" s="55">
        <f>装备拆分生成表!$H$12*装备拆分生成表!E$20*F30</f>
        <v>0</v>
      </c>
      <c r="AB71" s="55">
        <f>装备拆分生成表!$H$12*装备拆分生成表!F$20*G30</f>
        <v>70.673379678161822</v>
      </c>
      <c r="AE71" t="s">
        <v>264</v>
      </c>
      <c r="AF71" s="55">
        <f>装备拆分生成表!$H$12*装备拆分生成表!C$20*D39</f>
        <v>602.66530362916023</v>
      </c>
      <c r="AG71" s="55">
        <f>装备拆分生成表!$H$12*装备拆分生成表!D$20*E39</f>
        <v>0</v>
      </c>
      <c r="AH71" s="55">
        <f>装备拆分生成表!$H$12*装备拆分生成表!E$20*F39</f>
        <v>0</v>
      </c>
      <c r="AI71" s="55">
        <f>装备拆分生成表!$H$12*装备拆分生成表!F$20*G39</f>
        <v>212.02013903448548</v>
      </c>
    </row>
    <row r="72" spans="10:35">
      <c r="K72" s="52"/>
      <c r="L72" s="52"/>
      <c r="M72" s="52"/>
      <c r="N72" s="52"/>
      <c r="O72" s="52"/>
      <c r="Q72" s="9"/>
      <c r="R72" s="57"/>
      <c r="S72" s="57"/>
      <c r="T72" s="57"/>
      <c r="U72" s="57"/>
      <c r="V72" s="9"/>
      <c r="W72" s="9"/>
      <c r="Y72" s="52"/>
      <c r="Z72" s="52"/>
      <c r="AA72" s="52"/>
      <c r="AB72" s="52"/>
      <c r="AF72" s="52"/>
      <c r="AG72" s="52"/>
      <c r="AH72" s="52"/>
      <c r="AI72" s="52"/>
    </row>
    <row r="73" spans="10:35">
      <c r="K73" s="52"/>
      <c r="L73" s="52"/>
      <c r="M73" s="52"/>
      <c r="N73" s="52"/>
      <c r="O73" s="52"/>
      <c r="Q73" s="9"/>
      <c r="R73" s="57"/>
      <c r="S73" s="57"/>
      <c r="T73" s="57"/>
      <c r="U73" s="57"/>
      <c r="V73" s="9"/>
      <c r="W73" s="9"/>
      <c r="Y73" s="52"/>
      <c r="Z73" s="52"/>
      <c r="AA73" s="52"/>
      <c r="AB73" s="52"/>
      <c r="AF73" s="52"/>
      <c r="AG73" s="52"/>
      <c r="AH73" s="52"/>
      <c r="AI73" s="52"/>
    </row>
    <row r="74" spans="10:35">
      <c r="K74" s="52"/>
      <c r="L74" s="52"/>
      <c r="M74" s="52"/>
      <c r="N74" s="52"/>
      <c r="O74" s="52"/>
      <c r="Q74" s="9"/>
      <c r="R74" s="9"/>
      <c r="S74" s="9"/>
      <c r="T74" s="9"/>
      <c r="U74" s="9"/>
      <c r="V74" s="9"/>
      <c r="W74" s="9"/>
      <c r="Y74" s="52"/>
      <c r="Z74" s="52"/>
      <c r="AA74" s="52"/>
      <c r="AB74" s="52"/>
    </row>
    <row r="75" spans="10:35">
      <c r="K75" s="52"/>
      <c r="L75" s="52"/>
      <c r="M75" s="52"/>
      <c r="N75" s="52"/>
      <c r="O75" s="52"/>
      <c r="Q75" s="9"/>
      <c r="R75" s="9"/>
      <c r="S75" s="9"/>
      <c r="T75" s="9"/>
      <c r="U75" s="9"/>
      <c r="V75" s="9"/>
      <c r="W75" s="9"/>
      <c r="Y75" s="52"/>
      <c r="Z75" s="52"/>
      <c r="AA75" s="52"/>
      <c r="AB75" s="52"/>
    </row>
    <row r="76" spans="10:35">
      <c r="K76" s="52"/>
      <c r="L76" s="52"/>
      <c r="M76" s="52"/>
      <c r="N76" s="52"/>
      <c r="O76" s="52"/>
      <c r="Q76" s="9"/>
      <c r="R76" s="9"/>
      <c r="S76" s="9"/>
      <c r="T76" s="9"/>
      <c r="U76" s="9"/>
      <c r="V76" s="9"/>
      <c r="W76" s="9"/>
      <c r="Y76" s="52"/>
      <c r="Z76" s="52"/>
      <c r="AA76" s="52"/>
      <c r="AB76" s="52"/>
    </row>
    <row r="77" spans="10:35">
      <c r="K77" s="52"/>
      <c r="L77" s="52"/>
      <c r="M77" s="52"/>
      <c r="N77" s="52"/>
      <c r="O77" s="52"/>
      <c r="Q77" s="9"/>
      <c r="R77" s="9"/>
      <c r="S77" s="9"/>
      <c r="T77" s="9"/>
      <c r="U77" s="9"/>
      <c r="V77" s="9"/>
      <c r="W77" s="9"/>
      <c r="Y77" s="52"/>
      <c r="Z77" s="52"/>
      <c r="AA77" s="52"/>
      <c r="AB77" s="52"/>
    </row>
    <row r="78" spans="10:35">
      <c r="K78" s="52"/>
      <c r="L78" s="52"/>
      <c r="M78" s="52"/>
      <c r="N78" s="52"/>
      <c r="O78" s="52"/>
      <c r="Q78" s="9"/>
      <c r="R78" s="9"/>
      <c r="S78" s="9"/>
      <c r="T78" s="9"/>
      <c r="U78" s="9"/>
      <c r="V78" s="9"/>
      <c r="W78" s="9"/>
      <c r="Y78" s="52"/>
      <c r="Z78" s="52"/>
      <c r="AA78" s="52"/>
      <c r="AB78" s="52"/>
    </row>
    <row r="79" spans="10:35">
      <c r="K79" s="52"/>
      <c r="L79" s="52"/>
      <c r="M79" s="52"/>
      <c r="N79" s="52"/>
      <c r="O79" s="52"/>
      <c r="Q79" s="9"/>
      <c r="R79" s="9"/>
      <c r="S79" s="9"/>
      <c r="T79" s="9"/>
      <c r="U79" s="9"/>
      <c r="V79" s="9"/>
      <c r="W79" s="9"/>
      <c r="Y79" s="52"/>
      <c r="Z79" s="52"/>
      <c r="AA79" s="52"/>
      <c r="AB79" s="52"/>
    </row>
    <row r="80" spans="10:35">
      <c r="K80" s="52"/>
      <c r="L80" s="52"/>
      <c r="M80" s="52"/>
      <c r="N80" s="52"/>
      <c r="O80" s="52"/>
      <c r="Y80" s="52"/>
      <c r="Z80" s="52"/>
      <c r="AA80" s="52"/>
      <c r="AB80" s="52"/>
    </row>
    <row r="81" spans="11:28">
      <c r="K81" s="52"/>
      <c r="L81" s="52"/>
      <c r="M81" s="52"/>
      <c r="N81" s="52"/>
      <c r="O81" s="52"/>
      <c r="Y81" s="52"/>
      <c r="Z81" s="52"/>
      <c r="AA81" s="52"/>
      <c r="AB81" s="52"/>
    </row>
    <row r="82" spans="11:28">
      <c r="K82" s="52"/>
      <c r="L82" s="52"/>
      <c r="M82" s="52"/>
      <c r="N82" s="52"/>
      <c r="O82" s="52"/>
      <c r="Y82" s="52"/>
      <c r="Z82" s="52"/>
      <c r="AA82" s="52"/>
      <c r="AB82" s="52"/>
    </row>
    <row r="83" spans="11:28">
      <c r="K83" s="52"/>
      <c r="L83" s="52"/>
      <c r="M83" s="52"/>
      <c r="N83" s="52"/>
      <c r="O83" s="52"/>
    </row>
    <row r="84" spans="11:28">
      <c r="K84" s="52"/>
      <c r="L84" s="52"/>
      <c r="M84" s="52"/>
      <c r="N84" s="52"/>
      <c r="O84" s="5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43" sqref="J43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文档说明</vt:lpstr>
      <vt:lpstr>职业调整模型</vt:lpstr>
      <vt:lpstr>属性拆分生成</vt:lpstr>
      <vt:lpstr>战斗验证</vt:lpstr>
      <vt:lpstr>装备拆分生成表</vt:lpstr>
      <vt:lpstr>属性能力生成表</vt:lpstr>
      <vt:lpstr>装备属性生成表</vt:lpstr>
      <vt:lpstr>宠物升阶生成表</vt:lpstr>
      <vt:lpstr>装备拆分分析表</vt:lpstr>
      <vt:lpstr>镶嵌宝石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Second Lock</dc:creator>
  <cp:lastModifiedBy>The Second Lock</cp:lastModifiedBy>
  <dcterms:created xsi:type="dcterms:W3CDTF">2015-09-17T11:30:59Z</dcterms:created>
  <dcterms:modified xsi:type="dcterms:W3CDTF">2015-10-15T16:58:05Z</dcterms:modified>
</cp:coreProperties>
</file>