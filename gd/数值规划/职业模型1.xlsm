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75" yWindow="15" windowWidth="56055" windowHeight="12465" tabRatio="752" activeTab="12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baseAttr" sheetId="14" r:id="rId11"/>
    <sheet name="自用草稿" sheetId="13" r:id="rId12"/>
    <sheet name="能力数值" sheetId="16" r:id="rId13"/>
  </sheets>
  <externalReferences>
    <externalReference r:id="rId14"/>
    <externalReference r:id="rId15"/>
    <externalReference r:id="rId16"/>
    <externalReference r:id="rId17"/>
  </externalReferences>
  <calcPr calcId="145621"/>
</workbook>
</file>

<file path=xl/calcChain.xml><?xml version="1.0" encoding="utf-8"?>
<calcChain xmlns="http://schemas.openxmlformats.org/spreadsheetml/2006/main">
  <c r="AH305" i="16" l="1"/>
  <c r="AH304" i="16"/>
  <c r="AH303" i="16"/>
  <c r="AH302" i="16"/>
  <c r="AH301" i="16"/>
  <c r="AH300" i="16"/>
  <c r="AH299" i="16"/>
  <c r="AH298" i="16"/>
  <c r="AH297" i="16"/>
  <c r="AH296" i="16"/>
  <c r="AH295" i="16"/>
  <c r="AH294" i="16"/>
  <c r="AH293" i="16"/>
  <c r="AH292" i="16"/>
  <c r="AH291" i="16"/>
  <c r="AH290" i="16"/>
  <c r="AH289" i="16"/>
  <c r="AH288" i="16"/>
  <c r="AH287" i="16"/>
  <c r="AH286" i="16"/>
  <c r="AH285" i="16"/>
  <c r="AH284" i="16"/>
  <c r="AH283" i="16"/>
  <c r="AH282" i="16"/>
  <c r="AH281" i="16"/>
  <c r="AH280" i="16"/>
  <c r="AH279" i="16"/>
  <c r="AH278" i="16"/>
  <c r="AH277" i="16"/>
  <c r="AH276" i="16"/>
  <c r="AH275" i="16"/>
  <c r="AH274" i="16"/>
  <c r="AH273" i="16"/>
  <c r="AH272" i="16"/>
  <c r="AH271" i="16"/>
  <c r="AH270" i="16"/>
  <c r="AH269" i="16"/>
  <c r="AH268" i="16"/>
  <c r="AH267" i="16"/>
  <c r="AH266" i="16"/>
  <c r="AH265" i="16"/>
  <c r="AH264" i="16"/>
  <c r="AH263" i="16"/>
  <c r="AH262" i="16"/>
  <c r="AH261" i="16"/>
  <c r="AH260" i="16"/>
  <c r="AH259" i="16"/>
  <c r="AH258" i="16"/>
  <c r="AH257" i="16"/>
  <c r="AH256" i="16"/>
  <c r="AH255" i="16"/>
  <c r="AH254" i="16"/>
  <c r="AH253" i="16"/>
  <c r="AH252" i="16"/>
  <c r="AH251" i="16"/>
  <c r="AH250" i="16"/>
  <c r="AH249" i="16"/>
  <c r="AH248" i="16"/>
  <c r="AH247" i="16"/>
  <c r="AH246" i="16"/>
  <c r="AH245" i="16"/>
  <c r="AH244" i="16"/>
  <c r="AH243" i="16"/>
  <c r="AH242" i="16"/>
  <c r="AH241" i="16"/>
  <c r="AH240" i="16"/>
  <c r="AH239" i="16"/>
  <c r="AH238" i="16"/>
  <c r="AH237" i="16"/>
  <c r="AH236" i="16"/>
  <c r="AH235" i="16"/>
  <c r="AH234" i="16"/>
  <c r="AH233" i="16"/>
  <c r="AH232" i="16"/>
  <c r="AH231" i="16"/>
  <c r="AH230" i="16"/>
  <c r="AH229" i="16"/>
  <c r="AH228" i="16"/>
  <c r="AH227" i="16"/>
  <c r="AH226" i="16"/>
  <c r="AH225" i="16"/>
  <c r="AH224" i="16"/>
  <c r="AH223" i="16"/>
  <c r="AH222" i="16"/>
  <c r="AH221" i="16"/>
  <c r="AH220" i="16"/>
  <c r="AH219" i="16"/>
  <c r="AH218" i="16"/>
  <c r="AH217" i="16"/>
  <c r="AH216" i="16"/>
  <c r="AH215" i="16"/>
  <c r="AH214" i="16"/>
  <c r="AH213" i="16"/>
  <c r="AH212" i="16"/>
  <c r="AH211" i="16"/>
  <c r="AH210" i="16"/>
  <c r="AH209" i="16"/>
  <c r="AH208" i="16"/>
  <c r="AH207" i="16"/>
  <c r="AH206" i="16"/>
  <c r="AH205" i="16"/>
  <c r="AH204" i="16"/>
  <c r="AH203" i="16"/>
  <c r="AH202" i="16"/>
  <c r="AH201" i="16"/>
  <c r="AH200" i="16"/>
  <c r="AH199" i="16"/>
  <c r="AH198" i="16"/>
  <c r="AH197" i="16"/>
  <c r="AH196" i="16"/>
  <c r="AH195" i="16"/>
  <c r="AH194" i="16"/>
  <c r="AH193" i="16"/>
  <c r="AH192" i="16"/>
  <c r="AH191" i="16"/>
  <c r="AH190" i="16"/>
  <c r="AH189" i="16"/>
  <c r="AH188" i="16"/>
  <c r="AH187" i="16"/>
  <c r="AH186" i="16"/>
  <c r="AH185" i="16"/>
  <c r="AH184" i="16"/>
  <c r="AH183" i="16"/>
  <c r="AH182" i="16"/>
  <c r="AH181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3" i="16"/>
  <c r="M4" i="3"/>
  <c r="AH179" i="16"/>
  <c r="AH178" i="16"/>
  <c r="AH177" i="16"/>
  <c r="AH176" i="16"/>
  <c r="AH174" i="16"/>
  <c r="AH173" i="16"/>
  <c r="AH172" i="16"/>
  <c r="AH171" i="16"/>
  <c r="AH169" i="16"/>
  <c r="AH168" i="16"/>
  <c r="AH167" i="16"/>
  <c r="AH166" i="16"/>
  <c r="AH70" i="16" l="1"/>
  <c r="AH69" i="16"/>
  <c r="AH68" i="16"/>
  <c r="AH67" i="16"/>
  <c r="AH66" i="16"/>
  <c r="AH75" i="16"/>
  <c r="AH74" i="16"/>
  <c r="AH73" i="16"/>
  <c r="AH72" i="16"/>
  <c r="AH71" i="16"/>
  <c r="AH80" i="16"/>
  <c r="AH79" i="16"/>
  <c r="AH78" i="16"/>
  <c r="AH77" i="16"/>
  <c r="AH76" i="16"/>
  <c r="AH155" i="16"/>
  <c r="AH154" i="16"/>
  <c r="AH153" i="16"/>
  <c r="AH152" i="16"/>
  <c r="AH151" i="16"/>
  <c r="AH150" i="16"/>
  <c r="AH149" i="16"/>
  <c r="AH148" i="16"/>
  <c r="AH147" i="16"/>
  <c r="AH146" i="16"/>
  <c r="AH145" i="16"/>
  <c r="AH144" i="16"/>
  <c r="AH143" i="16"/>
  <c r="AH142" i="16"/>
  <c r="AH141" i="16"/>
  <c r="AH140" i="16"/>
  <c r="AH139" i="16"/>
  <c r="AH138" i="16"/>
  <c r="AH137" i="16"/>
  <c r="AH136" i="16"/>
  <c r="AH135" i="16"/>
  <c r="AH134" i="16"/>
  <c r="AH133" i="16"/>
  <c r="AH132" i="16"/>
  <c r="AH131" i="16"/>
  <c r="AH130" i="16"/>
  <c r="AH129" i="16"/>
  <c r="AH128" i="16"/>
  <c r="AH127" i="16"/>
  <c r="AH126" i="16"/>
  <c r="AH125" i="16"/>
  <c r="AH124" i="16"/>
  <c r="AH123" i="16"/>
  <c r="AH122" i="16"/>
  <c r="AH121" i="16"/>
  <c r="AH120" i="16"/>
  <c r="AH119" i="16"/>
  <c r="AH118" i="16"/>
  <c r="AH117" i="16"/>
  <c r="AH116" i="16"/>
  <c r="AH115" i="16"/>
  <c r="AH114" i="16"/>
  <c r="AH113" i="16"/>
  <c r="AH112" i="16"/>
  <c r="AH111" i="16"/>
  <c r="AH110" i="16"/>
  <c r="AH109" i="16"/>
  <c r="AH108" i="16"/>
  <c r="AH107" i="16"/>
  <c r="AH106" i="16"/>
  <c r="AH105" i="16"/>
  <c r="AH104" i="16"/>
  <c r="AH103" i="16"/>
  <c r="AH102" i="16"/>
  <c r="AH101" i="16"/>
  <c r="AH100" i="16"/>
  <c r="AH99" i="16"/>
  <c r="AH98" i="16"/>
  <c r="AH97" i="16"/>
  <c r="AH96" i="16"/>
  <c r="AH95" i="16"/>
  <c r="AH94" i="16"/>
  <c r="AH93" i="16"/>
  <c r="AH92" i="16"/>
  <c r="AH91" i="16"/>
  <c r="AH90" i="16"/>
  <c r="AH89" i="16"/>
  <c r="AH88" i="16"/>
  <c r="AH87" i="16"/>
  <c r="AH86" i="16"/>
  <c r="AH82" i="16"/>
  <c r="AH83" i="16"/>
  <c r="AH84" i="16"/>
  <c r="AH85" i="16"/>
  <c r="AH81" i="16"/>
  <c r="P3" i="3" l="1"/>
  <c r="E4" i="3" s="1"/>
  <c r="AH180" i="16"/>
  <c r="AH175" i="16"/>
  <c r="AH170" i="16"/>
  <c r="AH165" i="16"/>
  <c r="AH164" i="16"/>
  <c r="AH163" i="16"/>
  <c r="AH162" i="16"/>
  <c r="AH161" i="16"/>
  <c r="AH160" i="16"/>
  <c r="AH159" i="16"/>
  <c r="AH158" i="16"/>
  <c r="AH157" i="16"/>
  <c r="AH156" i="16"/>
  <c r="P4" i="3" l="1"/>
  <c r="AH33" i="16"/>
  <c r="AH29" i="16" l="1"/>
  <c r="AO5" i="16"/>
  <c r="AH26" i="16"/>
  <c r="AH27" i="16"/>
  <c r="AH28" i="16"/>
  <c r="AH25" i="16"/>
  <c r="AH20" i="16"/>
  <c r="AH19" i="16"/>
  <c r="AH18" i="16"/>
  <c r="AH21" i="16"/>
  <c r="AH17" i="16"/>
  <c r="AH16" i="16"/>
  <c r="AH15" i="16"/>
  <c r="AH14" i="16"/>
  <c r="AH13" i="16"/>
  <c r="AH12" i="16"/>
  <c r="AH11" i="16"/>
  <c r="AH10" i="16"/>
  <c r="AH9" i="16"/>
  <c r="AH7" i="16"/>
  <c r="AO4" i="16"/>
  <c r="AO3" i="16"/>
  <c r="AO2" i="16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F5" i="3" l="1"/>
  <c r="F6" i="3" s="1"/>
  <c r="H4" i="3"/>
  <c r="D4" i="8" s="1"/>
  <c r="S14" i="1"/>
  <c r="T14" i="1" s="1"/>
  <c r="C81" i="1" s="1"/>
  <c r="C82" i="1" s="1"/>
  <c r="J20" i="3" s="1"/>
  <c r="S12" i="1"/>
  <c r="T12" i="1" s="1"/>
  <c r="S13" i="1"/>
  <c r="T13" i="1" s="1"/>
  <c r="M3" i="3"/>
  <c r="M16" i="7"/>
  <c r="M15" i="7"/>
  <c r="M14" i="7"/>
  <c r="M13" i="7"/>
  <c r="M12" i="7"/>
  <c r="M11" i="7"/>
  <c r="M10" i="7"/>
  <c r="M9" i="7"/>
  <c r="M8" i="7"/>
  <c r="M7" i="7"/>
  <c r="M33" i="3"/>
  <c r="M37" i="3"/>
  <c r="M49" i="3"/>
  <c r="M52" i="3"/>
  <c r="M57" i="3"/>
  <c r="M60" i="3"/>
  <c r="M65" i="3"/>
  <c r="M68" i="3"/>
  <c r="M73" i="3"/>
  <c r="M76" i="3"/>
  <c r="M81" i="3"/>
  <c r="M84" i="3"/>
  <c r="M89" i="3"/>
  <c r="M92" i="3"/>
  <c r="M97" i="3"/>
  <c r="M100" i="3"/>
  <c r="M105" i="3"/>
  <c r="M108" i="3"/>
  <c r="M113" i="3"/>
  <c r="M116" i="3"/>
  <c r="M121" i="3"/>
  <c r="M124" i="3"/>
  <c r="M17" i="7"/>
  <c r="M18" i="7"/>
  <c r="M19" i="7"/>
  <c r="M20" i="7"/>
  <c r="M21" i="7"/>
  <c r="J71" i="14"/>
  <c r="J72" i="14"/>
  <c r="J73" i="14"/>
  <c r="J74" i="14"/>
  <c r="J75" i="14"/>
  <c r="J70" i="14"/>
  <c r="G65" i="14"/>
  <c r="G66" i="14"/>
  <c r="G67" i="14"/>
  <c r="G68" i="14"/>
  <c r="G69" i="14"/>
  <c r="G64" i="14"/>
  <c r="I59" i="14"/>
  <c r="I60" i="14"/>
  <c r="I61" i="14"/>
  <c r="I62" i="14"/>
  <c r="I63" i="14"/>
  <c r="I58" i="14"/>
  <c r="H53" i="14"/>
  <c r="H54" i="14"/>
  <c r="H55" i="14"/>
  <c r="H56" i="14"/>
  <c r="H57" i="14"/>
  <c r="H52" i="14"/>
  <c r="D47" i="14"/>
  <c r="D48" i="14"/>
  <c r="D49" i="14"/>
  <c r="D50" i="14"/>
  <c r="D51" i="14"/>
  <c r="D46" i="14"/>
  <c r="AH6" i="16"/>
  <c r="AH39" i="16"/>
  <c r="AH40" i="16"/>
  <c r="AH41" i="16"/>
  <c r="AH42" i="16"/>
  <c r="AH43" i="16"/>
  <c r="AH44" i="16"/>
  <c r="AH45" i="16"/>
  <c r="AH46" i="16"/>
  <c r="AH47" i="16"/>
  <c r="AH48" i="16"/>
  <c r="AH49" i="16"/>
  <c r="AH50" i="16"/>
  <c r="AH51" i="16"/>
  <c r="AH52" i="16"/>
  <c r="AH53" i="16"/>
  <c r="AH54" i="16"/>
  <c r="AH55" i="16"/>
  <c r="AH56" i="16"/>
  <c r="AH57" i="16"/>
  <c r="AH58" i="16"/>
  <c r="AH59" i="16"/>
  <c r="AH60" i="16"/>
  <c r="AH61" i="16"/>
  <c r="AH62" i="16"/>
  <c r="AH63" i="16"/>
  <c r="AH64" i="16"/>
  <c r="AH65" i="16"/>
  <c r="AH22" i="16"/>
  <c r="AH23" i="16"/>
  <c r="AH24" i="16"/>
  <c r="AH30" i="16"/>
  <c r="AH31" i="16"/>
  <c r="AH32" i="16"/>
  <c r="AH34" i="16"/>
  <c r="AH35" i="16"/>
  <c r="AH36" i="16"/>
  <c r="AH37" i="16"/>
  <c r="AH38" i="16"/>
  <c r="AH4" i="16"/>
  <c r="AH8" i="16"/>
  <c r="AH3" i="16"/>
  <c r="F23" i="12"/>
  <c r="E40" i="14" s="1"/>
  <c r="C27" i="12"/>
  <c r="F26" i="14" s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M127" i="3" s="1"/>
  <c r="M29" i="3" s="1"/>
  <c r="G29" i="3"/>
  <c r="O23" i="6"/>
  <c r="O24" i="6"/>
  <c r="N23" i="6"/>
  <c r="N24" i="6"/>
  <c r="M23" i="6"/>
  <c r="M24" i="6"/>
  <c r="L23" i="6"/>
  <c r="L24" i="6"/>
  <c r="K6" i="12"/>
  <c r="D5" i="12"/>
  <c r="D6" i="12"/>
  <c r="D7" i="12"/>
  <c r="D9" i="12"/>
  <c r="D8" i="12"/>
  <c r="D4" i="12"/>
  <c r="I15" i="8"/>
  <c r="D16" i="12" s="1"/>
  <c r="Q16" i="8"/>
  <c r="I14" i="8" s="1"/>
  <c r="D15" i="12" s="1"/>
  <c r="I12" i="12" s="1"/>
  <c r="C13" i="8"/>
  <c r="H13" i="8" s="1"/>
  <c r="C14" i="12" s="1"/>
  <c r="C14" i="8"/>
  <c r="C15" i="8"/>
  <c r="C16" i="8"/>
  <c r="T25" i="8"/>
  <c r="T24" i="8"/>
  <c r="T23" i="8"/>
  <c r="T22" i="8"/>
  <c r="T21" i="8"/>
  <c r="T20" i="8"/>
  <c r="S10" i="8"/>
  <c r="I7" i="12"/>
  <c r="C76" i="1"/>
  <c r="M2" i="3"/>
  <c r="K13" i="1"/>
  <c r="L13" i="1" s="1"/>
  <c r="C14" i="1"/>
  <c r="D14" i="1" s="1"/>
  <c r="C39" i="1" s="1"/>
  <c r="C40" i="1" s="1"/>
  <c r="C12" i="1"/>
  <c r="D12" i="1" s="1"/>
  <c r="C18" i="1" s="1"/>
  <c r="C13" i="1"/>
  <c r="D13" i="1" s="1"/>
  <c r="A230" i="10"/>
  <c r="A216" i="10"/>
  <c r="A220" i="10"/>
  <c r="A224" i="10"/>
  <c r="A208" i="10"/>
  <c r="A238" i="10" s="1"/>
  <c r="A212" i="10"/>
  <c r="A242" i="10" s="1"/>
  <c r="A213" i="10"/>
  <c r="A243" i="10" s="1"/>
  <c r="A196" i="10"/>
  <c r="A226" i="10" s="1"/>
  <c r="A200" i="10"/>
  <c r="A204" i="10"/>
  <c r="A234" i="10" s="1"/>
  <c r="A183" i="10"/>
  <c r="A184" i="10"/>
  <c r="A214" i="10" s="1"/>
  <c r="A244" i="10" s="1"/>
  <c r="A187" i="10"/>
  <c r="A217" i="10" s="1"/>
  <c r="A188" i="10"/>
  <c r="A218" i="10" s="1"/>
  <c r="A191" i="10"/>
  <c r="A221" i="10" s="1"/>
  <c r="A192" i="10"/>
  <c r="A222" i="10" s="1"/>
  <c r="A195" i="10"/>
  <c r="A225" i="10" s="1"/>
  <c r="A156" i="10"/>
  <c r="A186" i="10" s="1"/>
  <c r="A157" i="10"/>
  <c r="A158" i="10"/>
  <c r="A159" i="10"/>
  <c r="A189" i="10" s="1"/>
  <c r="A219" i="10" s="1"/>
  <c r="A160" i="10"/>
  <c r="A190" i="10" s="1"/>
  <c r="A161" i="10"/>
  <c r="A162" i="10"/>
  <c r="A163" i="10"/>
  <c r="A193" i="10" s="1"/>
  <c r="A223" i="10" s="1"/>
  <c r="A164" i="10"/>
  <c r="A194" i="10" s="1"/>
  <c r="A165" i="10"/>
  <c r="A166" i="10"/>
  <c r="A167" i="10"/>
  <c r="A197" i="10" s="1"/>
  <c r="A227" i="10" s="1"/>
  <c r="A168" i="10"/>
  <c r="A198" i="10" s="1"/>
  <c r="A228" i="10" s="1"/>
  <c r="A169" i="10"/>
  <c r="A199" i="10" s="1"/>
  <c r="A229" i="10" s="1"/>
  <c r="A170" i="10"/>
  <c r="A171" i="10"/>
  <c r="A201" i="10" s="1"/>
  <c r="A231" i="10" s="1"/>
  <c r="A172" i="10"/>
  <c r="A202" i="10" s="1"/>
  <c r="A232" i="10" s="1"/>
  <c r="A173" i="10"/>
  <c r="A203" i="10" s="1"/>
  <c r="A233" i="10" s="1"/>
  <c r="A174" i="10"/>
  <c r="A175" i="10"/>
  <c r="A205" i="10" s="1"/>
  <c r="A235" i="10" s="1"/>
  <c r="A176" i="10"/>
  <c r="A206" i="10" s="1"/>
  <c r="A236" i="10" s="1"/>
  <c r="A177" i="10"/>
  <c r="A207" i="10" s="1"/>
  <c r="A237" i="10" s="1"/>
  <c r="A178" i="10"/>
  <c r="A179" i="10"/>
  <c r="A209" i="10" s="1"/>
  <c r="A239" i="10" s="1"/>
  <c r="A180" i="10"/>
  <c r="A210" i="10" s="1"/>
  <c r="A240" i="10" s="1"/>
  <c r="A181" i="10"/>
  <c r="A211" i="10" s="1"/>
  <c r="A241" i="10" s="1"/>
  <c r="A182" i="10"/>
  <c r="A155" i="10"/>
  <c r="A185" i="10" s="1"/>
  <c r="A215" i="10" s="1"/>
  <c r="A101" i="10"/>
  <c r="A109" i="10"/>
  <c r="A117" i="10"/>
  <c r="A67" i="10"/>
  <c r="A97" i="10" s="1"/>
  <c r="A71" i="10"/>
  <c r="A75" i="10"/>
  <c r="A105" i="10" s="1"/>
  <c r="A79" i="10"/>
  <c r="A83" i="10"/>
  <c r="A113" i="10" s="1"/>
  <c r="A87" i="10"/>
  <c r="A91" i="10"/>
  <c r="A121" i="10" s="1"/>
  <c r="A94" i="10"/>
  <c r="A124" i="10" s="1"/>
  <c r="A64" i="10"/>
  <c r="A65" i="10"/>
  <c r="A95" i="10" s="1"/>
  <c r="A57" i="10"/>
  <c r="A58" i="10"/>
  <c r="A88" i="10" s="1"/>
  <c r="A118" i="10" s="1"/>
  <c r="A59" i="10"/>
  <c r="A89" i="10" s="1"/>
  <c r="A119" i="10" s="1"/>
  <c r="A60" i="10"/>
  <c r="A90" i="10" s="1"/>
  <c r="A120" i="10" s="1"/>
  <c r="A61" i="10"/>
  <c r="A62" i="10"/>
  <c r="A92" i="10" s="1"/>
  <c r="A122" i="10" s="1"/>
  <c r="A63" i="10"/>
  <c r="A93" i="10" s="1"/>
  <c r="A123" i="10" s="1"/>
  <c r="A36" i="10"/>
  <c r="A66" i="10" s="1"/>
  <c r="A96" i="10" s="1"/>
  <c r="A37" i="10"/>
  <c r="A38" i="10"/>
  <c r="A68" i="10" s="1"/>
  <c r="A98" i="10" s="1"/>
  <c r="A39" i="10"/>
  <c r="A69" i="10" s="1"/>
  <c r="A99" i="10" s="1"/>
  <c r="A40" i="10"/>
  <c r="A70" i="10" s="1"/>
  <c r="A100" i="10" s="1"/>
  <c r="A41" i="10"/>
  <c r="A42" i="10"/>
  <c r="A72" i="10" s="1"/>
  <c r="A102" i="10" s="1"/>
  <c r="A43" i="10"/>
  <c r="A73" i="10" s="1"/>
  <c r="A103" i="10" s="1"/>
  <c r="A44" i="10"/>
  <c r="A74" i="10" s="1"/>
  <c r="A104" i="10" s="1"/>
  <c r="A45" i="10"/>
  <c r="A46" i="10"/>
  <c r="A76" i="10" s="1"/>
  <c r="A106" i="10" s="1"/>
  <c r="A47" i="10"/>
  <c r="A77" i="10" s="1"/>
  <c r="A107" i="10" s="1"/>
  <c r="A48" i="10"/>
  <c r="A78" i="10" s="1"/>
  <c r="A108" i="10" s="1"/>
  <c r="A49" i="10"/>
  <c r="A50" i="10"/>
  <c r="A80" i="10" s="1"/>
  <c r="A110" i="10" s="1"/>
  <c r="A51" i="10"/>
  <c r="A81" i="10" s="1"/>
  <c r="A111" i="10" s="1"/>
  <c r="A52" i="10"/>
  <c r="A82" i="10" s="1"/>
  <c r="A112" i="10" s="1"/>
  <c r="A53" i="10"/>
  <c r="A54" i="10"/>
  <c r="A84" i="10" s="1"/>
  <c r="A114" i="10" s="1"/>
  <c r="A55" i="10"/>
  <c r="A85" i="10" s="1"/>
  <c r="A115" i="10" s="1"/>
  <c r="A56" i="10"/>
  <c r="A86" i="10" s="1"/>
  <c r="A116" i="10" s="1"/>
  <c r="A35" i="10"/>
  <c r="G33" i="9"/>
  <c r="D33" i="9"/>
  <c r="F33" i="9"/>
  <c r="E33" i="9"/>
  <c r="G24" i="9"/>
  <c r="D24" i="9"/>
  <c r="F24" i="9"/>
  <c r="E24" i="9"/>
  <c r="E15" i="9"/>
  <c r="G15" i="9"/>
  <c r="D15" i="9"/>
  <c r="F15" i="9"/>
  <c r="F6" i="9"/>
  <c r="D6" i="9"/>
  <c r="G6" i="9"/>
  <c r="E6" i="9"/>
  <c r="C12" i="8"/>
  <c r="C11" i="8"/>
  <c r="H11" i="8" s="1"/>
  <c r="C12" i="12" s="1"/>
  <c r="C7" i="8"/>
  <c r="H7" i="8" s="1"/>
  <c r="C8" i="12" s="1"/>
  <c r="C6" i="8"/>
  <c r="H6" i="8"/>
  <c r="C5" i="8"/>
  <c r="H5" i="8" s="1"/>
  <c r="C4" i="8"/>
  <c r="H4" i="8"/>
  <c r="C8" i="8"/>
  <c r="Q11" i="8" s="1"/>
  <c r="I8" i="8" s="1"/>
  <c r="C9" i="8"/>
  <c r="C10" i="8"/>
  <c r="H16" i="8"/>
  <c r="C17" i="12" s="1"/>
  <c r="C3" i="8"/>
  <c r="H3" i="8"/>
  <c r="C4" i="12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7" i="7"/>
  <c r="H3" i="3"/>
  <c r="D3" i="8" s="1"/>
  <c r="O14" i="1"/>
  <c r="P14" i="1" s="1"/>
  <c r="K14" i="1"/>
  <c r="L14" i="1" s="1"/>
  <c r="G14" i="1"/>
  <c r="H14" i="1" s="1"/>
  <c r="H39" i="1" s="1"/>
  <c r="H40" i="1" s="1"/>
  <c r="O13" i="1"/>
  <c r="P13" i="1" s="1"/>
  <c r="M67" i="1" s="1"/>
  <c r="O12" i="1"/>
  <c r="P12" i="1" s="1"/>
  <c r="R60" i="1" s="1"/>
  <c r="K12" i="1"/>
  <c r="L12" i="1" s="1"/>
  <c r="G13" i="1"/>
  <c r="H13" i="1" s="1"/>
  <c r="H43" i="1" s="1"/>
  <c r="G12" i="1"/>
  <c r="H12" i="1" s="1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E29" i="1"/>
  <c r="R57" i="1"/>
  <c r="R58" i="1" s="1"/>
  <c r="Q57" i="1"/>
  <c r="N57" i="1"/>
  <c r="M57" i="1"/>
  <c r="M58" i="1" s="1"/>
  <c r="E51" i="1"/>
  <c r="I57" i="1"/>
  <c r="H57" i="1"/>
  <c r="D57" i="1"/>
  <c r="D58" i="1" s="1"/>
  <c r="C57" i="1"/>
  <c r="C58" i="1" s="1"/>
  <c r="C26" i="1"/>
  <c r="C34" i="1" s="1"/>
  <c r="I34" i="1"/>
  <c r="H34" i="1"/>
  <c r="D76" i="1"/>
  <c r="H9" i="8"/>
  <c r="Q12" i="8"/>
  <c r="I9" i="8" s="1"/>
  <c r="D10" i="12" s="1"/>
  <c r="I8" i="12" s="1"/>
  <c r="H10" i="8"/>
  <c r="Q13" i="8"/>
  <c r="I10" i="8" s="1"/>
  <c r="D11" i="12" s="1"/>
  <c r="I9" i="12" s="1"/>
  <c r="F25" i="12" s="1"/>
  <c r="E42" i="14" s="1"/>
  <c r="H12" i="8"/>
  <c r="Q15" i="8"/>
  <c r="I13" i="8" s="1"/>
  <c r="D14" i="12" s="1"/>
  <c r="I11" i="12" s="1"/>
  <c r="E27" i="12" s="1"/>
  <c r="C32" i="14" s="1"/>
  <c r="H15" i="8"/>
  <c r="C16" i="12" s="1"/>
  <c r="H14" i="8"/>
  <c r="C15" i="12" s="1"/>
  <c r="M5" i="3"/>
  <c r="M6" i="3"/>
  <c r="M7" i="3"/>
  <c r="M8" i="3"/>
  <c r="M9" i="3"/>
  <c r="M10" i="3"/>
  <c r="M11" i="3"/>
  <c r="M12" i="3"/>
  <c r="M13" i="3"/>
  <c r="M14" i="3"/>
  <c r="M15" i="3"/>
  <c r="M16" i="3"/>
  <c r="C13" i="12" l="1"/>
  <c r="E5" i="3"/>
  <c r="H5" i="3" s="1"/>
  <c r="F4" i="8"/>
  <c r="F5" i="8" s="1"/>
  <c r="F6" i="8" s="1"/>
  <c r="H24" i="9"/>
  <c r="H6" i="9"/>
  <c r="H33" i="9"/>
  <c r="E28" i="12"/>
  <c r="C33" i="14" s="1"/>
  <c r="D28" i="12"/>
  <c r="B39" i="14" s="1"/>
  <c r="F28" i="12"/>
  <c r="E45" i="14" s="1"/>
  <c r="C28" i="12"/>
  <c r="F27" i="14" s="1"/>
  <c r="E24" i="12"/>
  <c r="C29" i="14" s="1"/>
  <c r="F24" i="12"/>
  <c r="E41" i="14" s="1"/>
  <c r="D24" i="12"/>
  <c r="B35" i="14" s="1"/>
  <c r="C24" i="12"/>
  <c r="F23" i="14" s="1"/>
  <c r="H15" i="9"/>
  <c r="M120" i="3"/>
  <c r="M112" i="3"/>
  <c r="M104" i="3"/>
  <c r="M96" i="3"/>
  <c r="M88" i="3"/>
  <c r="M80" i="3"/>
  <c r="M72" i="3"/>
  <c r="M64" i="3"/>
  <c r="M56" i="3"/>
  <c r="M45" i="3"/>
  <c r="C25" i="12"/>
  <c r="F24" i="14" s="1"/>
  <c r="E25" i="12"/>
  <c r="C30" i="14" s="1"/>
  <c r="D25" i="12"/>
  <c r="B36" i="14" s="1"/>
  <c r="C23" i="12"/>
  <c r="F22" i="14" s="1"/>
  <c r="D23" i="12"/>
  <c r="B34" i="14" s="1"/>
  <c r="E23" i="12"/>
  <c r="C28" i="14" s="1"/>
  <c r="I16" i="8"/>
  <c r="D17" i="12" s="1"/>
  <c r="F27" i="12"/>
  <c r="E44" i="14" s="1"/>
  <c r="D27" i="12"/>
  <c r="B38" i="14" s="1"/>
  <c r="Q14" i="8"/>
  <c r="M30" i="3"/>
  <c r="M34" i="3"/>
  <c r="M38" i="3"/>
  <c r="M42" i="3"/>
  <c r="M46" i="3"/>
  <c r="M50" i="3"/>
  <c r="M54" i="3"/>
  <c r="M58" i="3"/>
  <c r="M62" i="3"/>
  <c r="M66" i="3"/>
  <c r="M70" i="3"/>
  <c r="M74" i="3"/>
  <c r="M78" i="3"/>
  <c r="M82" i="3"/>
  <c r="M86" i="3"/>
  <c r="M90" i="3"/>
  <c r="M94" i="3"/>
  <c r="M98" i="3"/>
  <c r="M102" i="3"/>
  <c r="M106" i="3"/>
  <c r="M110" i="3"/>
  <c r="M114" i="3"/>
  <c r="M118" i="3"/>
  <c r="M122" i="3"/>
  <c r="M126" i="3"/>
  <c r="M31" i="3"/>
  <c r="M35" i="3"/>
  <c r="M39" i="3"/>
  <c r="M43" i="3"/>
  <c r="M47" i="3"/>
  <c r="M51" i="3"/>
  <c r="M55" i="3"/>
  <c r="M59" i="3"/>
  <c r="M63" i="3"/>
  <c r="M67" i="3"/>
  <c r="M71" i="3"/>
  <c r="M75" i="3"/>
  <c r="M79" i="3"/>
  <c r="M83" i="3"/>
  <c r="M87" i="3"/>
  <c r="M91" i="3"/>
  <c r="M95" i="3"/>
  <c r="M99" i="3"/>
  <c r="M103" i="3"/>
  <c r="M107" i="3"/>
  <c r="M111" i="3"/>
  <c r="M115" i="3"/>
  <c r="M119" i="3"/>
  <c r="M123" i="3"/>
  <c r="M32" i="3"/>
  <c r="M36" i="3"/>
  <c r="M40" i="3"/>
  <c r="M44" i="3"/>
  <c r="M48" i="3"/>
  <c r="H8" i="8"/>
  <c r="C9" i="12" s="1"/>
  <c r="M125" i="3"/>
  <c r="M117" i="3"/>
  <c r="M109" i="3"/>
  <c r="M101" i="3"/>
  <c r="M93" i="3"/>
  <c r="M85" i="3"/>
  <c r="M77" i="3"/>
  <c r="M69" i="3"/>
  <c r="M61" i="3"/>
  <c r="M53" i="3"/>
  <c r="M41" i="3"/>
  <c r="H58" i="1"/>
  <c r="N58" i="1"/>
  <c r="D34" i="1"/>
  <c r="D60" i="1"/>
  <c r="D61" i="1" s="1"/>
  <c r="I58" i="1"/>
  <c r="Q58" i="1"/>
  <c r="E3" i="8"/>
  <c r="Q67" i="1"/>
  <c r="D5" i="8"/>
  <c r="C85" i="1"/>
  <c r="J23" i="3" s="1"/>
  <c r="S19" i="1"/>
  <c r="G19" i="1"/>
  <c r="G5" i="8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C19" i="1"/>
  <c r="E6" i="3"/>
  <c r="H6" i="3" s="1"/>
  <c r="J7" i="7"/>
  <c r="J8" i="7"/>
  <c r="C6" i="12"/>
  <c r="C78" i="1"/>
  <c r="C83" i="1" s="1"/>
  <c r="J21" i="3" s="1"/>
  <c r="S18" i="1"/>
  <c r="C43" i="1"/>
  <c r="G18" i="1"/>
  <c r="H36" i="1"/>
  <c r="I36" i="1"/>
  <c r="K19" i="1"/>
  <c r="C67" i="1"/>
  <c r="H67" i="1"/>
  <c r="C11" i="12"/>
  <c r="C63" i="1"/>
  <c r="C64" i="1" s="1"/>
  <c r="H63" i="1"/>
  <c r="H64" i="1" s="1"/>
  <c r="H60" i="1"/>
  <c r="K18" i="1"/>
  <c r="I60" i="1"/>
  <c r="C60" i="1"/>
  <c r="M64" i="1"/>
  <c r="M63" i="1" s="1"/>
  <c r="Q64" i="1"/>
  <c r="Q63" i="1" s="1"/>
  <c r="O19" i="1"/>
  <c r="Q66" i="1"/>
  <c r="R61" i="1"/>
  <c r="C10" i="12"/>
  <c r="C7" i="12"/>
  <c r="M60" i="1"/>
  <c r="Q60" i="1"/>
  <c r="O18" i="1"/>
  <c r="N60" i="1"/>
  <c r="E4" i="8"/>
  <c r="C5" i="12"/>
  <c r="D36" i="1"/>
  <c r="C36" i="1"/>
  <c r="D78" i="1"/>
  <c r="F7" i="3"/>
  <c r="E5" i="8" l="1"/>
  <c r="C66" i="1"/>
  <c r="C79" i="1"/>
  <c r="E6" i="8"/>
  <c r="I11" i="8"/>
  <c r="D12" i="12" s="1"/>
  <c r="I10" i="12" s="1"/>
  <c r="I12" i="8"/>
  <c r="D13" i="12" s="1"/>
  <c r="F7" i="8"/>
  <c r="F8" i="8" s="1"/>
  <c r="J11" i="7"/>
  <c r="J10" i="7"/>
  <c r="J9" i="7"/>
  <c r="P5" i="3"/>
  <c r="E7" i="3" s="1"/>
  <c r="H7" i="3" s="1"/>
  <c r="C61" i="1"/>
  <c r="E61" i="1" s="1"/>
  <c r="C65" i="1"/>
  <c r="I61" i="1"/>
  <c r="H66" i="1"/>
  <c r="H42" i="1"/>
  <c r="H37" i="1"/>
  <c r="C37" i="1"/>
  <c r="C41" i="1"/>
  <c r="Q65" i="1"/>
  <c r="Q61" i="1"/>
  <c r="S61" i="1" s="1"/>
  <c r="H41" i="1"/>
  <c r="I37" i="1"/>
  <c r="N61" i="1"/>
  <c r="M66" i="1"/>
  <c r="F8" i="3"/>
  <c r="C84" i="1"/>
  <c r="J22" i="3" s="1"/>
  <c r="D79" i="1"/>
  <c r="C42" i="1"/>
  <c r="D37" i="1"/>
  <c r="D6" i="8"/>
  <c r="D7" i="8"/>
  <c r="M65" i="1"/>
  <c r="M61" i="1"/>
  <c r="H65" i="1"/>
  <c r="H61" i="1"/>
  <c r="J37" i="1" l="1"/>
  <c r="F26" i="12"/>
  <c r="E43" i="14" s="1"/>
  <c r="D26" i="12"/>
  <c r="B37" i="14" s="1"/>
  <c r="C26" i="12"/>
  <c r="F25" i="14" s="1"/>
  <c r="E26" i="12"/>
  <c r="C31" i="14" s="1"/>
  <c r="E79" i="1"/>
  <c r="E7" i="8"/>
  <c r="J15" i="7"/>
  <c r="J14" i="7"/>
  <c r="J13" i="7"/>
  <c r="J12" i="7"/>
  <c r="E10" i="3"/>
  <c r="P6" i="3"/>
  <c r="E14" i="3" s="1"/>
  <c r="E12" i="3"/>
  <c r="E9" i="3"/>
  <c r="E8" i="3"/>
  <c r="H8" i="3" s="1"/>
  <c r="D8" i="8" s="1"/>
  <c r="E11" i="3"/>
  <c r="E37" i="1"/>
  <c r="E8" i="8"/>
  <c r="F9" i="8"/>
  <c r="J61" i="1"/>
  <c r="F9" i="3"/>
  <c r="F10" i="3"/>
  <c r="O61" i="1"/>
  <c r="E17" i="3" l="1"/>
  <c r="H9" i="3"/>
  <c r="E15" i="3"/>
  <c r="E16" i="3"/>
  <c r="J19" i="7"/>
  <c r="J18" i="7"/>
  <c r="J17" i="7"/>
  <c r="J20" i="7"/>
  <c r="J16" i="7"/>
  <c r="E13" i="3"/>
  <c r="P7" i="3"/>
  <c r="J21" i="7" s="1"/>
  <c r="F11" i="3"/>
  <c r="H10" i="3"/>
  <c r="D9" i="8" s="1"/>
  <c r="F10" i="8"/>
  <c r="E9" i="8"/>
  <c r="E18" i="3" l="1"/>
  <c r="E21" i="3"/>
  <c r="H21" i="3" s="1"/>
  <c r="E20" i="3"/>
  <c r="H20" i="3" s="1"/>
  <c r="E19" i="3"/>
  <c r="H19" i="3" s="1"/>
  <c r="E22" i="3"/>
  <c r="H22" i="3" s="1"/>
  <c r="F127" i="3" s="1"/>
  <c r="E10" i="8"/>
  <c r="F11" i="8"/>
  <c r="F12" i="3"/>
  <c r="H11" i="3"/>
  <c r="E14" i="1" l="1"/>
  <c r="E127" i="3"/>
  <c r="K20" i="3"/>
  <c r="C28" i="3" s="1"/>
  <c r="E13" i="1"/>
  <c r="I14" i="1"/>
  <c r="D127" i="3"/>
  <c r="K22" i="3"/>
  <c r="E28" i="3" s="1"/>
  <c r="K23" i="3"/>
  <c r="F20" i="8" s="1"/>
  <c r="F61" i="8" s="1"/>
  <c r="F60" i="8" s="1"/>
  <c r="F62" i="8" s="1"/>
  <c r="C127" i="3"/>
  <c r="E12" i="1"/>
  <c r="I12" i="1"/>
  <c r="I13" i="1"/>
  <c r="K21" i="3"/>
  <c r="D28" i="3" s="1"/>
  <c r="R35" i="3" s="1"/>
  <c r="D15" i="7" s="1"/>
  <c r="F14" i="3"/>
  <c r="F13" i="3"/>
  <c r="H12" i="3"/>
  <c r="D10" i="8" s="1"/>
  <c r="F12" i="8"/>
  <c r="E11" i="8"/>
  <c r="C20" i="8" l="1"/>
  <c r="Y50" i="9" s="1"/>
  <c r="Y56" i="9"/>
  <c r="F211" i="10" s="1"/>
  <c r="C25" i="3"/>
  <c r="C98" i="3" s="1"/>
  <c r="E20" i="8"/>
  <c r="E61" i="8" s="1"/>
  <c r="E60" i="8" s="1"/>
  <c r="E62" i="8" s="1"/>
  <c r="AA19" i="9" s="1"/>
  <c r="C85" i="10" s="1"/>
  <c r="F28" i="3"/>
  <c r="T28" i="3" s="1"/>
  <c r="G8" i="7" s="1"/>
  <c r="D20" i="8"/>
  <c r="AG48" i="9" s="1"/>
  <c r="B228" i="10" s="1"/>
  <c r="F13" i="8"/>
  <c r="E12" i="8"/>
  <c r="S28" i="3"/>
  <c r="E8" i="7" s="1"/>
  <c r="S27" i="3"/>
  <c r="E7" i="7" s="1"/>
  <c r="F5" i="5"/>
  <c r="S29" i="3"/>
  <c r="E9" i="7" s="1"/>
  <c r="S30" i="3"/>
  <c r="E10" i="7" s="1"/>
  <c r="S31" i="3"/>
  <c r="E11" i="7" s="1"/>
  <c r="S32" i="3"/>
  <c r="E12" i="7" s="1"/>
  <c r="S33" i="3"/>
  <c r="E13" i="7" s="1"/>
  <c r="S34" i="3"/>
  <c r="E14" i="7" s="1"/>
  <c r="Y53" i="9"/>
  <c r="F193" i="10" s="1"/>
  <c r="Y44" i="9"/>
  <c r="F209" i="10" s="1"/>
  <c r="K68" i="9"/>
  <c r="K53" i="9"/>
  <c r="F133" i="10" s="1"/>
  <c r="R50" i="9"/>
  <c r="K62" i="9"/>
  <c r="F152" i="10" s="1"/>
  <c r="R41" i="9"/>
  <c r="F161" i="10" s="1"/>
  <c r="Y41" i="9"/>
  <c r="F191" i="10" s="1"/>
  <c r="AF59" i="9"/>
  <c r="F224" i="10" s="1"/>
  <c r="K66" i="9"/>
  <c r="AF66" i="9"/>
  <c r="Y72" i="9"/>
  <c r="Y54" i="9"/>
  <c r="AF62" i="9"/>
  <c r="F242" i="10" s="1"/>
  <c r="R74" i="9"/>
  <c r="R71" i="9"/>
  <c r="AF74" i="9"/>
  <c r="K74" i="9"/>
  <c r="Y62" i="9"/>
  <c r="F212" i="10" s="1"/>
  <c r="K50" i="9"/>
  <c r="R53" i="9"/>
  <c r="F163" i="10" s="1"/>
  <c r="AF53" i="9"/>
  <c r="F223" i="10" s="1"/>
  <c r="C21" i="8"/>
  <c r="AF44" i="9"/>
  <c r="F239" i="10" s="1"/>
  <c r="C25" i="8"/>
  <c r="C24" i="8" s="1"/>
  <c r="C26" i="8" s="1"/>
  <c r="AF56" i="9"/>
  <c r="F241" i="10" s="1"/>
  <c r="R59" i="9"/>
  <c r="F164" i="10" s="1"/>
  <c r="K41" i="9"/>
  <c r="F131" i="10" s="1"/>
  <c r="Y60" i="9"/>
  <c r="AF42" i="9"/>
  <c r="F227" i="10" s="1"/>
  <c r="K72" i="9"/>
  <c r="K60" i="9"/>
  <c r="F140" i="10" s="1"/>
  <c r="R60" i="9"/>
  <c r="F170" i="10" s="1"/>
  <c r="Y71" i="9"/>
  <c r="Y65" i="9"/>
  <c r="Y47" i="9"/>
  <c r="K65" i="9"/>
  <c r="AF68" i="9"/>
  <c r="R66" i="9"/>
  <c r="K42" i="9"/>
  <c r="F137" i="10" s="1"/>
  <c r="K54" i="9"/>
  <c r="F139" i="10" s="1"/>
  <c r="R49" i="9"/>
  <c r="R68" i="9"/>
  <c r="Y59" i="9"/>
  <c r="F194" i="10" s="1"/>
  <c r="R43" i="9"/>
  <c r="F173" i="10" s="1"/>
  <c r="AF50" i="9"/>
  <c r="K56" i="9"/>
  <c r="F151" i="10" s="1"/>
  <c r="Y68" i="9"/>
  <c r="Y61" i="9"/>
  <c r="AF72" i="9"/>
  <c r="Y73" i="9"/>
  <c r="F253" i="14" s="1"/>
  <c r="AF54" i="9"/>
  <c r="F229" i="10" s="1"/>
  <c r="R48" i="9"/>
  <c r="R42" i="9"/>
  <c r="F167" i="10" s="1"/>
  <c r="K47" i="9"/>
  <c r="Y74" i="9"/>
  <c r="K59" i="9"/>
  <c r="F134" i="10" s="1"/>
  <c r="R56" i="9"/>
  <c r="F181" i="10" s="1"/>
  <c r="K48" i="9"/>
  <c r="Y42" i="9"/>
  <c r="R65" i="9"/>
  <c r="R67" i="9"/>
  <c r="AF41" i="9"/>
  <c r="F221" i="10" s="1"/>
  <c r="AF67" i="9"/>
  <c r="K73" i="9"/>
  <c r="Y66" i="9"/>
  <c r="K55" i="9"/>
  <c r="F145" i="10" s="1"/>
  <c r="R44" i="9"/>
  <c r="F179" i="10" s="1"/>
  <c r="AF60" i="9"/>
  <c r="F230" i="10" s="1"/>
  <c r="R47" i="9"/>
  <c r="K44" i="9"/>
  <c r="F149" i="10" s="1"/>
  <c r="K49" i="9"/>
  <c r="R54" i="9"/>
  <c r="F169" i="10" s="1"/>
  <c r="AF71" i="9"/>
  <c r="AF48" i="9"/>
  <c r="R62" i="9"/>
  <c r="F182" i="10" s="1"/>
  <c r="Y48" i="9"/>
  <c r="K71" i="9"/>
  <c r="Y55" i="9"/>
  <c r="K43" i="9"/>
  <c r="F143" i="10" s="1"/>
  <c r="R73" i="9"/>
  <c r="K67" i="9"/>
  <c r="AF55" i="9"/>
  <c r="F235" i="10" s="1"/>
  <c r="R55" i="9"/>
  <c r="F175" i="10" s="1"/>
  <c r="AF61" i="9"/>
  <c r="F236" i="10" s="1"/>
  <c r="Y49" i="9"/>
  <c r="Y67" i="9"/>
  <c r="AF49" i="9"/>
  <c r="AF73" i="9"/>
  <c r="K61" i="9"/>
  <c r="F146" i="10" s="1"/>
  <c r="C37" i="8"/>
  <c r="C36" i="8" s="1"/>
  <c r="C38" i="8" s="1"/>
  <c r="AF43" i="9"/>
  <c r="F233" i="10" s="1"/>
  <c r="Y43" i="9"/>
  <c r="R61" i="9"/>
  <c r="F176" i="10" s="1"/>
  <c r="C49" i="8"/>
  <c r="C48" i="8" s="1"/>
  <c r="C50" i="8" s="1"/>
  <c r="S35" i="3"/>
  <c r="E15" i="7" s="1"/>
  <c r="M54" i="9"/>
  <c r="C139" i="10" s="1"/>
  <c r="Q28" i="3"/>
  <c r="C8" i="7" s="1"/>
  <c r="Q27" i="3"/>
  <c r="C7" i="7" s="1"/>
  <c r="D5" i="5"/>
  <c r="C81" i="3"/>
  <c r="C91" i="3"/>
  <c r="Q29" i="3"/>
  <c r="C9" i="7" s="1"/>
  <c r="Q30" i="3"/>
  <c r="C10" i="7" s="1"/>
  <c r="Q31" i="3"/>
  <c r="C11" i="7" s="1"/>
  <c r="Q33" i="3"/>
  <c r="C13" i="7" s="1"/>
  <c r="Q32" i="3"/>
  <c r="C12" i="7" s="1"/>
  <c r="Q34" i="3"/>
  <c r="C14" i="7" s="1"/>
  <c r="R28" i="3"/>
  <c r="D8" i="7" s="1"/>
  <c r="R27" i="3"/>
  <c r="D7" i="7" s="1"/>
  <c r="E5" i="5"/>
  <c r="R29" i="3"/>
  <c r="D9" i="7" s="1"/>
  <c r="R30" i="3"/>
  <c r="D10" i="7" s="1"/>
  <c r="R31" i="3"/>
  <c r="D11" i="7" s="1"/>
  <c r="R33" i="3"/>
  <c r="D13" i="7" s="1"/>
  <c r="R32" i="3"/>
  <c r="D12" i="7" s="1"/>
  <c r="R34" i="3"/>
  <c r="D14" i="7" s="1"/>
  <c r="F63" i="8"/>
  <c r="F64" i="8" s="1"/>
  <c r="F65" i="8" s="1"/>
  <c r="F66" i="8" s="1"/>
  <c r="F67" i="8" s="1"/>
  <c r="F68" i="8" s="1"/>
  <c r="F69" i="8" s="1"/>
  <c r="F70" i="8" s="1"/>
  <c r="AI31" i="9"/>
  <c r="E117" i="10" s="1"/>
  <c r="AB13" i="9"/>
  <c r="E84" i="10" s="1"/>
  <c r="N25" i="9"/>
  <c r="U25" i="9"/>
  <c r="N7" i="9"/>
  <c r="E23" i="10" s="1"/>
  <c r="AB31" i="9"/>
  <c r="E87" i="10" s="1"/>
  <c r="U19" i="9"/>
  <c r="AB25" i="9"/>
  <c r="U13" i="9"/>
  <c r="E54" i="10" s="1"/>
  <c r="AI19" i="9"/>
  <c r="N19" i="9"/>
  <c r="U31" i="9"/>
  <c r="E57" i="10" s="1"/>
  <c r="AI13" i="9"/>
  <c r="E114" i="10" s="1"/>
  <c r="N31" i="9"/>
  <c r="E27" i="10" s="1"/>
  <c r="AI25" i="9"/>
  <c r="U7" i="9"/>
  <c r="E53" i="10" s="1"/>
  <c r="N13" i="9"/>
  <c r="E24" i="10" s="1"/>
  <c r="AB37" i="9"/>
  <c r="N37" i="9"/>
  <c r="E28" i="10" s="1"/>
  <c r="AB19" i="9"/>
  <c r="AI7" i="9"/>
  <c r="E113" i="10" s="1"/>
  <c r="AI37" i="9"/>
  <c r="AB7" i="9"/>
  <c r="E83" i="10" s="1"/>
  <c r="U37" i="9"/>
  <c r="E58" i="10" s="1"/>
  <c r="J127" i="3"/>
  <c r="Q35" i="3"/>
  <c r="C15" i="7" s="1"/>
  <c r="N44" i="9"/>
  <c r="E149" i="10" s="1"/>
  <c r="N62" i="9"/>
  <c r="U59" i="9"/>
  <c r="U56" i="9"/>
  <c r="N41" i="9"/>
  <c r="E131" i="10" s="1"/>
  <c r="N65" i="9"/>
  <c r="E135" i="10" s="1"/>
  <c r="U44" i="9"/>
  <c r="E179" i="10" s="1"/>
  <c r="AB71" i="9"/>
  <c r="AI59" i="9"/>
  <c r="U68" i="9"/>
  <c r="E183" i="10" s="1"/>
  <c r="AB56" i="9"/>
  <c r="AI44" i="9"/>
  <c r="E239" i="10" s="1"/>
  <c r="AB41" i="9"/>
  <c r="E191" i="10" s="1"/>
  <c r="N48" i="9"/>
  <c r="E138" i="10" s="1"/>
  <c r="N72" i="9"/>
  <c r="E142" i="10" s="1"/>
  <c r="U72" i="9"/>
  <c r="E172" i="10" s="1"/>
  <c r="AI74" i="9"/>
  <c r="N68" i="9"/>
  <c r="E153" i="10" s="1"/>
  <c r="AB50" i="9"/>
  <c r="E210" i="10" s="1"/>
  <c r="AB65" i="9"/>
  <c r="E195" i="10" s="1"/>
  <c r="AB59" i="9"/>
  <c r="F21" i="8"/>
  <c r="U41" i="9"/>
  <c r="E161" i="10" s="1"/>
  <c r="AI47" i="9"/>
  <c r="E222" i="10" s="1"/>
  <c r="AI68" i="9"/>
  <c r="E243" i="10" s="1"/>
  <c r="N56" i="9"/>
  <c r="AI48" i="9"/>
  <c r="E228" i="10" s="1"/>
  <c r="U66" i="9"/>
  <c r="E171" i="10" s="1"/>
  <c r="AB62" i="9"/>
  <c r="N71" i="9"/>
  <c r="E136" i="10" s="1"/>
  <c r="AB53" i="9"/>
  <c r="N59" i="9"/>
  <c r="AB68" i="9"/>
  <c r="E213" i="10" s="1"/>
  <c r="U53" i="9"/>
  <c r="N50" i="9"/>
  <c r="E150" i="10" s="1"/>
  <c r="U50" i="9"/>
  <c r="E180" i="10" s="1"/>
  <c r="AB73" i="9"/>
  <c r="E253" i="14" s="1"/>
  <c r="AB66" i="9"/>
  <c r="AB72" i="9"/>
  <c r="AB54" i="9"/>
  <c r="AI66" i="9"/>
  <c r="E231" i="10" s="1"/>
  <c r="N54" i="9"/>
  <c r="N47" i="9"/>
  <c r="E132" i="10" s="1"/>
  <c r="U62" i="9"/>
  <c r="AB74" i="9"/>
  <c r="AI65" i="9"/>
  <c r="E225" i="10" s="1"/>
  <c r="U65" i="9"/>
  <c r="E165" i="10" s="1"/>
  <c r="AI53" i="9"/>
  <c r="N49" i="9"/>
  <c r="E144" i="10" s="1"/>
  <c r="AB47" i="9"/>
  <c r="E192" i="10" s="1"/>
  <c r="N66" i="9"/>
  <c r="E141" i="10" s="1"/>
  <c r="AB60" i="9"/>
  <c r="AB48" i="9"/>
  <c r="U60" i="9"/>
  <c r="U54" i="9"/>
  <c r="AI54" i="9"/>
  <c r="AB43" i="9"/>
  <c r="AI41" i="9"/>
  <c r="E221" i="10" s="1"/>
  <c r="AI50" i="9"/>
  <c r="E240" i="10" s="1"/>
  <c r="AI67" i="9"/>
  <c r="E237" i="10" s="1"/>
  <c r="N60" i="9"/>
  <c r="N42" i="9"/>
  <c r="E137" i="10" s="1"/>
  <c r="U61" i="9"/>
  <c r="U55" i="9"/>
  <c r="N74" i="9"/>
  <c r="E154" i="10" s="1"/>
  <c r="AI56" i="9"/>
  <c r="N53" i="9"/>
  <c r="U48" i="9"/>
  <c r="E168" i="10" s="1"/>
  <c r="AI42" i="9"/>
  <c r="E227" i="10" s="1"/>
  <c r="U71" i="9"/>
  <c r="E166" i="10" s="1"/>
  <c r="U74" i="9"/>
  <c r="E184" i="10" s="1"/>
  <c r="U47" i="9"/>
  <c r="E162" i="10" s="1"/>
  <c r="AI60" i="9"/>
  <c r="AB44" i="9"/>
  <c r="E209" i="10" s="1"/>
  <c r="N61" i="9"/>
  <c r="U42" i="9"/>
  <c r="E167" i="10" s="1"/>
  <c r="F25" i="8"/>
  <c r="F24" i="8" s="1"/>
  <c r="F26" i="8" s="1"/>
  <c r="AB42" i="9"/>
  <c r="AI71" i="9"/>
  <c r="F37" i="8"/>
  <c r="F36" i="8" s="1"/>
  <c r="F38" i="8" s="1"/>
  <c r="AI72" i="9"/>
  <c r="AI62" i="9"/>
  <c r="AB49" i="9"/>
  <c r="U49" i="9"/>
  <c r="E174" i="10" s="1"/>
  <c r="AI49" i="9"/>
  <c r="E234" i="10" s="1"/>
  <c r="AB67" i="9"/>
  <c r="AI43" i="9"/>
  <c r="E233" i="10" s="1"/>
  <c r="U67" i="9"/>
  <c r="E177" i="10" s="1"/>
  <c r="AB55" i="9"/>
  <c r="U73" i="9"/>
  <c r="E178" i="10" s="1"/>
  <c r="N73" i="9"/>
  <c r="E148" i="10" s="1"/>
  <c r="U43" i="9"/>
  <c r="E173" i="10" s="1"/>
  <c r="N67" i="9"/>
  <c r="E147" i="10" s="1"/>
  <c r="AI55" i="9"/>
  <c r="N55" i="9"/>
  <c r="AI61" i="9"/>
  <c r="AB61" i="9"/>
  <c r="N43" i="9"/>
  <c r="E143" i="10" s="1"/>
  <c r="AI73" i="9"/>
  <c r="F49" i="8"/>
  <c r="F48" i="8" s="1"/>
  <c r="F50" i="8" s="1"/>
  <c r="K127" i="3"/>
  <c r="E25" i="3"/>
  <c r="E96" i="3" s="1"/>
  <c r="AH7" i="9"/>
  <c r="F15" i="3"/>
  <c r="H13" i="3"/>
  <c r="C61" i="8"/>
  <c r="C60" i="8" s="1"/>
  <c r="C62" i="8" s="1"/>
  <c r="F16" i="3"/>
  <c r="H14" i="3"/>
  <c r="H5" i="5"/>
  <c r="T30" i="3"/>
  <c r="G10" i="7" s="1"/>
  <c r="T34" i="3"/>
  <c r="G14" i="7" s="1"/>
  <c r="D25" i="3"/>
  <c r="D123" i="3" s="1"/>
  <c r="L127" i="3"/>
  <c r="C48" i="3" l="1"/>
  <c r="C54" i="3"/>
  <c r="C87" i="3"/>
  <c r="C52" i="3"/>
  <c r="D29" i="5" s="1"/>
  <c r="D37" i="8"/>
  <c r="D36" i="8" s="1"/>
  <c r="D38" i="8" s="1"/>
  <c r="D25" i="5"/>
  <c r="J25" i="5" s="1"/>
  <c r="D31" i="5"/>
  <c r="AG56" i="9"/>
  <c r="B241" i="10" s="1"/>
  <c r="L47" i="9"/>
  <c r="B132" i="10" s="1"/>
  <c r="AH19" i="9"/>
  <c r="C115" i="10" s="1"/>
  <c r="M67" i="9"/>
  <c r="T47" i="9"/>
  <c r="C162" i="10" s="1"/>
  <c r="C58" i="3"/>
  <c r="C125" i="3"/>
  <c r="C121" i="3"/>
  <c r="M55" i="9"/>
  <c r="C145" i="10" s="1"/>
  <c r="AA67" i="9"/>
  <c r="C207" i="10" s="1"/>
  <c r="C56" i="3"/>
  <c r="C110" i="3"/>
  <c r="C75" i="3"/>
  <c r="AH73" i="9"/>
  <c r="C238" i="10" s="1"/>
  <c r="C107" i="3"/>
  <c r="C123" i="3"/>
  <c r="C82" i="3"/>
  <c r="C47" i="3"/>
  <c r="C89" i="3"/>
  <c r="C68" i="3"/>
  <c r="C93" i="3"/>
  <c r="C39" i="3"/>
  <c r="C37" i="3"/>
  <c r="C94" i="3"/>
  <c r="C104" i="3"/>
  <c r="C44" i="3"/>
  <c r="C67" i="3"/>
  <c r="C114" i="3"/>
  <c r="C41" i="3"/>
  <c r="C100" i="3"/>
  <c r="C79" i="3"/>
  <c r="C102" i="3"/>
  <c r="C43" i="3"/>
  <c r="C112" i="3"/>
  <c r="C113" i="3"/>
  <c r="Z71" i="9"/>
  <c r="B196" i="10" s="1"/>
  <c r="Z50" i="9"/>
  <c r="B210" i="10" s="1"/>
  <c r="R72" i="9"/>
  <c r="AF47" i="9"/>
  <c r="F335" i="14" s="1"/>
  <c r="AF65" i="9"/>
  <c r="F225" i="10" s="1"/>
  <c r="C34" i="3"/>
  <c r="C29" i="3"/>
  <c r="C63" i="3"/>
  <c r="C97" i="3"/>
  <c r="C85" i="3"/>
  <c r="C61" i="3"/>
  <c r="C103" i="3"/>
  <c r="C33" i="3"/>
  <c r="C92" i="3"/>
  <c r="C88" i="3"/>
  <c r="C90" i="3"/>
  <c r="C57" i="3"/>
  <c r="C106" i="3"/>
  <c r="C30" i="3"/>
  <c r="C80" i="3"/>
  <c r="C36" i="3"/>
  <c r="S41" i="9"/>
  <c r="B161" i="10" s="1"/>
  <c r="AA13" i="9"/>
  <c r="C84" i="10" s="1"/>
  <c r="AA74" i="9"/>
  <c r="C214" i="10" s="1"/>
  <c r="T67" i="9"/>
  <c r="C177" i="10" s="1"/>
  <c r="AH60" i="9"/>
  <c r="C230" i="10" s="1"/>
  <c r="S67" i="9"/>
  <c r="B319" i="14" s="1"/>
  <c r="L56" i="9"/>
  <c r="B151" i="10" s="1"/>
  <c r="Z48" i="9"/>
  <c r="B198" i="10" s="1"/>
  <c r="E63" i="8"/>
  <c r="E64" i="8" s="1"/>
  <c r="E65" i="8" s="1"/>
  <c r="E66" i="8" s="1"/>
  <c r="E67" i="8" s="1"/>
  <c r="E68" i="8" s="1"/>
  <c r="E69" i="8" s="1"/>
  <c r="E70" i="8" s="1"/>
  <c r="M61" i="9"/>
  <c r="C146" i="10" s="1"/>
  <c r="T55" i="9"/>
  <c r="C175" i="10" s="1"/>
  <c r="M47" i="9"/>
  <c r="C132" i="10" s="1"/>
  <c r="AG66" i="9"/>
  <c r="B231" i="10" s="1"/>
  <c r="S62" i="9"/>
  <c r="B182" i="10" s="1"/>
  <c r="S66" i="9"/>
  <c r="B318" i="14" s="1"/>
  <c r="AH31" i="9"/>
  <c r="T42" i="9"/>
  <c r="C167" i="10" s="1"/>
  <c r="AH65" i="9"/>
  <c r="C225" i="10" s="1"/>
  <c r="AH49" i="9"/>
  <c r="C234" i="10" s="1"/>
  <c r="AA56" i="9"/>
  <c r="C211" i="10" s="1"/>
  <c r="M56" i="9"/>
  <c r="C151" i="10" s="1"/>
  <c r="M44" i="9"/>
  <c r="C149" i="10" s="1"/>
  <c r="AH43" i="9"/>
  <c r="L48" i="9"/>
  <c r="B138" i="10" s="1"/>
  <c r="L42" i="9"/>
  <c r="B137" i="10" s="1"/>
  <c r="Z60" i="9"/>
  <c r="B200" i="10" s="1"/>
  <c r="S55" i="9"/>
  <c r="B175" i="10" s="1"/>
  <c r="L53" i="9"/>
  <c r="B133" i="10" s="1"/>
  <c r="Z54" i="9"/>
  <c r="B199" i="10" s="1"/>
  <c r="T31" i="9"/>
  <c r="C57" i="10" s="1"/>
  <c r="M13" i="9"/>
  <c r="C24" i="10" s="1"/>
  <c r="M68" i="9"/>
  <c r="AA59" i="9"/>
  <c r="C194" i="10" s="1"/>
  <c r="M71" i="9"/>
  <c r="C136" i="10" s="1"/>
  <c r="AA43" i="9"/>
  <c r="AH50" i="9"/>
  <c r="C240" i="10" s="1"/>
  <c r="M72" i="9"/>
  <c r="C142" i="10" s="1"/>
  <c r="Z49" i="9"/>
  <c r="B204" i="10" s="1"/>
  <c r="L65" i="9"/>
  <c r="B135" i="10" s="1"/>
  <c r="S71" i="9"/>
  <c r="B166" i="10" s="1"/>
  <c r="AG67" i="9"/>
  <c r="B237" i="10" s="1"/>
  <c r="Z43" i="9"/>
  <c r="B223" i="14" s="1"/>
  <c r="S54" i="9"/>
  <c r="B169" i="10" s="1"/>
  <c r="AG59" i="9"/>
  <c r="B224" i="10" s="1"/>
  <c r="AA31" i="9"/>
  <c r="C87" i="10" s="1"/>
  <c r="T7" i="9"/>
  <c r="M25" i="9"/>
  <c r="C26" i="10" s="1"/>
  <c r="AA37" i="9"/>
  <c r="C88" i="10" s="1"/>
  <c r="T25" i="9"/>
  <c r="AA65" i="9"/>
  <c r="C195" i="10" s="1"/>
  <c r="M42" i="9"/>
  <c r="C137" i="10" s="1"/>
  <c r="AH47" i="9"/>
  <c r="C222" i="10" s="1"/>
  <c r="E37" i="8"/>
  <c r="E36" i="8" s="1"/>
  <c r="E38" i="8" s="1"/>
  <c r="T35" i="9" s="1"/>
  <c r="T44" i="9"/>
  <c r="C296" i="14" s="1"/>
  <c r="T53" i="9"/>
  <c r="C163" i="10" s="1"/>
  <c r="AA66" i="9"/>
  <c r="C201" i="10" s="1"/>
  <c r="AH74" i="9"/>
  <c r="C244" i="10" s="1"/>
  <c r="AH54" i="9"/>
  <c r="C229" i="10" s="1"/>
  <c r="AH44" i="9"/>
  <c r="T74" i="9"/>
  <c r="C184" i="10" s="1"/>
  <c r="T60" i="9"/>
  <c r="AA7" i="9"/>
  <c r="T37" i="9"/>
  <c r="AV90" i="9" s="1"/>
  <c r="M37" i="9"/>
  <c r="C28" i="10" s="1"/>
  <c r="T13" i="9"/>
  <c r="C54" i="10" s="1"/>
  <c r="T19" i="9"/>
  <c r="C55" i="10" s="1"/>
  <c r="AH25" i="9"/>
  <c r="C116" i="10" s="1"/>
  <c r="C111" i="3"/>
  <c r="C42" i="3"/>
  <c r="C99" i="3"/>
  <c r="C71" i="3"/>
  <c r="C60" i="3"/>
  <c r="C86" i="3"/>
  <c r="C53" i="3"/>
  <c r="C69" i="3"/>
  <c r="C116" i="3"/>
  <c r="C55" i="3"/>
  <c r="C95" i="3"/>
  <c r="C78" i="3"/>
  <c r="C73" i="3"/>
  <c r="C62" i="3"/>
  <c r="C117" i="3"/>
  <c r="C118" i="3"/>
  <c r="C45" i="3"/>
  <c r="C119" i="3"/>
  <c r="C50" i="3"/>
  <c r="C124" i="3"/>
  <c r="C108" i="3"/>
  <c r="C74" i="3"/>
  <c r="C122" i="3"/>
  <c r="C64" i="3"/>
  <c r="E49" i="8"/>
  <c r="E48" i="8" s="1"/>
  <c r="E50" i="8" s="1"/>
  <c r="M24" i="9" s="1"/>
  <c r="C20" i="10" s="1"/>
  <c r="AA54" i="9"/>
  <c r="C199" i="10" s="1"/>
  <c r="AA73" i="9"/>
  <c r="C208" i="10" s="1"/>
  <c r="M53" i="9"/>
  <c r="C133" i="10" s="1"/>
  <c r="AH67" i="9"/>
  <c r="T61" i="9"/>
  <c r="T71" i="9"/>
  <c r="C323" i="14" s="1"/>
  <c r="T72" i="9"/>
  <c r="C324" i="14" s="1"/>
  <c r="AA48" i="9"/>
  <c r="C198" i="10" s="1"/>
  <c r="AH72" i="9"/>
  <c r="C232" i="10" s="1"/>
  <c r="AA47" i="9"/>
  <c r="C192" i="10" s="1"/>
  <c r="M62" i="9"/>
  <c r="C152" i="10" s="1"/>
  <c r="T68" i="9"/>
  <c r="C183" i="10" s="1"/>
  <c r="AH48" i="9"/>
  <c r="C228" i="10" s="1"/>
  <c r="M49" i="9"/>
  <c r="C144" i="10" s="1"/>
  <c r="T41" i="9"/>
  <c r="T66" i="9"/>
  <c r="C171" i="10" s="1"/>
  <c r="E25" i="8"/>
  <c r="E24" i="8" s="1"/>
  <c r="E26" i="8" s="1"/>
  <c r="T28" i="9" s="1"/>
  <c r="C39" i="10" s="1"/>
  <c r="AH62" i="9"/>
  <c r="C242" i="10" s="1"/>
  <c r="AA49" i="9"/>
  <c r="C204" i="10" s="1"/>
  <c r="AA72" i="9"/>
  <c r="C202" i="10" s="1"/>
  <c r="AH71" i="9"/>
  <c r="C226" i="10" s="1"/>
  <c r="AH66" i="9"/>
  <c r="M73" i="9"/>
  <c r="C148" i="10" s="1"/>
  <c r="AH41" i="9"/>
  <c r="C221" i="10" s="1"/>
  <c r="AH13" i="9"/>
  <c r="C114" i="10" s="1"/>
  <c r="M65" i="9"/>
  <c r="C281" i="14" s="1"/>
  <c r="T56" i="9"/>
  <c r="C181" i="10" s="1"/>
  <c r="M74" i="9"/>
  <c r="C154" i="10" s="1"/>
  <c r="T50" i="9"/>
  <c r="C180" i="10" s="1"/>
  <c r="AA61" i="9"/>
  <c r="C206" i="10" s="1"/>
  <c r="M48" i="9"/>
  <c r="C138" i="10" s="1"/>
  <c r="AA55" i="9"/>
  <c r="C205" i="10" s="1"/>
  <c r="AA53" i="9"/>
  <c r="C193" i="10" s="1"/>
  <c r="AA71" i="9"/>
  <c r="C196" i="10" s="1"/>
  <c r="AA50" i="9"/>
  <c r="C210" i="10" s="1"/>
  <c r="AH61" i="9"/>
  <c r="C236" i="10" s="1"/>
  <c r="T73" i="9"/>
  <c r="M43" i="9"/>
  <c r="M19" i="9"/>
  <c r="C25" i="10" s="1"/>
  <c r="M7" i="9"/>
  <c r="C115" i="14" s="1"/>
  <c r="M31" i="9"/>
  <c r="AH37" i="9"/>
  <c r="C118" i="10" s="1"/>
  <c r="AA25" i="9"/>
  <c r="C86" i="10" s="1"/>
  <c r="C46" i="3"/>
  <c r="C109" i="3"/>
  <c r="C84" i="3"/>
  <c r="C65" i="3"/>
  <c r="C76" i="3"/>
  <c r="C35" i="3"/>
  <c r="C115" i="3"/>
  <c r="C40" i="3"/>
  <c r="C38" i="3"/>
  <c r="C77" i="3"/>
  <c r="C96" i="3"/>
  <c r="C51" i="3"/>
  <c r="C126" i="3"/>
  <c r="C32" i="3"/>
  <c r="C59" i="3"/>
  <c r="C105" i="3"/>
  <c r="C70" i="3"/>
  <c r="C101" i="3"/>
  <c r="C120" i="3"/>
  <c r="C66" i="3"/>
  <c r="C49" i="3"/>
  <c r="C31" i="3"/>
  <c r="C72" i="3"/>
  <c r="C83" i="3"/>
  <c r="T59" i="9"/>
  <c r="C164" i="10" s="1"/>
  <c r="M59" i="9"/>
  <c r="C134" i="10" s="1"/>
  <c r="M50" i="9"/>
  <c r="C150" i="10" s="1"/>
  <c r="T48" i="9"/>
  <c r="C168" i="10" s="1"/>
  <c r="AH42" i="9"/>
  <c r="C227" i="10" s="1"/>
  <c r="AH56" i="9"/>
  <c r="C241" i="10" s="1"/>
  <c r="AA41" i="9"/>
  <c r="C221" i="14" s="1"/>
  <c r="AA62" i="9"/>
  <c r="C212" i="10" s="1"/>
  <c r="T62" i="9"/>
  <c r="C182" i="10" s="1"/>
  <c r="T54" i="9"/>
  <c r="C169" i="10" s="1"/>
  <c r="T49" i="9"/>
  <c r="C174" i="10" s="1"/>
  <c r="M41" i="9"/>
  <c r="T43" i="9"/>
  <c r="AA42" i="9"/>
  <c r="AH68" i="9"/>
  <c r="C356" i="14" s="1"/>
  <c r="AA68" i="9"/>
  <c r="C213" i="10" s="1"/>
  <c r="M60" i="9"/>
  <c r="C140" i="10" s="1"/>
  <c r="AH53" i="9"/>
  <c r="C223" i="10" s="1"/>
  <c r="T65" i="9"/>
  <c r="C165" i="10" s="1"/>
  <c r="AH55" i="9"/>
  <c r="C235" i="10" s="1"/>
  <c r="AH59" i="9"/>
  <c r="C224" i="10" s="1"/>
  <c r="M66" i="9"/>
  <c r="C282" i="14" s="1"/>
  <c r="AA60" i="9"/>
  <c r="C200" i="10" s="1"/>
  <c r="AA44" i="9"/>
  <c r="E21" i="8"/>
  <c r="T52" i="9" s="1"/>
  <c r="C157" i="10" s="1"/>
  <c r="AV196" i="9"/>
  <c r="AV200" i="9"/>
  <c r="AV204" i="9"/>
  <c r="AV198" i="9"/>
  <c r="AV202" i="9"/>
  <c r="AV197" i="9"/>
  <c r="AV199" i="9"/>
  <c r="AV201" i="9"/>
  <c r="AV203" i="9"/>
  <c r="AV195" i="9"/>
  <c r="E241" i="14"/>
  <c r="AR144" i="9"/>
  <c r="AR148" i="9"/>
  <c r="AR142" i="9"/>
  <c r="AR147" i="9"/>
  <c r="AR143" i="9"/>
  <c r="AR149" i="9"/>
  <c r="AR145" i="9"/>
  <c r="AR150" i="9"/>
  <c r="AR146" i="9"/>
  <c r="AR151" i="9"/>
  <c r="E235" i="14"/>
  <c r="AP143" i="9"/>
  <c r="AP147" i="9"/>
  <c r="AP151" i="9"/>
  <c r="AP146" i="9"/>
  <c r="AP142" i="9"/>
  <c r="AP148" i="9"/>
  <c r="AP144" i="9"/>
  <c r="AP149" i="9"/>
  <c r="AP145" i="9"/>
  <c r="AP150" i="9"/>
  <c r="AR196" i="9"/>
  <c r="AR200" i="9"/>
  <c r="AR204" i="9"/>
  <c r="AR198" i="9"/>
  <c r="AR202" i="9"/>
  <c r="AR201" i="9"/>
  <c r="AR203" i="9"/>
  <c r="AR197" i="9"/>
  <c r="AR195" i="9"/>
  <c r="AR199" i="9"/>
  <c r="AP89" i="9"/>
  <c r="AP93" i="9"/>
  <c r="AP97" i="9"/>
  <c r="AP90" i="9"/>
  <c r="AP94" i="9"/>
  <c r="AP95" i="9"/>
  <c r="AP88" i="9"/>
  <c r="AP96" i="9"/>
  <c r="AP91" i="9"/>
  <c r="AP92" i="9"/>
  <c r="F247" i="14"/>
  <c r="AP197" i="9"/>
  <c r="AP201" i="9"/>
  <c r="AP195" i="9"/>
  <c r="AP199" i="9"/>
  <c r="AP203" i="9"/>
  <c r="AP200" i="9"/>
  <c r="AP198" i="9"/>
  <c r="AP204" i="9"/>
  <c r="AP196" i="9"/>
  <c r="AP202" i="9"/>
  <c r="F229" i="14"/>
  <c r="AR88" i="9"/>
  <c r="AR92" i="9"/>
  <c r="AR96" i="9"/>
  <c r="AR89" i="9"/>
  <c r="AR93" i="9"/>
  <c r="AR97" i="9"/>
  <c r="AR90" i="9"/>
  <c r="AR94" i="9"/>
  <c r="AR91" i="9"/>
  <c r="AR95" i="9"/>
  <c r="AV147" i="9"/>
  <c r="AV97" i="9"/>
  <c r="AR37" i="9"/>
  <c r="AR41" i="9"/>
  <c r="AR34" i="9"/>
  <c r="AR38" i="9"/>
  <c r="AR42" i="9"/>
  <c r="AR35" i="9"/>
  <c r="AR43" i="9"/>
  <c r="AR36" i="9"/>
  <c r="AR39" i="9"/>
  <c r="AR40" i="9"/>
  <c r="AP38" i="9"/>
  <c r="AP42" i="9"/>
  <c r="AP35" i="9"/>
  <c r="AP39" i="9"/>
  <c r="AP43" i="9"/>
  <c r="AP37" i="9"/>
  <c r="AP36" i="9"/>
  <c r="AP40" i="9"/>
  <c r="AP34" i="9"/>
  <c r="AP41" i="9"/>
  <c r="T29" i="3"/>
  <c r="G9" i="7" s="1"/>
  <c r="T32" i="3"/>
  <c r="G12" i="7" s="1"/>
  <c r="T33" i="3"/>
  <c r="G13" i="7" s="1"/>
  <c r="T27" i="3"/>
  <c r="G7" i="7" s="1"/>
  <c r="D49" i="8"/>
  <c r="D48" i="8" s="1"/>
  <c r="D50" i="8" s="1"/>
  <c r="D51" i="8" s="1"/>
  <c r="D52" i="8" s="1"/>
  <c r="D53" i="8" s="1"/>
  <c r="D54" i="8" s="1"/>
  <c r="D55" i="8" s="1"/>
  <c r="D56" i="8" s="1"/>
  <c r="D57" i="8" s="1"/>
  <c r="D58" i="8" s="1"/>
  <c r="Z47" i="9"/>
  <c r="B192" i="10" s="1"/>
  <c r="AG73" i="9"/>
  <c r="B238" i="10" s="1"/>
  <c r="Z59" i="9"/>
  <c r="B194" i="10" s="1"/>
  <c r="AG65" i="9"/>
  <c r="B225" i="10" s="1"/>
  <c r="S43" i="9"/>
  <c r="S47" i="9"/>
  <c r="B162" i="10" s="1"/>
  <c r="Z56" i="9"/>
  <c r="B211" i="10" s="1"/>
  <c r="L73" i="9"/>
  <c r="Z62" i="9"/>
  <c r="B212" i="10" s="1"/>
  <c r="S53" i="9"/>
  <c r="B163" i="10" s="1"/>
  <c r="S74" i="9"/>
  <c r="B184" i="10" s="1"/>
  <c r="S61" i="9"/>
  <c r="B176" i="10" s="1"/>
  <c r="Z42" i="9"/>
  <c r="S59" i="9"/>
  <c r="B164" i="10" s="1"/>
  <c r="S68" i="9"/>
  <c r="AG74" i="9"/>
  <c r="B244" i="10" s="1"/>
  <c r="S72" i="9"/>
  <c r="B172" i="10" s="1"/>
  <c r="L62" i="9"/>
  <c r="S44" i="9"/>
  <c r="Z74" i="9"/>
  <c r="B214" i="10" s="1"/>
  <c r="L74" i="9"/>
  <c r="L41" i="9"/>
  <c r="AG68" i="9"/>
  <c r="B243" i="10" s="1"/>
  <c r="T31" i="3"/>
  <c r="G11" i="7" s="1"/>
  <c r="D61" i="8"/>
  <c r="D60" i="8" s="1"/>
  <c r="D62" i="8" s="1"/>
  <c r="D63" i="8" s="1"/>
  <c r="D64" i="8" s="1"/>
  <c r="D65" i="8" s="1"/>
  <c r="D66" i="8" s="1"/>
  <c r="D67" i="8" s="1"/>
  <c r="D68" i="8" s="1"/>
  <c r="D69" i="8" s="1"/>
  <c r="D70" i="8" s="1"/>
  <c r="L49" i="9"/>
  <c r="B144" i="10" s="1"/>
  <c r="AG43" i="9"/>
  <c r="L50" i="9"/>
  <c r="B150" i="10" s="1"/>
  <c r="AG54" i="9"/>
  <c r="B229" i="10" s="1"/>
  <c r="L60" i="9"/>
  <c r="AG44" i="9"/>
  <c r="AG50" i="9"/>
  <c r="B240" i="10" s="1"/>
  <c r="AG47" i="9"/>
  <c r="B222" i="10" s="1"/>
  <c r="S50" i="9"/>
  <c r="B180" i="10" s="1"/>
  <c r="AG72" i="9"/>
  <c r="B232" i="10" s="1"/>
  <c r="AG62" i="9"/>
  <c r="B242" i="10" s="1"/>
  <c r="L55" i="9"/>
  <c r="B145" i="10" s="1"/>
  <c r="S42" i="9"/>
  <c r="S56" i="9"/>
  <c r="B181" i="10" s="1"/>
  <c r="L59" i="9"/>
  <c r="AG49" i="9"/>
  <c r="B234" i="10" s="1"/>
  <c r="AG41" i="9"/>
  <c r="AG61" i="9"/>
  <c r="B236" i="10" s="1"/>
  <c r="S60" i="9"/>
  <c r="B170" i="10" s="1"/>
  <c r="L44" i="9"/>
  <c r="L72" i="9"/>
  <c r="S49" i="9"/>
  <c r="B174" i="10" s="1"/>
  <c r="L71" i="9"/>
  <c r="Z55" i="9"/>
  <c r="B205" i="10" s="1"/>
  <c r="L54" i="9"/>
  <c r="B139" i="10" s="1"/>
  <c r="Z53" i="9"/>
  <c r="B193" i="10" s="1"/>
  <c r="L67" i="9"/>
  <c r="B147" i="10" s="1"/>
  <c r="AG42" i="9"/>
  <c r="S73" i="9"/>
  <c r="B178" i="10" s="1"/>
  <c r="AG71" i="9"/>
  <c r="B226" i="10" s="1"/>
  <c r="Z61" i="9"/>
  <c r="B206" i="10" s="1"/>
  <c r="S65" i="9"/>
  <c r="AG55" i="9"/>
  <c r="B235" i="10" s="1"/>
  <c r="Z68" i="9"/>
  <c r="B213" i="10" s="1"/>
  <c r="AG53" i="9"/>
  <c r="B223" i="10" s="1"/>
  <c r="D21" i="8"/>
  <c r="L58" i="9" s="1"/>
  <c r="L66" i="9"/>
  <c r="B141" i="10" s="1"/>
  <c r="D25" i="8"/>
  <c r="D24" i="8" s="1"/>
  <c r="D26" i="8" s="1"/>
  <c r="L10" i="9" s="1"/>
  <c r="B6" i="10" s="1"/>
  <c r="Z65" i="9"/>
  <c r="B195" i="10" s="1"/>
  <c r="L68" i="9"/>
  <c r="B153" i="10" s="1"/>
  <c r="L61" i="9"/>
  <c r="Z66" i="9"/>
  <c r="B201" i="10" s="1"/>
  <c r="AG60" i="9"/>
  <c r="B230" i="10" s="1"/>
  <c r="Z44" i="9"/>
  <c r="Z41" i="9"/>
  <c r="S48" i="9"/>
  <c r="B168" i="10" s="1"/>
  <c r="L43" i="9"/>
  <c r="Z72" i="9"/>
  <c r="B202" i="10" s="1"/>
  <c r="Z67" i="9"/>
  <c r="B207" i="10" s="1"/>
  <c r="Z73" i="9"/>
  <c r="B208" i="10" s="1"/>
  <c r="AG4" i="16"/>
  <c r="AV4" i="16" s="1"/>
  <c r="BF4" i="16" s="1"/>
  <c r="AG7" i="16"/>
  <c r="AV8" i="16" s="1"/>
  <c r="BF8" i="16" s="1"/>
  <c r="AE7" i="16"/>
  <c r="AT8" i="16" s="1"/>
  <c r="BD8" i="16" s="1"/>
  <c r="AE4" i="16"/>
  <c r="AT4" i="16" s="1"/>
  <c r="BD4" i="16" s="1"/>
  <c r="AF7" i="16"/>
  <c r="AU8" i="16" s="1"/>
  <c r="BE8" i="16" s="1"/>
  <c r="AF4" i="16"/>
  <c r="AU4" i="16" s="1"/>
  <c r="BE4" i="16" s="1"/>
  <c r="J5" i="5"/>
  <c r="AD4" i="16"/>
  <c r="AS4" i="16" s="1"/>
  <c r="BC4" i="16" s="1"/>
  <c r="AD7" i="16"/>
  <c r="AS8" i="16" s="1"/>
  <c r="BC8" i="16" s="1"/>
  <c r="T35" i="3"/>
  <c r="G15" i="7" s="1"/>
  <c r="F25" i="3"/>
  <c r="D49" i="3"/>
  <c r="E26" i="5" s="1"/>
  <c r="D34" i="3"/>
  <c r="E11" i="5" s="1"/>
  <c r="D48" i="3"/>
  <c r="E25" i="5" s="1"/>
  <c r="D116" i="3"/>
  <c r="D68" i="3"/>
  <c r="E45" i="5" s="1"/>
  <c r="D95" i="3"/>
  <c r="D63" i="3"/>
  <c r="E40" i="5" s="1"/>
  <c r="D75" i="3"/>
  <c r="E52" i="5" s="1"/>
  <c r="D86" i="3"/>
  <c r="D42" i="3"/>
  <c r="E19" i="5" s="1"/>
  <c r="D59" i="3"/>
  <c r="E36" i="5" s="1"/>
  <c r="D32" i="3"/>
  <c r="E9" i="5" s="1"/>
  <c r="D82" i="3"/>
  <c r="D100" i="3"/>
  <c r="D94" i="3"/>
  <c r="D101" i="3"/>
  <c r="D90" i="3"/>
  <c r="D84" i="3"/>
  <c r="D50" i="3"/>
  <c r="E27" i="5" s="1"/>
  <c r="D121" i="3"/>
  <c r="D67" i="3"/>
  <c r="E44" i="5" s="1"/>
  <c r="D70" i="3"/>
  <c r="E47" i="5" s="1"/>
  <c r="D78" i="3"/>
  <c r="D52" i="3"/>
  <c r="E29" i="5" s="1"/>
  <c r="D114" i="3"/>
  <c r="D69" i="3"/>
  <c r="E46" i="5" s="1"/>
  <c r="D64" i="3"/>
  <c r="E41" i="5" s="1"/>
  <c r="D110" i="3"/>
  <c r="D76" i="3"/>
  <c r="E53" i="5" s="1"/>
  <c r="D107" i="3"/>
  <c r="D113" i="3"/>
  <c r="D31" i="3"/>
  <c r="E8" i="5" s="1"/>
  <c r="D44" i="3"/>
  <c r="E21" i="5" s="1"/>
  <c r="D120" i="3"/>
  <c r="D73" i="3"/>
  <c r="E50" i="5" s="1"/>
  <c r="D83" i="3"/>
  <c r="D99" i="3"/>
  <c r="F162" i="10"/>
  <c r="F299" i="14"/>
  <c r="F174" i="10"/>
  <c r="F301" i="14"/>
  <c r="D126" i="3"/>
  <c r="D92" i="3"/>
  <c r="D98" i="3"/>
  <c r="D61" i="3"/>
  <c r="E38" i="5" s="1"/>
  <c r="D102" i="3"/>
  <c r="D36" i="3"/>
  <c r="E13" i="5" s="1"/>
  <c r="D91" i="3"/>
  <c r="D79" i="3"/>
  <c r="D80" i="3"/>
  <c r="D47" i="3"/>
  <c r="E24" i="5" s="1"/>
  <c r="D115" i="3"/>
  <c r="D111" i="3"/>
  <c r="F168" i="10"/>
  <c r="F300" i="14"/>
  <c r="F180" i="10"/>
  <c r="F302" i="14"/>
  <c r="S13" i="9"/>
  <c r="B54" i="10" s="1"/>
  <c r="E350" i="14"/>
  <c r="E242" i="10"/>
  <c r="E197" i="10"/>
  <c r="E203" i="10"/>
  <c r="E170" i="10"/>
  <c r="E312" i="14"/>
  <c r="E270" i="14"/>
  <c r="E139" i="10"/>
  <c r="E163" i="10"/>
  <c r="E305" i="14"/>
  <c r="E151" i="10"/>
  <c r="E272" i="14"/>
  <c r="E152" i="10"/>
  <c r="E278" i="14"/>
  <c r="E85" i="10"/>
  <c r="E91" i="14"/>
  <c r="E205" i="14"/>
  <c r="E116" i="10"/>
  <c r="E25" i="10"/>
  <c r="E127" i="14"/>
  <c r="C260" i="14"/>
  <c r="F147" i="10"/>
  <c r="F283" i="14"/>
  <c r="F226" i="10"/>
  <c r="F359" i="14"/>
  <c r="F246" i="14"/>
  <c r="F201" i="10"/>
  <c r="F207" i="10"/>
  <c r="F177" i="10"/>
  <c r="F319" i="14"/>
  <c r="F338" i="14"/>
  <c r="F240" i="10"/>
  <c r="F243" i="10"/>
  <c r="F356" i="14"/>
  <c r="F196" i="10"/>
  <c r="F251" i="14"/>
  <c r="F266" i="14"/>
  <c r="F150" i="10"/>
  <c r="F153" i="10"/>
  <c r="F284" i="14"/>
  <c r="E36" i="3"/>
  <c r="F13" i="5" s="1"/>
  <c r="E115" i="3"/>
  <c r="E78" i="3"/>
  <c r="E88" i="3"/>
  <c r="E42" i="3"/>
  <c r="F19" i="5" s="1"/>
  <c r="E122" i="3"/>
  <c r="E91" i="3"/>
  <c r="E101" i="3"/>
  <c r="L31" i="3"/>
  <c r="L37" i="3"/>
  <c r="L42" i="3"/>
  <c r="L47" i="3"/>
  <c r="L53" i="3"/>
  <c r="L58" i="3"/>
  <c r="L63" i="3"/>
  <c r="L69" i="3"/>
  <c r="L74" i="3"/>
  <c r="L32" i="3"/>
  <c r="L30" i="3"/>
  <c r="L35" i="3"/>
  <c r="L41" i="3"/>
  <c r="L46" i="3"/>
  <c r="L51" i="3"/>
  <c r="L38" i="3"/>
  <c r="L49" i="3"/>
  <c r="L57" i="3"/>
  <c r="L65" i="3"/>
  <c r="L71" i="3"/>
  <c r="L78" i="3"/>
  <c r="L83" i="3"/>
  <c r="L89" i="3"/>
  <c r="L94" i="3"/>
  <c r="L99" i="3"/>
  <c r="L105" i="3"/>
  <c r="L110" i="3"/>
  <c r="L115" i="3"/>
  <c r="L121" i="3"/>
  <c r="L126" i="3"/>
  <c r="L29" i="3"/>
  <c r="L39" i="3"/>
  <c r="L50" i="3"/>
  <c r="L59" i="3"/>
  <c r="L66" i="3"/>
  <c r="L73" i="3"/>
  <c r="L79" i="3"/>
  <c r="L85" i="3"/>
  <c r="L90" i="3"/>
  <c r="L95" i="3"/>
  <c r="L101" i="3"/>
  <c r="L106" i="3"/>
  <c r="L111" i="3"/>
  <c r="L117" i="3"/>
  <c r="L122" i="3"/>
  <c r="L33" i="3"/>
  <c r="L54" i="3"/>
  <c r="L67" i="3"/>
  <c r="L81" i="3"/>
  <c r="L91" i="3"/>
  <c r="L102" i="3"/>
  <c r="L113" i="3"/>
  <c r="L123" i="3"/>
  <c r="L45" i="3"/>
  <c r="L62" i="3"/>
  <c r="L77" i="3"/>
  <c r="L87" i="3"/>
  <c r="L98" i="3"/>
  <c r="L109" i="3"/>
  <c r="L119" i="3"/>
  <c r="L55" i="3"/>
  <c r="L82" i="3"/>
  <c r="L103" i="3"/>
  <c r="L125" i="3"/>
  <c r="L61" i="3"/>
  <c r="L86" i="3"/>
  <c r="L107" i="3"/>
  <c r="L112" i="3"/>
  <c r="L96" i="3"/>
  <c r="L80" i="3"/>
  <c r="L64" i="3"/>
  <c r="L48" i="3"/>
  <c r="L70" i="3"/>
  <c r="L114" i="3"/>
  <c r="L116" i="3"/>
  <c r="L92" i="3"/>
  <c r="L72" i="3"/>
  <c r="L52" i="3"/>
  <c r="L43" i="3"/>
  <c r="L97" i="3"/>
  <c r="L120" i="3"/>
  <c r="L100" i="3"/>
  <c r="L76" i="3"/>
  <c r="L56" i="3"/>
  <c r="L36" i="3"/>
  <c r="L75" i="3"/>
  <c r="L108" i="3"/>
  <c r="L68" i="3"/>
  <c r="L93" i="3"/>
  <c r="L104" i="3"/>
  <c r="L60" i="3"/>
  <c r="L34" i="3"/>
  <c r="L84" i="3"/>
  <c r="L118" i="3"/>
  <c r="L44" i="3"/>
  <c r="L124" i="3"/>
  <c r="L88" i="3"/>
  <c r="L40" i="3"/>
  <c r="AG6" i="16"/>
  <c r="AV6" i="16" s="1"/>
  <c r="AG3" i="16"/>
  <c r="AV3" i="16" s="1"/>
  <c r="AG8" i="16"/>
  <c r="AV7" i="16" s="1"/>
  <c r="BF7" i="16" s="1"/>
  <c r="C187" i="14"/>
  <c r="C113" i="10"/>
  <c r="AB28" i="9"/>
  <c r="E69" i="10" s="1"/>
  <c r="AI28" i="9"/>
  <c r="E99" i="10" s="1"/>
  <c r="N34" i="9"/>
  <c r="E10" i="10" s="1"/>
  <c r="U4" i="9"/>
  <c r="E35" i="10" s="1"/>
  <c r="AI22" i="9"/>
  <c r="AB22" i="9"/>
  <c r="F27" i="8"/>
  <c r="F28" i="8" s="1"/>
  <c r="F29" i="8" s="1"/>
  <c r="F30" i="8" s="1"/>
  <c r="F31" i="8" s="1"/>
  <c r="F32" i="8" s="1"/>
  <c r="F33" i="8" s="1"/>
  <c r="F34" i="8" s="1"/>
  <c r="AB4" i="9"/>
  <c r="E65" i="10" s="1"/>
  <c r="AI34" i="9"/>
  <c r="N10" i="9"/>
  <c r="E6" i="10" s="1"/>
  <c r="AB34" i="9"/>
  <c r="N4" i="9"/>
  <c r="E5" i="10" s="1"/>
  <c r="U16" i="9"/>
  <c r="U34" i="9"/>
  <c r="E40" i="10" s="1"/>
  <c r="N22" i="9"/>
  <c r="AI4" i="9"/>
  <c r="E95" i="10" s="1"/>
  <c r="AB10" i="9"/>
  <c r="E66" i="10" s="1"/>
  <c r="U10" i="9"/>
  <c r="E36" i="10" s="1"/>
  <c r="U28" i="9"/>
  <c r="E39" i="10" s="1"/>
  <c r="AI16" i="9"/>
  <c r="N28" i="9"/>
  <c r="E9" i="10" s="1"/>
  <c r="N16" i="9"/>
  <c r="U22" i="9"/>
  <c r="AB16" i="9"/>
  <c r="AI10" i="9"/>
  <c r="E96" i="10" s="1"/>
  <c r="E276" i="14"/>
  <c r="E140" i="10"/>
  <c r="E199" i="14"/>
  <c r="E115" i="10"/>
  <c r="M17" i="9"/>
  <c r="C13" i="10" s="1"/>
  <c r="F198" i="10"/>
  <c r="F204" i="10"/>
  <c r="F228" i="14"/>
  <c r="F317" i="14"/>
  <c r="F165" i="10"/>
  <c r="F135" i="10"/>
  <c r="F281" i="14"/>
  <c r="F230" i="14"/>
  <c r="F210" i="10"/>
  <c r="F142" i="10"/>
  <c r="F288" i="14"/>
  <c r="R58" i="9"/>
  <c r="F158" i="10" s="1"/>
  <c r="R46" i="9"/>
  <c r="R70" i="9"/>
  <c r="Y64" i="9"/>
  <c r="AF52" i="9"/>
  <c r="F217" i="10" s="1"/>
  <c r="R64" i="9"/>
  <c r="K64" i="9"/>
  <c r="K70" i="9"/>
  <c r="K52" i="9"/>
  <c r="F127" i="10" s="1"/>
  <c r="R40" i="9"/>
  <c r="F155" i="10" s="1"/>
  <c r="Y58" i="9"/>
  <c r="F188" i="10" s="1"/>
  <c r="AF46" i="9"/>
  <c r="AF70" i="9"/>
  <c r="AF58" i="9"/>
  <c r="F218" i="10" s="1"/>
  <c r="Y40" i="9"/>
  <c r="F185" i="10" s="1"/>
  <c r="AF40" i="9"/>
  <c r="F215" i="10" s="1"/>
  <c r="K46" i="9"/>
  <c r="Y46" i="9"/>
  <c r="K58" i="9"/>
  <c r="F128" i="10" s="1"/>
  <c r="AF64" i="9"/>
  <c r="R52" i="9"/>
  <c r="F157" i="10" s="1"/>
  <c r="K40" i="9"/>
  <c r="F125" i="10" s="1"/>
  <c r="Y70" i="9"/>
  <c r="Y52" i="9"/>
  <c r="F187" i="10" s="1"/>
  <c r="F184" i="10"/>
  <c r="F326" i="14"/>
  <c r="F354" i="14"/>
  <c r="F231" i="10"/>
  <c r="E119" i="3"/>
  <c r="E74" i="3"/>
  <c r="F51" i="5" s="1"/>
  <c r="E71" i="3"/>
  <c r="F48" i="5" s="1"/>
  <c r="E117" i="3"/>
  <c r="E89" i="3"/>
  <c r="E57" i="3"/>
  <c r="F34" i="5" s="1"/>
  <c r="E113" i="3"/>
  <c r="E60" i="3"/>
  <c r="F37" i="5" s="1"/>
  <c r="E86" i="3"/>
  <c r="E59" i="3"/>
  <c r="F36" i="5" s="1"/>
  <c r="E58" i="3"/>
  <c r="F35" i="5" s="1"/>
  <c r="E111" i="3"/>
  <c r="E124" i="3"/>
  <c r="E82" i="3"/>
  <c r="E94" i="3"/>
  <c r="E37" i="3"/>
  <c r="F14" i="5" s="1"/>
  <c r="E34" i="3"/>
  <c r="F11" i="5" s="1"/>
  <c r="E110" i="3"/>
  <c r="E83" i="3"/>
  <c r="E76" i="3"/>
  <c r="F53" i="5" s="1"/>
  <c r="E67" i="3"/>
  <c r="F44" i="5" s="1"/>
  <c r="E79" i="3"/>
  <c r="E49" i="3"/>
  <c r="F26" i="5" s="1"/>
  <c r="E51" i="3"/>
  <c r="F28" i="5" s="1"/>
  <c r="E118" i="3"/>
  <c r="D12" i="8"/>
  <c r="D11" i="8"/>
  <c r="C151" i="14"/>
  <c r="C56" i="10"/>
  <c r="AB18" i="9"/>
  <c r="AI30" i="9"/>
  <c r="E111" i="10" s="1"/>
  <c r="U36" i="9"/>
  <c r="E52" i="10" s="1"/>
  <c r="AI24" i="9"/>
  <c r="AI18" i="9"/>
  <c r="AI6" i="9"/>
  <c r="E107" i="10" s="1"/>
  <c r="N6" i="9"/>
  <c r="E17" i="10" s="1"/>
  <c r="AI36" i="9"/>
  <c r="U12" i="9"/>
  <c r="E48" i="10" s="1"/>
  <c r="N18" i="9"/>
  <c r="AP78" i="9" s="1"/>
  <c r="AB12" i="9"/>
  <c r="E78" i="10" s="1"/>
  <c r="U30" i="9"/>
  <c r="E51" i="10" s="1"/>
  <c r="AI12" i="9"/>
  <c r="E108" i="10" s="1"/>
  <c r="AB6" i="9"/>
  <c r="E77" i="10" s="1"/>
  <c r="AB36" i="9"/>
  <c r="F51" i="8"/>
  <c r="F52" i="8" s="1"/>
  <c r="F53" i="8" s="1"/>
  <c r="F54" i="8" s="1"/>
  <c r="F55" i="8" s="1"/>
  <c r="F56" i="8" s="1"/>
  <c r="F57" i="8" s="1"/>
  <c r="F58" i="8" s="1"/>
  <c r="AB24" i="9"/>
  <c r="N36" i="9"/>
  <c r="E22" i="10" s="1"/>
  <c r="U6" i="9"/>
  <c r="E47" i="10" s="1"/>
  <c r="N12" i="9"/>
  <c r="E18" i="10" s="1"/>
  <c r="U24" i="9"/>
  <c r="AR86" i="9" s="1"/>
  <c r="AB30" i="9"/>
  <c r="E81" i="10" s="1"/>
  <c r="N24" i="9"/>
  <c r="AR24" i="9" s="1"/>
  <c r="N30" i="9"/>
  <c r="E21" i="10" s="1"/>
  <c r="U18" i="9"/>
  <c r="E236" i="10"/>
  <c r="E349" i="14"/>
  <c r="N23" i="9"/>
  <c r="AR14" i="9" s="1"/>
  <c r="AB29" i="9"/>
  <c r="E75" i="10" s="1"/>
  <c r="AI23" i="9"/>
  <c r="AB11" i="9"/>
  <c r="E72" i="10" s="1"/>
  <c r="U17" i="9"/>
  <c r="AP68" i="9" s="1"/>
  <c r="AB5" i="9"/>
  <c r="E71" i="10" s="1"/>
  <c r="AI17" i="9"/>
  <c r="U23" i="9"/>
  <c r="N5" i="9"/>
  <c r="E11" i="10" s="1"/>
  <c r="U29" i="9"/>
  <c r="E45" i="10" s="1"/>
  <c r="AI29" i="9"/>
  <c r="E105" i="10" s="1"/>
  <c r="AB23" i="9"/>
  <c r="AB35" i="9"/>
  <c r="N17" i="9"/>
  <c r="AP77" i="9" s="1"/>
  <c r="AI35" i="9"/>
  <c r="AV178" i="9" s="1"/>
  <c r="U35" i="9"/>
  <c r="E46" i="10" s="1"/>
  <c r="AI5" i="9"/>
  <c r="E101" i="10" s="1"/>
  <c r="N29" i="9"/>
  <c r="E15" i="10" s="1"/>
  <c r="N11" i="9"/>
  <c r="E12" i="10" s="1"/>
  <c r="AB17" i="9"/>
  <c r="AP124" i="9" s="1"/>
  <c r="AI11" i="9"/>
  <c r="E102" i="10" s="1"/>
  <c r="N35" i="9"/>
  <c r="E16" i="10" s="1"/>
  <c r="F39" i="8"/>
  <c r="F40" i="8" s="1"/>
  <c r="F41" i="8" s="1"/>
  <c r="F42" i="8" s="1"/>
  <c r="F43" i="8" s="1"/>
  <c r="F44" i="8" s="1"/>
  <c r="F45" i="8" s="1"/>
  <c r="F46" i="8" s="1"/>
  <c r="U5" i="9"/>
  <c r="E41" i="10" s="1"/>
  <c r="U11" i="9"/>
  <c r="E42" i="10" s="1"/>
  <c r="E175" i="10"/>
  <c r="E307" i="14"/>
  <c r="E229" i="10"/>
  <c r="E342" i="14"/>
  <c r="E240" i="14"/>
  <c r="E206" i="10"/>
  <c r="E200" i="10"/>
  <c r="E223" i="10"/>
  <c r="E341" i="14"/>
  <c r="E182" i="10"/>
  <c r="E314" i="14"/>
  <c r="E234" i="14"/>
  <c r="E199" i="10"/>
  <c r="E205" i="10"/>
  <c r="E275" i="14"/>
  <c r="E134" i="10"/>
  <c r="E251" i="14"/>
  <c r="E196" i="10"/>
  <c r="E181" i="10"/>
  <c r="E308" i="14"/>
  <c r="E217" i="14"/>
  <c r="E118" i="10"/>
  <c r="E163" i="14"/>
  <c r="E55" i="10"/>
  <c r="E56" i="10"/>
  <c r="E169" i="14"/>
  <c r="D54" i="3"/>
  <c r="E31" i="5" s="1"/>
  <c r="D40" i="3"/>
  <c r="E17" i="5" s="1"/>
  <c r="D29" i="3"/>
  <c r="E6" i="5" s="1"/>
  <c r="D65" i="3"/>
  <c r="E42" i="5" s="1"/>
  <c r="D104" i="3"/>
  <c r="D122" i="3"/>
  <c r="D62" i="3"/>
  <c r="E39" i="5" s="1"/>
  <c r="D118" i="3"/>
  <c r="D46" i="3"/>
  <c r="E23" i="5" s="1"/>
  <c r="D74" i="3"/>
  <c r="E51" i="5" s="1"/>
  <c r="D77" i="3"/>
  <c r="E54" i="5" s="1"/>
  <c r="D66" i="3"/>
  <c r="E43" i="5" s="1"/>
  <c r="D71" i="3"/>
  <c r="E48" i="5" s="1"/>
  <c r="D108" i="3"/>
  <c r="D87" i="3"/>
  <c r="D55" i="3"/>
  <c r="E32" i="5" s="1"/>
  <c r="D56" i="3"/>
  <c r="E33" i="5" s="1"/>
  <c r="D41" i="3"/>
  <c r="E18" i="5" s="1"/>
  <c r="D72" i="3"/>
  <c r="E49" i="5" s="1"/>
  <c r="D109" i="3"/>
  <c r="D57" i="3"/>
  <c r="E34" i="5" s="1"/>
  <c r="D53" i="3"/>
  <c r="E30" i="5" s="1"/>
  <c r="D81" i="3"/>
  <c r="D88" i="3"/>
  <c r="D117" i="3"/>
  <c r="AD8" i="16"/>
  <c r="AS7" i="16" s="1"/>
  <c r="BC7" i="16" s="1"/>
  <c r="AD6" i="16"/>
  <c r="AS6" i="16" s="1"/>
  <c r="AD3" i="16"/>
  <c r="AS3" i="16" s="1"/>
  <c r="AH4" i="9"/>
  <c r="Z23" i="9"/>
  <c r="B74" i="10" s="1"/>
  <c r="S17" i="9"/>
  <c r="B43" i="10" s="1"/>
  <c r="S11" i="9"/>
  <c r="B42" i="10" s="1"/>
  <c r="S23" i="9"/>
  <c r="B44" i="10" s="1"/>
  <c r="AG23" i="9"/>
  <c r="B104" i="10" s="1"/>
  <c r="Z17" i="9"/>
  <c r="B73" i="10" s="1"/>
  <c r="D39" i="8"/>
  <c r="D40" i="8" s="1"/>
  <c r="D41" i="8" s="1"/>
  <c r="D42" i="8" s="1"/>
  <c r="D43" i="8" s="1"/>
  <c r="D44" i="8" s="1"/>
  <c r="D45" i="8" s="1"/>
  <c r="D46" i="8" s="1"/>
  <c r="L29" i="9"/>
  <c r="B15" i="10" s="1"/>
  <c r="AG5" i="9"/>
  <c r="S29" i="9"/>
  <c r="AG35" i="9"/>
  <c r="B106" i="10" s="1"/>
  <c r="Z5" i="9"/>
  <c r="AG17" i="9"/>
  <c r="B103" i="10" s="1"/>
  <c r="L17" i="9"/>
  <c r="B13" i="10" s="1"/>
  <c r="AG29" i="9"/>
  <c r="B105" i="10" s="1"/>
  <c r="Z29" i="9"/>
  <c r="B75" i="10" s="1"/>
  <c r="S35" i="9"/>
  <c r="B46" i="10" s="1"/>
  <c r="S5" i="9"/>
  <c r="L11" i="9"/>
  <c r="B12" i="10" s="1"/>
  <c r="AG11" i="9"/>
  <c r="B102" i="10" s="1"/>
  <c r="Z11" i="9"/>
  <c r="B72" i="10" s="1"/>
  <c r="L23" i="9"/>
  <c r="L35" i="9"/>
  <c r="Z35" i="9"/>
  <c r="B76" i="10" s="1"/>
  <c r="L5" i="9"/>
  <c r="B293" i="14"/>
  <c r="B203" i="10"/>
  <c r="F337" i="14"/>
  <c r="F234" i="10"/>
  <c r="F265" i="14"/>
  <c r="F144" i="10"/>
  <c r="F237" i="10"/>
  <c r="F355" i="14"/>
  <c r="F203" i="10"/>
  <c r="F197" i="10"/>
  <c r="F214" i="10"/>
  <c r="F254" i="14"/>
  <c r="F213" i="10"/>
  <c r="F248" i="14"/>
  <c r="F192" i="10"/>
  <c r="F227" i="14"/>
  <c r="F154" i="10"/>
  <c r="F290" i="14"/>
  <c r="F282" i="14"/>
  <c r="F141" i="10"/>
  <c r="E99" i="3"/>
  <c r="E72" i="3"/>
  <c r="F49" i="5" s="1"/>
  <c r="E114" i="3"/>
  <c r="E35" i="3"/>
  <c r="F12" i="5" s="1"/>
  <c r="E55" i="3"/>
  <c r="F32" i="5" s="1"/>
  <c r="E81" i="3"/>
  <c r="E126" i="3"/>
  <c r="E107" i="3"/>
  <c r="E64" i="3"/>
  <c r="F41" i="5" s="1"/>
  <c r="E66" i="3"/>
  <c r="F43" i="5" s="1"/>
  <c r="E109" i="3"/>
  <c r="E85" i="3"/>
  <c r="E38" i="3"/>
  <c r="F15" i="5" s="1"/>
  <c r="E77" i="3"/>
  <c r="F54" i="5" s="1"/>
  <c r="E53" i="3"/>
  <c r="F30" i="5" s="1"/>
  <c r="E120" i="3"/>
  <c r="E90" i="3"/>
  <c r="E62" i="3"/>
  <c r="F39" i="5" s="1"/>
  <c r="E69" i="3"/>
  <c r="F46" i="5" s="1"/>
  <c r="E61" i="3"/>
  <c r="F38" i="5" s="1"/>
  <c r="E29" i="3"/>
  <c r="F6" i="5" s="1"/>
  <c r="E65" i="3"/>
  <c r="F42" i="5" s="1"/>
  <c r="E32" i="3"/>
  <c r="F9" i="5" s="1"/>
  <c r="E50" i="3"/>
  <c r="F27" i="5" s="1"/>
  <c r="E93" i="3"/>
  <c r="E343" i="14"/>
  <c r="E235" i="10"/>
  <c r="E241" i="10"/>
  <c r="E344" i="14"/>
  <c r="E201" i="10"/>
  <c r="E207" i="10"/>
  <c r="U46" i="9"/>
  <c r="E156" i="10" s="1"/>
  <c r="U52" i="9"/>
  <c r="AI64" i="9"/>
  <c r="E219" i="10" s="1"/>
  <c r="U70" i="9"/>
  <c r="E160" i="10" s="1"/>
  <c r="AB64" i="9"/>
  <c r="E189" i="10" s="1"/>
  <c r="AB40" i="9"/>
  <c r="E185" i="10" s="1"/>
  <c r="AB58" i="9"/>
  <c r="U64" i="9"/>
  <c r="E159" i="10" s="1"/>
  <c r="AB52" i="9"/>
  <c r="N46" i="9"/>
  <c r="E126" i="10" s="1"/>
  <c r="N52" i="9"/>
  <c r="U58" i="9"/>
  <c r="AI46" i="9"/>
  <c r="E216" i="10" s="1"/>
  <c r="AI70" i="9"/>
  <c r="N40" i="9"/>
  <c r="E125" i="10" s="1"/>
  <c r="AI52" i="9"/>
  <c r="AB46" i="9"/>
  <c r="E186" i="10" s="1"/>
  <c r="AI58" i="9"/>
  <c r="N58" i="9"/>
  <c r="N70" i="9"/>
  <c r="E130" i="10" s="1"/>
  <c r="AB70" i="9"/>
  <c r="AI40" i="9"/>
  <c r="E215" i="10" s="1"/>
  <c r="U40" i="9"/>
  <c r="E155" i="10" s="1"/>
  <c r="N64" i="9"/>
  <c r="E129" i="10" s="1"/>
  <c r="E88" i="10"/>
  <c r="E109" i="14"/>
  <c r="F287" i="14"/>
  <c r="F136" i="10"/>
  <c r="F232" i="10"/>
  <c r="F360" i="14"/>
  <c r="F166" i="10"/>
  <c r="F323" i="14"/>
  <c r="F208" i="10"/>
  <c r="F202" i="10"/>
  <c r="F252" i="14"/>
  <c r="E33" i="3"/>
  <c r="F10" i="5" s="1"/>
  <c r="E105" i="3"/>
  <c r="E103" i="3"/>
  <c r="E30" i="3"/>
  <c r="F7" i="5" s="1"/>
  <c r="E98" i="3"/>
  <c r="E87" i="3"/>
  <c r="E45" i="3"/>
  <c r="F22" i="5" s="1"/>
  <c r="E104" i="3"/>
  <c r="E47" i="3"/>
  <c r="F24" i="5" s="1"/>
  <c r="E84" i="3"/>
  <c r="E68" i="3"/>
  <c r="F45" i="5" s="1"/>
  <c r="E106" i="3"/>
  <c r="E100" i="3"/>
  <c r="E116" i="3"/>
  <c r="E112" i="3"/>
  <c r="E95" i="3"/>
  <c r="AF19" i="9"/>
  <c r="F115" i="10" s="1"/>
  <c r="K7" i="9"/>
  <c r="F23" i="10" s="1"/>
  <c r="Y19" i="9"/>
  <c r="F85" i="10" s="1"/>
  <c r="Y7" i="9"/>
  <c r="F83" i="10" s="1"/>
  <c r="AF37" i="9"/>
  <c r="AF13" i="9"/>
  <c r="K31" i="9"/>
  <c r="R25" i="9"/>
  <c r="F56" i="10" s="1"/>
  <c r="AF31" i="9"/>
  <c r="Y31" i="9"/>
  <c r="K25" i="9"/>
  <c r="F26" i="10" s="1"/>
  <c r="C63" i="8"/>
  <c r="C64" i="8" s="1"/>
  <c r="C65" i="8" s="1"/>
  <c r="C66" i="8" s="1"/>
  <c r="C67" i="8" s="1"/>
  <c r="C68" i="8" s="1"/>
  <c r="C69" i="8" s="1"/>
  <c r="C70" i="8" s="1"/>
  <c r="R7" i="9"/>
  <c r="F53" i="10" s="1"/>
  <c r="R13" i="9"/>
  <c r="K19" i="9"/>
  <c r="F25" i="10" s="1"/>
  <c r="AF7" i="9"/>
  <c r="F113" i="10" s="1"/>
  <c r="AF25" i="9"/>
  <c r="F116" i="10" s="1"/>
  <c r="Y13" i="9"/>
  <c r="AO148" i="9" s="1"/>
  <c r="R19" i="9"/>
  <c r="F55" i="10" s="1"/>
  <c r="K37" i="9"/>
  <c r="AU36" i="9" s="1"/>
  <c r="R37" i="9"/>
  <c r="Y25" i="9"/>
  <c r="F86" i="10" s="1"/>
  <c r="K13" i="9"/>
  <c r="AO92" i="9" s="1"/>
  <c r="Y37" i="9"/>
  <c r="R31" i="9"/>
  <c r="C139" i="14"/>
  <c r="C27" i="10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1" i="3"/>
  <c r="K99" i="3"/>
  <c r="K114" i="3"/>
  <c r="K104" i="3"/>
  <c r="K113" i="3"/>
  <c r="K125" i="3"/>
  <c r="K96" i="3"/>
  <c r="K126" i="3"/>
  <c r="K115" i="3"/>
  <c r="K102" i="3"/>
  <c r="K29" i="3"/>
  <c r="K35" i="3"/>
  <c r="K40" i="3"/>
  <c r="K45" i="3"/>
  <c r="K51" i="3"/>
  <c r="K56" i="3"/>
  <c r="K61" i="3"/>
  <c r="K67" i="3"/>
  <c r="K72" i="3"/>
  <c r="K77" i="3"/>
  <c r="K83" i="3"/>
  <c r="K88" i="3"/>
  <c r="K97" i="3"/>
  <c r="K118" i="3"/>
  <c r="K100" i="3"/>
  <c r="K122" i="3"/>
  <c r="K98" i="3"/>
  <c r="K110" i="3"/>
  <c r="K123" i="3"/>
  <c r="K33" i="3"/>
  <c r="K39" i="3"/>
  <c r="K44" i="3"/>
  <c r="K49" i="3"/>
  <c r="K55" i="3"/>
  <c r="K60" i="3"/>
  <c r="K65" i="3"/>
  <c r="K71" i="3"/>
  <c r="K76" i="3"/>
  <c r="K81" i="3"/>
  <c r="K87" i="3"/>
  <c r="K95" i="3"/>
  <c r="K109" i="3"/>
  <c r="K108" i="3"/>
  <c r="K119" i="3"/>
  <c r="K94" i="3"/>
  <c r="K106" i="3"/>
  <c r="K120" i="3"/>
  <c r="K36" i="3"/>
  <c r="K47" i="3"/>
  <c r="K57" i="3"/>
  <c r="K68" i="3"/>
  <c r="K79" i="3"/>
  <c r="K89" i="3"/>
  <c r="K121" i="3"/>
  <c r="K90" i="3"/>
  <c r="K112" i="3"/>
  <c r="K37" i="3"/>
  <c r="K48" i="3"/>
  <c r="K59" i="3"/>
  <c r="K69" i="3"/>
  <c r="K80" i="3"/>
  <c r="K93" i="3"/>
  <c r="K124" i="3"/>
  <c r="K92" i="3"/>
  <c r="K117" i="3"/>
  <c r="K32" i="3"/>
  <c r="K53" i="3"/>
  <c r="K75" i="3"/>
  <c r="K105" i="3"/>
  <c r="K107" i="3"/>
  <c r="K41" i="3"/>
  <c r="K63" i="3"/>
  <c r="K84" i="3"/>
  <c r="K111" i="3"/>
  <c r="K64" i="3"/>
  <c r="K116" i="3"/>
  <c r="K31" i="3"/>
  <c r="K73" i="3"/>
  <c r="K103" i="3"/>
  <c r="K43" i="3"/>
  <c r="K52" i="3"/>
  <c r="K85" i="3"/>
  <c r="K101" i="3"/>
  <c r="E232" i="10"/>
  <c r="E360" i="14"/>
  <c r="E230" i="10"/>
  <c r="E348" i="14"/>
  <c r="E204" i="10"/>
  <c r="E198" i="10"/>
  <c r="E214" i="10"/>
  <c r="E254" i="14"/>
  <c r="E212" i="10"/>
  <c r="E242" i="14"/>
  <c r="E194" i="10"/>
  <c r="E239" i="14"/>
  <c r="E244" i="10"/>
  <c r="E362" i="14"/>
  <c r="E347" i="14"/>
  <c r="E224" i="10"/>
  <c r="E97" i="14"/>
  <c r="E86" i="10"/>
  <c r="C325" i="14"/>
  <c r="C178" i="10"/>
  <c r="Z52" i="9"/>
  <c r="B187" i="10" s="1"/>
  <c r="F361" i="14"/>
  <c r="F238" i="10"/>
  <c r="F178" i="10"/>
  <c r="F325" i="14"/>
  <c r="F289" i="14"/>
  <c r="F148" i="10"/>
  <c r="F18" i="3"/>
  <c r="H18" i="3" s="1"/>
  <c r="D16" i="8" s="1"/>
  <c r="H16" i="3"/>
  <c r="D14" i="8" s="1"/>
  <c r="F17" i="3"/>
  <c r="H17" i="3" s="1"/>
  <c r="D15" i="8" s="1"/>
  <c r="H15" i="3"/>
  <c r="D13" i="8" s="1"/>
  <c r="E361" i="14"/>
  <c r="E238" i="10"/>
  <c r="E271" i="14"/>
  <c r="E145" i="10"/>
  <c r="E226" i="10"/>
  <c r="E359" i="14"/>
  <c r="E146" i="10"/>
  <c r="E277" i="14"/>
  <c r="E269" i="14"/>
  <c r="E133" i="10"/>
  <c r="E176" i="10"/>
  <c r="E313" i="14"/>
  <c r="E306" i="14"/>
  <c r="E169" i="10"/>
  <c r="E252" i="14"/>
  <c r="E202" i="10"/>
  <c r="E208" i="10"/>
  <c r="E233" i="14"/>
  <c r="E193" i="10"/>
  <c r="E236" i="14"/>
  <c r="E211" i="10"/>
  <c r="E164" i="10"/>
  <c r="E311" i="14"/>
  <c r="J64" i="3"/>
  <c r="J70" i="3"/>
  <c r="J77" i="3"/>
  <c r="J84" i="3"/>
  <c r="J91" i="3"/>
  <c r="J98" i="3"/>
  <c r="J30" i="3"/>
  <c r="J34" i="3"/>
  <c r="J38" i="3"/>
  <c r="J42" i="3"/>
  <c r="J46" i="3"/>
  <c r="J50" i="3"/>
  <c r="J54" i="3"/>
  <c r="J59" i="3"/>
  <c r="J65" i="3"/>
  <c r="J76" i="3"/>
  <c r="J85" i="3"/>
  <c r="J95" i="3"/>
  <c r="J108" i="3"/>
  <c r="J110" i="3"/>
  <c r="J117" i="3"/>
  <c r="J125" i="3"/>
  <c r="J111" i="3"/>
  <c r="J120" i="3"/>
  <c r="J66" i="3"/>
  <c r="J74" i="3"/>
  <c r="J82" i="3"/>
  <c r="J92" i="3"/>
  <c r="J101" i="3"/>
  <c r="J33" i="3"/>
  <c r="J39" i="3"/>
  <c r="J44" i="3"/>
  <c r="J49" i="3"/>
  <c r="J55" i="3"/>
  <c r="J61" i="3"/>
  <c r="J73" i="3"/>
  <c r="J87" i="3"/>
  <c r="J100" i="3"/>
  <c r="J106" i="3"/>
  <c r="J119" i="3"/>
  <c r="J109" i="3"/>
  <c r="J118" i="3"/>
  <c r="J62" i="3"/>
  <c r="J72" i="3"/>
  <c r="J80" i="3"/>
  <c r="J89" i="3"/>
  <c r="J99" i="3"/>
  <c r="J32" i="3"/>
  <c r="J37" i="3"/>
  <c r="J43" i="3"/>
  <c r="J48" i="3"/>
  <c r="J53" i="3"/>
  <c r="J60" i="3"/>
  <c r="J71" i="3"/>
  <c r="J83" i="3"/>
  <c r="J97" i="3"/>
  <c r="J107" i="3"/>
  <c r="J116" i="3"/>
  <c r="J105" i="3"/>
  <c r="J115" i="3"/>
  <c r="J67" i="3"/>
  <c r="J86" i="3"/>
  <c r="J29" i="3"/>
  <c r="J40" i="3"/>
  <c r="J51" i="3"/>
  <c r="J63" i="3"/>
  <c r="J90" i="3"/>
  <c r="J112" i="3"/>
  <c r="J102" i="3"/>
  <c r="J69" i="3"/>
  <c r="J88" i="3"/>
  <c r="J31" i="3"/>
  <c r="J41" i="3"/>
  <c r="J52" i="3"/>
  <c r="J68" i="3"/>
  <c r="J93" i="3"/>
  <c r="J114" i="3"/>
  <c r="J113" i="3"/>
  <c r="J79" i="3"/>
  <c r="J36" i="3"/>
  <c r="J57" i="3"/>
  <c r="J103" i="3"/>
  <c r="J124" i="3"/>
  <c r="J126" i="3"/>
  <c r="J94" i="3"/>
  <c r="J45" i="3"/>
  <c r="J78" i="3"/>
  <c r="J121" i="3"/>
  <c r="J96" i="3"/>
  <c r="J81" i="3"/>
  <c r="J35" i="3"/>
  <c r="J104" i="3"/>
  <c r="J58" i="3"/>
  <c r="J123" i="3"/>
  <c r="J56" i="3"/>
  <c r="J75" i="3"/>
  <c r="J122" i="3"/>
  <c r="J47" i="3"/>
  <c r="E26" i="10"/>
  <c r="E133" i="14"/>
  <c r="D35" i="3"/>
  <c r="E12" i="5" s="1"/>
  <c r="D85" i="3"/>
  <c r="D124" i="3"/>
  <c r="D51" i="3"/>
  <c r="E28" i="5" s="1"/>
  <c r="D39" i="3"/>
  <c r="E16" i="5" s="1"/>
  <c r="D106" i="3"/>
  <c r="D93" i="3"/>
  <c r="D89" i="3"/>
  <c r="D45" i="3"/>
  <c r="E22" i="5" s="1"/>
  <c r="D125" i="3"/>
  <c r="D119" i="3"/>
  <c r="D105" i="3"/>
  <c r="D37" i="3"/>
  <c r="E14" i="5" s="1"/>
  <c r="D38" i="3"/>
  <c r="E15" i="5" s="1"/>
  <c r="D30" i="3"/>
  <c r="E7" i="5" s="1"/>
  <c r="D103" i="3"/>
  <c r="D33" i="3"/>
  <c r="E10" i="5" s="1"/>
  <c r="D112" i="3"/>
  <c r="D97" i="3"/>
  <c r="D43" i="3"/>
  <c r="E20" i="5" s="1"/>
  <c r="D58" i="3"/>
  <c r="E35" i="5" s="1"/>
  <c r="D96" i="3"/>
  <c r="D60" i="3"/>
  <c r="E37" i="5" s="1"/>
  <c r="AF3" i="16"/>
  <c r="AU3" i="16" s="1"/>
  <c r="AE6" i="16"/>
  <c r="AT6" i="16" s="1"/>
  <c r="AF8" i="16"/>
  <c r="AU7" i="16" s="1"/>
  <c r="BE7" i="16" s="1"/>
  <c r="AF6" i="16"/>
  <c r="AU6" i="16" s="1"/>
  <c r="AE3" i="16"/>
  <c r="AT3" i="16" s="1"/>
  <c r="AE8" i="16"/>
  <c r="AT7" i="16" s="1"/>
  <c r="BD7" i="16" s="1"/>
  <c r="C222" i="14"/>
  <c r="C197" i="10"/>
  <c r="C141" i="10"/>
  <c r="Z6" i="9"/>
  <c r="Z30" i="9"/>
  <c r="B81" i="10" s="1"/>
  <c r="AF12" i="9"/>
  <c r="Y18" i="9"/>
  <c r="F79" i="10" s="1"/>
  <c r="AF24" i="9"/>
  <c r="F110" i="10" s="1"/>
  <c r="Y30" i="9"/>
  <c r="AS134" i="9" s="1"/>
  <c r="R18" i="9"/>
  <c r="F49" i="10" s="1"/>
  <c r="R24" i="9"/>
  <c r="F50" i="10" s="1"/>
  <c r="R30" i="9"/>
  <c r="K18" i="9"/>
  <c r="F19" i="10" s="1"/>
  <c r="K30" i="9"/>
  <c r="AS25" i="9" s="1"/>
  <c r="Y12" i="9"/>
  <c r="K12" i="9"/>
  <c r="AO31" i="9" s="1"/>
  <c r="R36" i="9"/>
  <c r="R12" i="9"/>
  <c r="R6" i="9"/>
  <c r="F47" i="10" s="1"/>
  <c r="K6" i="9"/>
  <c r="F17" i="10" s="1"/>
  <c r="C51" i="8"/>
  <c r="C52" i="8" s="1"/>
  <c r="C53" i="8" s="1"/>
  <c r="C54" i="8" s="1"/>
  <c r="C55" i="8" s="1"/>
  <c r="C56" i="8" s="1"/>
  <c r="C57" i="8" s="1"/>
  <c r="C58" i="8" s="1"/>
  <c r="Y36" i="9"/>
  <c r="AF18" i="9"/>
  <c r="F109" i="10" s="1"/>
  <c r="AF36" i="9"/>
  <c r="AF30" i="9"/>
  <c r="AS186" i="9" s="1"/>
  <c r="K24" i="9"/>
  <c r="F20" i="10" s="1"/>
  <c r="Y6" i="9"/>
  <c r="F77" i="10" s="1"/>
  <c r="AF6" i="9"/>
  <c r="F107" i="10" s="1"/>
  <c r="Y24" i="9"/>
  <c r="F80" i="10" s="1"/>
  <c r="K36" i="9"/>
  <c r="AU28" i="9" s="1"/>
  <c r="R35" i="9"/>
  <c r="AU70" i="9" s="1"/>
  <c r="R23" i="9"/>
  <c r="F44" i="10" s="1"/>
  <c r="K11" i="9"/>
  <c r="R5" i="9"/>
  <c r="F41" i="10" s="1"/>
  <c r="AF17" i="9"/>
  <c r="F103" i="10" s="1"/>
  <c r="Y23" i="9"/>
  <c r="F74" i="10" s="1"/>
  <c r="K5" i="9"/>
  <c r="F11" i="10" s="1"/>
  <c r="AF5" i="9"/>
  <c r="F101" i="10" s="1"/>
  <c r="R17" i="9"/>
  <c r="F43" i="10" s="1"/>
  <c r="Y17" i="9"/>
  <c r="F73" i="10" s="1"/>
  <c r="K23" i="9"/>
  <c r="F14" i="10" s="1"/>
  <c r="K29" i="9"/>
  <c r="AS14" i="9" s="1"/>
  <c r="K17" i="9"/>
  <c r="F13" i="10" s="1"/>
  <c r="R29" i="9"/>
  <c r="AF35" i="9"/>
  <c r="AF23" i="9"/>
  <c r="F104" i="10" s="1"/>
  <c r="R11" i="9"/>
  <c r="AO68" i="9" s="1"/>
  <c r="Y29" i="9"/>
  <c r="AS126" i="9" s="1"/>
  <c r="AF29" i="9"/>
  <c r="Y11" i="9"/>
  <c r="Y5" i="9"/>
  <c r="F71" i="10" s="1"/>
  <c r="C39" i="8"/>
  <c r="C40" i="8" s="1"/>
  <c r="C41" i="8" s="1"/>
  <c r="C42" i="8" s="1"/>
  <c r="C43" i="8" s="1"/>
  <c r="C44" i="8" s="1"/>
  <c r="C45" i="8" s="1"/>
  <c r="C46" i="8" s="1"/>
  <c r="K35" i="9"/>
  <c r="AF11" i="9"/>
  <c r="Y35" i="9"/>
  <c r="F228" i="10"/>
  <c r="F336" i="14"/>
  <c r="F264" i="14"/>
  <c r="F138" i="10"/>
  <c r="F132" i="10"/>
  <c r="F263" i="14"/>
  <c r="F320" i="14"/>
  <c r="F183" i="10"/>
  <c r="F318" i="14"/>
  <c r="F171" i="10"/>
  <c r="F245" i="14"/>
  <c r="F195" i="10"/>
  <c r="F200" i="10"/>
  <c r="F206" i="10"/>
  <c r="Y16" i="9"/>
  <c r="F67" i="10" s="1"/>
  <c r="R22" i="9"/>
  <c r="F38" i="10" s="1"/>
  <c r="Y10" i="9"/>
  <c r="R28" i="9"/>
  <c r="AF22" i="9"/>
  <c r="F98" i="10" s="1"/>
  <c r="K22" i="9"/>
  <c r="F8" i="10" s="1"/>
  <c r="Y28" i="9"/>
  <c r="K16" i="9"/>
  <c r="F7" i="10" s="1"/>
  <c r="R34" i="9"/>
  <c r="K28" i="9"/>
  <c r="C27" i="8"/>
  <c r="C28" i="8" s="1"/>
  <c r="C29" i="8" s="1"/>
  <c r="C30" i="8" s="1"/>
  <c r="C31" i="8" s="1"/>
  <c r="C32" i="8" s="1"/>
  <c r="C33" i="8" s="1"/>
  <c r="C34" i="8" s="1"/>
  <c r="R4" i="9"/>
  <c r="F35" i="10" s="1"/>
  <c r="AF10" i="9"/>
  <c r="Y34" i="9"/>
  <c r="K34" i="9"/>
  <c r="Y4" i="9"/>
  <c r="F65" i="10" s="1"/>
  <c r="AF4" i="9"/>
  <c r="F95" i="10" s="1"/>
  <c r="AF34" i="9"/>
  <c r="K4" i="9"/>
  <c r="F5" i="10" s="1"/>
  <c r="R10" i="9"/>
  <c r="R16" i="9"/>
  <c r="F37" i="10" s="1"/>
  <c r="K10" i="9"/>
  <c r="AF28" i="9"/>
  <c r="AF16" i="9"/>
  <c r="F97" i="10" s="1"/>
  <c r="Y22" i="9"/>
  <c r="F68" i="10" s="1"/>
  <c r="F362" i="14"/>
  <c r="F244" i="10"/>
  <c r="F199" i="10"/>
  <c r="F205" i="10"/>
  <c r="E39" i="3"/>
  <c r="F16" i="5" s="1"/>
  <c r="E70" i="3"/>
  <c r="F47" i="5" s="1"/>
  <c r="E92" i="3"/>
  <c r="E31" i="3"/>
  <c r="F8" i="5" s="1"/>
  <c r="E40" i="3"/>
  <c r="F17" i="5" s="1"/>
  <c r="E43" i="3"/>
  <c r="F20" i="5" s="1"/>
  <c r="E102" i="3"/>
  <c r="E108" i="3"/>
  <c r="E63" i="3"/>
  <c r="F40" i="5" s="1"/>
  <c r="E73" i="3"/>
  <c r="F50" i="5" s="1"/>
  <c r="E52" i="3"/>
  <c r="F29" i="5" s="1"/>
  <c r="E48" i="3"/>
  <c r="F25" i="5" s="1"/>
  <c r="E54" i="3"/>
  <c r="F31" i="5" s="1"/>
  <c r="E41" i="3"/>
  <c r="F18" i="5" s="1"/>
  <c r="E56" i="3"/>
  <c r="F33" i="5" s="1"/>
  <c r="E97" i="3"/>
  <c r="E80" i="3"/>
  <c r="E46" i="3"/>
  <c r="F23" i="5" s="1"/>
  <c r="E44" i="3"/>
  <c r="F21" i="5" s="1"/>
  <c r="E75" i="3"/>
  <c r="F52" i="5" s="1"/>
  <c r="E125" i="3"/>
  <c r="E121" i="3"/>
  <c r="E123" i="3"/>
  <c r="E13" i="8"/>
  <c r="F14" i="8"/>
  <c r="J29" i="5" l="1"/>
  <c r="AD299" i="16"/>
  <c r="AD294" i="16"/>
  <c r="AD284" i="16"/>
  <c r="AD289" i="16"/>
  <c r="AE303" i="16"/>
  <c r="AF303" i="16"/>
  <c r="AF302" i="16"/>
  <c r="AE302" i="16"/>
  <c r="M36" i="9"/>
  <c r="C22" i="10" s="1"/>
  <c r="AF194" i="16"/>
  <c r="AE179" i="16"/>
  <c r="AE174" i="16"/>
  <c r="AE169" i="16"/>
  <c r="AF184" i="16"/>
  <c r="AE194" i="16"/>
  <c r="AE184" i="16"/>
  <c r="AF179" i="16"/>
  <c r="AF169" i="16"/>
  <c r="AF174" i="16"/>
  <c r="Y176" i="16"/>
  <c r="Y171" i="16"/>
  <c r="Y166" i="16"/>
  <c r="AE284" i="16"/>
  <c r="AE294" i="16"/>
  <c r="AF284" i="16"/>
  <c r="AF289" i="16"/>
  <c r="AF294" i="16"/>
  <c r="AF299" i="16"/>
  <c r="AE289" i="16"/>
  <c r="AE299" i="16"/>
  <c r="AH30" i="9"/>
  <c r="AE288" i="16"/>
  <c r="AF288" i="16"/>
  <c r="AF287" i="16"/>
  <c r="AF291" i="16"/>
  <c r="AF304" i="16"/>
  <c r="AE287" i="16"/>
  <c r="AE291" i="16"/>
  <c r="AE304" i="16"/>
  <c r="AE286" i="16"/>
  <c r="AF286" i="16"/>
  <c r="AF192" i="16"/>
  <c r="AF193" i="16"/>
  <c r="AF191" i="16"/>
  <c r="AF183" i="16"/>
  <c r="AE192" i="16"/>
  <c r="AE183" i="16"/>
  <c r="AE193" i="16"/>
  <c r="AF182" i="16"/>
  <c r="AE191" i="16"/>
  <c r="AE182" i="16"/>
  <c r="AE181" i="16"/>
  <c r="AF181" i="16"/>
  <c r="AE282" i="16"/>
  <c r="AE298" i="16"/>
  <c r="AF283" i="16"/>
  <c r="AF282" i="16"/>
  <c r="AF298" i="16"/>
  <c r="AF297" i="16"/>
  <c r="AE283" i="16"/>
  <c r="AE297" i="16"/>
  <c r="AF178" i="16"/>
  <c r="AF173" i="16"/>
  <c r="AF168" i="16"/>
  <c r="AE178" i="16"/>
  <c r="AF177" i="16"/>
  <c r="AE173" i="16"/>
  <c r="AF172" i="16"/>
  <c r="AE168" i="16"/>
  <c r="AF167" i="16"/>
  <c r="AF176" i="16"/>
  <c r="AE177" i="16"/>
  <c r="AE172" i="16"/>
  <c r="AE167" i="16"/>
  <c r="AE176" i="16"/>
  <c r="J31" i="5"/>
  <c r="AD286" i="16"/>
  <c r="AF301" i="16"/>
  <c r="AE301" i="16"/>
  <c r="C326" i="14"/>
  <c r="L34" i="9"/>
  <c r="B10" i="10" s="1"/>
  <c r="AE290" i="16"/>
  <c r="AE300" i="16"/>
  <c r="AE305" i="16"/>
  <c r="AF285" i="16"/>
  <c r="AF290" i="16"/>
  <c r="AF295" i="16"/>
  <c r="AF300" i="16"/>
  <c r="AF305" i="16"/>
  <c r="AE285" i="16"/>
  <c r="AE295" i="16"/>
  <c r="AF195" i="16"/>
  <c r="AE195" i="16"/>
  <c r="T58" i="9"/>
  <c r="C310" i="14" s="1"/>
  <c r="AE292" i="16"/>
  <c r="AE296" i="16"/>
  <c r="AF281" i="16"/>
  <c r="AF293" i="16"/>
  <c r="AF292" i="16"/>
  <c r="AF296" i="16"/>
  <c r="AE281" i="16"/>
  <c r="AE293" i="16"/>
  <c r="C58" i="10"/>
  <c r="AF171" i="16"/>
  <c r="AF166" i="16"/>
  <c r="AE171" i="16"/>
  <c r="AE166" i="16"/>
  <c r="D26" i="5"/>
  <c r="J26" i="5" s="1"/>
  <c r="D47" i="5"/>
  <c r="J47" i="5" s="1"/>
  <c r="D15" i="5"/>
  <c r="AD62" i="16" s="1"/>
  <c r="D53" i="5"/>
  <c r="J53" i="5" s="1"/>
  <c r="D23" i="5"/>
  <c r="D51" i="5"/>
  <c r="J51" i="5" s="1"/>
  <c r="D39" i="5"/>
  <c r="J39" i="5" s="1"/>
  <c r="D32" i="5"/>
  <c r="J32" i="5" s="1"/>
  <c r="D19" i="5"/>
  <c r="D7" i="5"/>
  <c r="J7" i="5" s="1"/>
  <c r="D38" i="5"/>
  <c r="D6" i="5"/>
  <c r="AD55" i="16" s="1"/>
  <c r="AS55" i="16" s="1"/>
  <c r="D21" i="5"/>
  <c r="D16" i="5"/>
  <c r="D24" i="5"/>
  <c r="AD212" i="16" s="1"/>
  <c r="D35" i="5"/>
  <c r="AD278" i="16" s="1"/>
  <c r="M4" i="9"/>
  <c r="S19" i="9"/>
  <c r="B55" i="10" s="1"/>
  <c r="AV145" i="9"/>
  <c r="D43" i="5"/>
  <c r="J43" i="5" s="1"/>
  <c r="D28" i="5"/>
  <c r="J28" i="5" s="1"/>
  <c r="D17" i="5"/>
  <c r="D42" i="5"/>
  <c r="J42" i="5" s="1"/>
  <c r="D22" i="5"/>
  <c r="J22" i="5" s="1"/>
  <c r="D50" i="5"/>
  <c r="J50" i="5" s="1"/>
  <c r="D37" i="5"/>
  <c r="D11" i="5"/>
  <c r="J11" i="5" s="1"/>
  <c r="D20" i="5"/>
  <c r="J20" i="5" s="1"/>
  <c r="D18" i="5"/>
  <c r="J18" i="5" s="1"/>
  <c r="D52" i="5"/>
  <c r="J52" i="5" s="1"/>
  <c r="D49" i="5"/>
  <c r="J49" i="5" s="1"/>
  <c r="D36" i="5"/>
  <c r="D41" i="5"/>
  <c r="J41" i="5" s="1"/>
  <c r="D46" i="5"/>
  <c r="J46" i="5" s="1"/>
  <c r="D48" i="5"/>
  <c r="J48" i="5" s="1"/>
  <c r="D13" i="5"/>
  <c r="J13" i="5" s="1"/>
  <c r="D34" i="5"/>
  <c r="D10" i="5"/>
  <c r="J10" i="5" s="1"/>
  <c r="D45" i="5"/>
  <c r="J45" i="5" s="1"/>
  <c r="C181" i="14"/>
  <c r="Z46" i="9"/>
  <c r="B186" i="10" s="1"/>
  <c r="C172" i="10"/>
  <c r="D8" i="5"/>
  <c r="AD22" i="16" s="1"/>
  <c r="D9" i="5"/>
  <c r="D54" i="5"/>
  <c r="J54" i="5" s="1"/>
  <c r="D12" i="5"/>
  <c r="AV95" i="9"/>
  <c r="D27" i="5"/>
  <c r="J27" i="5" s="1"/>
  <c r="D30" i="5"/>
  <c r="J30" i="5" s="1"/>
  <c r="AN142" i="9"/>
  <c r="D40" i="5"/>
  <c r="J40" i="5" s="1"/>
  <c r="D44" i="5"/>
  <c r="J44" i="5" s="1"/>
  <c r="D14" i="5"/>
  <c r="D33" i="5"/>
  <c r="J33" i="5" s="1"/>
  <c r="AE278" i="16"/>
  <c r="AE277" i="16"/>
  <c r="AE276" i="16"/>
  <c r="AE273" i="16"/>
  <c r="AE272" i="16"/>
  <c r="AE271" i="16"/>
  <c r="AE268" i="16"/>
  <c r="AE267" i="16"/>
  <c r="AE266" i="16"/>
  <c r="AE263" i="16"/>
  <c r="AE262" i="16"/>
  <c r="AE261" i="16"/>
  <c r="AE258" i="16"/>
  <c r="AE257" i="16"/>
  <c r="AE256" i="16"/>
  <c r="AE253" i="16"/>
  <c r="AE252" i="16"/>
  <c r="AE251" i="16"/>
  <c r="AE248" i="16"/>
  <c r="AE247" i="16"/>
  <c r="AE246" i="16"/>
  <c r="AE243" i="16"/>
  <c r="AE242" i="16"/>
  <c r="AE241" i="16"/>
  <c r="AE238" i="16"/>
  <c r="AE237" i="16"/>
  <c r="AE236" i="16"/>
  <c r="AE233" i="16"/>
  <c r="AE232" i="16"/>
  <c r="AE231" i="16"/>
  <c r="AE228" i="16"/>
  <c r="AE227" i="16"/>
  <c r="AE226" i="16"/>
  <c r="AE223" i="16"/>
  <c r="AE222" i="16"/>
  <c r="AE221" i="16"/>
  <c r="AF277" i="16"/>
  <c r="AF273" i="16"/>
  <c r="AF271" i="16"/>
  <c r="AF267" i="16"/>
  <c r="AF263" i="16"/>
  <c r="AF261" i="16"/>
  <c r="AF257" i="16"/>
  <c r="AF253" i="16"/>
  <c r="AF251" i="16"/>
  <c r="AF247" i="16"/>
  <c r="AF243" i="16"/>
  <c r="AF241" i="16"/>
  <c r="AF237" i="16"/>
  <c r="AF233" i="16"/>
  <c r="AF231" i="16"/>
  <c r="AF227" i="16"/>
  <c r="AF223" i="16"/>
  <c r="AF278" i="16"/>
  <c r="AF276" i="16"/>
  <c r="AF272" i="16"/>
  <c r="AF268" i="16"/>
  <c r="AF266" i="16"/>
  <c r="AF262" i="16"/>
  <c r="AF258" i="16"/>
  <c r="AF256" i="16"/>
  <c r="AF252" i="16"/>
  <c r="AF248" i="16"/>
  <c r="AF246" i="16"/>
  <c r="AF242" i="16"/>
  <c r="AF238" i="16"/>
  <c r="AF236" i="16"/>
  <c r="AF232" i="16"/>
  <c r="AF228" i="16"/>
  <c r="AF221" i="16"/>
  <c r="AE218" i="16"/>
  <c r="AE217" i="16"/>
  <c r="AE216" i="16"/>
  <c r="AE213" i="16"/>
  <c r="AE212" i="16"/>
  <c r="AE211" i="16"/>
  <c r="AE208" i="16"/>
  <c r="AE207" i="16"/>
  <c r="AE206" i="16"/>
  <c r="AE203" i="16"/>
  <c r="AE202" i="16"/>
  <c r="AE201" i="16"/>
  <c r="AE198" i="16"/>
  <c r="AE197" i="16"/>
  <c r="AE196" i="16"/>
  <c r="AE188" i="16"/>
  <c r="AE187" i="16"/>
  <c r="AE186" i="16"/>
  <c r="AF218" i="16"/>
  <c r="AF216" i="16"/>
  <c r="AF212" i="16"/>
  <c r="AF208" i="16"/>
  <c r="AF206" i="16"/>
  <c r="AF202" i="16"/>
  <c r="AF198" i="16"/>
  <c r="AF196" i="16"/>
  <c r="AF188" i="16"/>
  <c r="AF186" i="16"/>
  <c r="AF222" i="16"/>
  <c r="AF217" i="16"/>
  <c r="AF213" i="16"/>
  <c r="AF211" i="16"/>
  <c r="AF207" i="16"/>
  <c r="AF203" i="16"/>
  <c r="AF201" i="16"/>
  <c r="AF197" i="16"/>
  <c r="AF187" i="16"/>
  <c r="AF133" i="16"/>
  <c r="AF132" i="16"/>
  <c r="AF128" i="16"/>
  <c r="AF127" i="16"/>
  <c r="AF93" i="16"/>
  <c r="AF92" i="16"/>
  <c r="AF91" i="16"/>
  <c r="AF88" i="16"/>
  <c r="AF87" i="16"/>
  <c r="AF86" i="16"/>
  <c r="AF226" i="16"/>
  <c r="AE86" i="16"/>
  <c r="AE133" i="16"/>
  <c r="AE127" i="16"/>
  <c r="AE93" i="16"/>
  <c r="AE91" i="16"/>
  <c r="AE87" i="16"/>
  <c r="AE132" i="16"/>
  <c r="AE128" i="16"/>
  <c r="AE92" i="16"/>
  <c r="AE88" i="16"/>
  <c r="AF158" i="16"/>
  <c r="AF157" i="16"/>
  <c r="AF151" i="16"/>
  <c r="AF146" i="16"/>
  <c r="AE158" i="16"/>
  <c r="AE146" i="16"/>
  <c r="AE157" i="16"/>
  <c r="AE151" i="16"/>
  <c r="AF123" i="16"/>
  <c r="AE122" i="16"/>
  <c r="AE123" i="16"/>
  <c r="AF122" i="16"/>
  <c r="AE163" i="16"/>
  <c r="AE162" i="16"/>
  <c r="AE161" i="16"/>
  <c r="AF162" i="16"/>
  <c r="AF156" i="16"/>
  <c r="AF138" i="16"/>
  <c r="AF137" i="16"/>
  <c r="AF136" i="16"/>
  <c r="AF131" i="16"/>
  <c r="AF126" i="16"/>
  <c r="AF119" i="16"/>
  <c r="AF108" i="16"/>
  <c r="AF107" i="16"/>
  <c r="AF103" i="16"/>
  <c r="AF102" i="16"/>
  <c r="AF101" i="16"/>
  <c r="AF98" i="16"/>
  <c r="AF97" i="16"/>
  <c r="AF161" i="16"/>
  <c r="AF163" i="16"/>
  <c r="AE156" i="16"/>
  <c r="AE138" i="16"/>
  <c r="AE126" i="16"/>
  <c r="AE108" i="16"/>
  <c r="AE98" i="16"/>
  <c r="AE137" i="16"/>
  <c r="AE131" i="16"/>
  <c r="AE107" i="16"/>
  <c r="AE103" i="16"/>
  <c r="AE101" i="16"/>
  <c r="AE97" i="16"/>
  <c r="AE136" i="16"/>
  <c r="AE119" i="16"/>
  <c r="AE102" i="16"/>
  <c r="AF125" i="16"/>
  <c r="AE115" i="16"/>
  <c r="AE125" i="16"/>
  <c r="AF115" i="16"/>
  <c r="AE165" i="16"/>
  <c r="AE160" i="16"/>
  <c r="AF160" i="16"/>
  <c r="AF155" i="16"/>
  <c r="AF120" i="16"/>
  <c r="AF110" i="16"/>
  <c r="AF105" i="16"/>
  <c r="AF100" i="16"/>
  <c r="AF165" i="16"/>
  <c r="AE155" i="16"/>
  <c r="AE120" i="16"/>
  <c r="AE105" i="16"/>
  <c r="AE110" i="16"/>
  <c r="AE100" i="16"/>
  <c r="L36" i="9"/>
  <c r="AV29" i="9" s="1"/>
  <c r="E27" i="8"/>
  <c r="E28" i="8" s="1"/>
  <c r="E29" i="8" s="1"/>
  <c r="E30" i="8" s="1"/>
  <c r="E31" i="8" s="1"/>
  <c r="E32" i="8" s="1"/>
  <c r="E33" i="8" s="1"/>
  <c r="E34" i="8" s="1"/>
  <c r="AF118" i="16"/>
  <c r="AF117" i="16"/>
  <c r="AE117" i="16"/>
  <c r="AE118" i="16"/>
  <c r="AE113" i="16"/>
  <c r="AE112" i="16"/>
  <c r="AF113" i="16"/>
  <c r="AE111" i="16"/>
  <c r="AF112" i="16"/>
  <c r="AF111" i="16"/>
  <c r="AG36" i="9"/>
  <c r="B112" i="10" s="1"/>
  <c r="AA64" i="9"/>
  <c r="C189" i="10" s="1"/>
  <c r="AF124" i="16"/>
  <c r="AE124" i="16"/>
  <c r="AE164" i="16"/>
  <c r="AE159" i="16"/>
  <c r="AF164" i="16"/>
  <c r="AF109" i="16"/>
  <c r="AF104" i="16"/>
  <c r="AF99" i="16"/>
  <c r="AE104" i="16"/>
  <c r="AF159" i="16"/>
  <c r="AE109" i="16"/>
  <c r="AE99" i="16"/>
  <c r="M34" i="9"/>
  <c r="C10" i="10" s="1"/>
  <c r="AA16" i="9"/>
  <c r="C67" i="10" s="1"/>
  <c r="T29" i="9"/>
  <c r="C45" i="10" s="1"/>
  <c r="AF141" i="16"/>
  <c r="AF116" i="16"/>
  <c r="AE141" i="16"/>
  <c r="AE116" i="16"/>
  <c r="AF154" i="16"/>
  <c r="AE154" i="16"/>
  <c r="AN39" i="9"/>
  <c r="AD265" i="16"/>
  <c r="AD145" i="16"/>
  <c r="AD95" i="16"/>
  <c r="AD240" i="16"/>
  <c r="AD200" i="16"/>
  <c r="AD255" i="16"/>
  <c r="AD230" i="16"/>
  <c r="AD170" i="16"/>
  <c r="AD224" i="16"/>
  <c r="AD269" i="16"/>
  <c r="AD249" i="16"/>
  <c r="AD229" i="16"/>
  <c r="AD149" i="16"/>
  <c r="AD139" i="16"/>
  <c r="AD134" i="16"/>
  <c r="AD129" i="16"/>
  <c r="AD94" i="16"/>
  <c r="AD89" i="16"/>
  <c r="AD264" i="16"/>
  <c r="AD244" i="16"/>
  <c r="AD214" i="16"/>
  <c r="AD204" i="16"/>
  <c r="AD279" i="16"/>
  <c r="AD259" i="16"/>
  <c r="AD239" i="16"/>
  <c r="AD274" i="16"/>
  <c r="AD254" i="16"/>
  <c r="AD219" i="16"/>
  <c r="AD209" i="16"/>
  <c r="AD199" i="16"/>
  <c r="AD189" i="16"/>
  <c r="AD73" i="16"/>
  <c r="AD155" i="16"/>
  <c r="AD100" i="16"/>
  <c r="AD158" i="16"/>
  <c r="AF143" i="16"/>
  <c r="AF142" i="16"/>
  <c r="AE142" i="16"/>
  <c r="AE143" i="16"/>
  <c r="AE279" i="16"/>
  <c r="AE274" i="16"/>
  <c r="AE269" i="16"/>
  <c r="AE264" i="16"/>
  <c r="AE259" i="16"/>
  <c r="AE254" i="16"/>
  <c r="AE249" i="16"/>
  <c r="AE244" i="16"/>
  <c r="AE239" i="16"/>
  <c r="AE234" i="16"/>
  <c r="AE229" i="16"/>
  <c r="AE224" i="16"/>
  <c r="AF279" i="16"/>
  <c r="AF269" i="16"/>
  <c r="AF259" i="16"/>
  <c r="AF249" i="16"/>
  <c r="AF239" i="16"/>
  <c r="AF229" i="16"/>
  <c r="AF274" i="16"/>
  <c r="AF264" i="16"/>
  <c r="AF254" i="16"/>
  <c r="AF244" i="16"/>
  <c r="AF234" i="16"/>
  <c r="AE219" i="16"/>
  <c r="AE214" i="16"/>
  <c r="AE209" i="16"/>
  <c r="AE204" i="16"/>
  <c r="AE199" i="16"/>
  <c r="AE189" i="16"/>
  <c r="AF214" i="16"/>
  <c r="AF204" i="16"/>
  <c r="AF224" i="16"/>
  <c r="AF219" i="16"/>
  <c r="AF209" i="16"/>
  <c r="AF199" i="16"/>
  <c r="AF189" i="16"/>
  <c r="AF149" i="16"/>
  <c r="AF144" i="16"/>
  <c r="AF139" i="16"/>
  <c r="AF134" i="16"/>
  <c r="AF129" i="16"/>
  <c r="AF94" i="16"/>
  <c r="AF89" i="16"/>
  <c r="AE134" i="16"/>
  <c r="AE94" i="16"/>
  <c r="AE149" i="16"/>
  <c r="AE139" i="16"/>
  <c r="AE129" i="16"/>
  <c r="AE89" i="16"/>
  <c r="AE144" i="16"/>
  <c r="AF114" i="16"/>
  <c r="AE114" i="16"/>
  <c r="AF153" i="16"/>
  <c r="AF152" i="16"/>
  <c r="AF148" i="16"/>
  <c r="AF147" i="16"/>
  <c r="AE152" i="16"/>
  <c r="AE148" i="16"/>
  <c r="AE153" i="16"/>
  <c r="AE147" i="16"/>
  <c r="AD124" i="16"/>
  <c r="AD159" i="16"/>
  <c r="AD104" i="16"/>
  <c r="AD99" i="16"/>
  <c r="J23" i="5"/>
  <c r="AD118" i="16"/>
  <c r="AD117" i="16"/>
  <c r="J19" i="5"/>
  <c r="AD122" i="16"/>
  <c r="AD123" i="16"/>
  <c r="AD163" i="16"/>
  <c r="AD138" i="16"/>
  <c r="AD137" i="16"/>
  <c r="AD136" i="16"/>
  <c r="AD131" i="16"/>
  <c r="AD126" i="16"/>
  <c r="AD119" i="16"/>
  <c r="AD108" i="16"/>
  <c r="AD107" i="16"/>
  <c r="AD103" i="16"/>
  <c r="AD102" i="16"/>
  <c r="AD101" i="16"/>
  <c r="AD98" i="16"/>
  <c r="AD97" i="16"/>
  <c r="AD161" i="16"/>
  <c r="AD162" i="16"/>
  <c r="AD57" i="16"/>
  <c r="Z18" i="9"/>
  <c r="B79" i="10" s="1"/>
  <c r="AF121" i="16"/>
  <c r="AE121" i="16"/>
  <c r="AF106" i="16"/>
  <c r="AF96" i="16"/>
  <c r="AE106" i="16"/>
  <c r="AE96" i="16"/>
  <c r="M16" i="9"/>
  <c r="C7" i="10" s="1"/>
  <c r="M5" i="9"/>
  <c r="AN16" i="9" s="1"/>
  <c r="J17" i="5"/>
  <c r="AD153" i="16"/>
  <c r="F222" i="10"/>
  <c r="Z24" i="9"/>
  <c r="B80" i="10" s="1"/>
  <c r="M64" i="9"/>
  <c r="AH22" i="9"/>
  <c r="C98" i="10" s="1"/>
  <c r="AE280" i="16"/>
  <c r="AE275" i="16"/>
  <c r="AE270" i="16"/>
  <c r="AE265" i="16"/>
  <c r="AE260" i="16"/>
  <c r="AE255" i="16"/>
  <c r="AE250" i="16"/>
  <c r="AE245" i="16"/>
  <c r="AE240" i="16"/>
  <c r="AE235" i="16"/>
  <c r="AE230" i="16"/>
  <c r="AE225" i="16"/>
  <c r="AF275" i="16"/>
  <c r="AF265" i="16"/>
  <c r="AF255" i="16"/>
  <c r="AF245" i="16"/>
  <c r="AF235" i="16"/>
  <c r="AF280" i="16"/>
  <c r="AF270" i="16"/>
  <c r="AF260" i="16"/>
  <c r="AF250" i="16"/>
  <c r="AF240" i="16"/>
  <c r="AF230" i="16"/>
  <c r="AF225" i="16"/>
  <c r="AE220" i="16"/>
  <c r="AE215" i="16"/>
  <c r="AE210" i="16"/>
  <c r="AE205" i="16"/>
  <c r="AE200" i="16"/>
  <c r="AE190" i="16"/>
  <c r="AE185" i="16"/>
  <c r="AE180" i="16"/>
  <c r="AE175" i="16"/>
  <c r="AE170" i="16"/>
  <c r="AF220" i="16"/>
  <c r="AF210" i="16"/>
  <c r="AF200" i="16"/>
  <c r="AF190" i="16"/>
  <c r="AF180" i="16"/>
  <c r="AF215" i="16"/>
  <c r="AF205" i="16"/>
  <c r="AF185" i="16"/>
  <c r="AF170" i="16"/>
  <c r="AF150" i="16"/>
  <c r="AF145" i="16"/>
  <c r="AF140" i="16"/>
  <c r="AF135" i="16"/>
  <c r="AF130" i="16"/>
  <c r="AF95" i="16"/>
  <c r="AF90" i="16"/>
  <c r="AE130" i="16"/>
  <c r="AE90" i="16"/>
  <c r="AF175" i="16"/>
  <c r="AE145" i="16"/>
  <c r="AE135" i="16"/>
  <c r="AE95" i="16"/>
  <c r="AE150" i="16"/>
  <c r="AE140" i="16"/>
  <c r="J21" i="5"/>
  <c r="AD112" i="16"/>
  <c r="AD111" i="16"/>
  <c r="AD113" i="16"/>
  <c r="AD226" i="16"/>
  <c r="AD222" i="16"/>
  <c r="AD277" i="16"/>
  <c r="AD273" i="16"/>
  <c r="AD261" i="16"/>
  <c r="AD253" i="16"/>
  <c r="AD241" i="16"/>
  <c r="AD233" i="16"/>
  <c r="AD223" i="16"/>
  <c r="AD133" i="16"/>
  <c r="AD132" i="16"/>
  <c r="AD128" i="16"/>
  <c r="AD127" i="16"/>
  <c r="AD93" i="16"/>
  <c r="AD92" i="16"/>
  <c r="AD91" i="16"/>
  <c r="AD88" i="16"/>
  <c r="AD87" i="16"/>
  <c r="AD86" i="16"/>
  <c r="AD276" i="16"/>
  <c r="AD272" i="16"/>
  <c r="AD256" i="16"/>
  <c r="AD248" i="16"/>
  <c r="AD236" i="16"/>
  <c r="AD232" i="16"/>
  <c r="AD228" i="16"/>
  <c r="AD218" i="16"/>
  <c r="AD208" i="16"/>
  <c r="AD206" i="16"/>
  <c r="AD202" i="16"/>
  <c r="AD198" i="16"/>
  <c r="AD196" i="16"/>
  <c r="AD188" i="16"/>
  <c r="AD271" i="16"/>
  <c r="AD263" i="16"/>
  <c r="AD251" i="16"/>
  <c r="AD231" i="16"/>
  <c r="AD227" i="16"/>
  <c r="AD266" i="16"/>
  <c r="AD262" i="16"/>
  <c r="AD246" i="16"/>
  <c r="AD238" i="16"/>
  <c r="AD221" i="16"/>
  <c r="AD213" i="16"/>
  <c r="AD211" i="16"/>
  <c r="AD207" i="16"/>
  <c r="AD203" i="16"/>
  <c r="AD201" i="16"/>
  <c r="AD197" i="16"/>
  <c r="AD187" i="16"/>
  <c r="AD82" i="16"/>
  <c r="J24" i="5"/>
  <c r="AD141" i="16"/>
  <c r="AN201" i="9"/>
  <c r="C233" i="10"/>
  <c r="AN197" i="9"/>
  <c r="AT37" i="9"/>
  <c r="AT42" i="9"/>
  <c r="AT35" i="9"/>
  <c r="AT41" i="9"/>
  <c r="AT39" i="9"/>
  <c r="AT43" i="9"/>
  <c r="C283" i="14"/>
  <c r="AT34" i="9"/>
  <c r="AT36" i="9"/>
  <c r="AS181" i="9"/>
  <c r="F353" i="14"/>
  <c r="C147" i="10"/>
  <c r="AT40" i="9"/>
  <c r="T10" i="9"/>
  <c r="C36" i="10" s="1"/>
  <c r="AA4" i="9"/>
  <c r="X29" i="16" s="1"/>
  <c r="M22" i="9"/>
  <c r="C8" i="10" s="1"/>
  <c r="T4" i="9"/>
  <c r="C148" i="14" s="1"/>
  <c r="AH16" i="9"/>
  <c r="C97" i="10" s="1"/>
  <c r="T22" i="9"/>
  <c r="AQ61" i="9" s="1"/>
  <c r="M10" i="9"/>
  <c r="C6" i="10" s="1"/>
  <c r="AA10" i="9"/>
  <c r="C66" i="10" s="1"/>
  <c r="AA22" i="9"/>
  <c r="C68" i="10" s="1"/>
  <c r="AH28" i="9"/>
  <c r="C99" i="10" s="1"/>
  <c r="M28" i="9"/>
  <c r="AT12" i="9" s="1"/>
  <c r="T16" i="9"/>
  <c r="C37" i="10" s="1"/>
  <c r="T34" i="9"/>
  <c r="C40" i="10" s="1"/>
  <c r="AA28" i="9"/>
  <c r="C69" i="10" s="1"/>
  <c r="AH34" i="9"/>
  <c r="C100" i="10" s="1"/>
  <c r="C176" i="10"/>
  <c r="C313" i="14"/>
  <c r="C312" i="14"/>
  <c r="C170" i="10"/>
  <c r="M29" i="9"/>
  <c r="AT21" i="9" s="1"/>
  <c r="T23" i="9"/>
  <c r="AQ74" i="9" s="1"/>
  <c r="T5" i="9"/>
  <c r="AN71" i="9" s="1"/>
  <c r="AA17" i="9"/>
  <c r="C73" i="10" s="1"/>
  <c r="T17" i="9"/>
  <c r="C43" i="10" s="1"/>
  <c r="AH17" i="9"/>
  <c r="C103" i="10" s="1"/>
  <c r="AA5" i="9"/>
  <c r="AN122" i="9" s="1"/>
  <c r="AA35" i="9"/>
  <c r="C76" i="10" s="1"/>
  <c r="AA11" i="9"/>
  <c r="C72" i="10" s="1"/>
  <c r="AH23" i="9"/>
  <c r="C104" i="10" s="1"/>
  <c r="AA23" i="9"/>
  <c r="C74" i="10" s="1"/>
  <c r="M23" i="9"/>
  <c r="C14" i="10" s="1"/>
  <c r="M35" i="9"/>
  <c r="C16" i="10" s="1"/>
  <c r="T11" i="9"/>
  <c r="C42" i="10" s="1"/>
  <c r="AH11" i="9"/>
  <c r="C102" i="10" s="1"/>
  <c r="AH35" i="9"/>
  <c r="C106" i="10" s="1"/>
  <c r="AH29" i="9"/>
  <c r="AT176" i="9" s="1"/>
  <c r="AH5" i="9"/>
  <c r="AN177" i="9" s="1"/>
  <c r="M11" i="9"/>
  <c r="C12" i="10" s="1"/>
  <c r="AA34" i="9"/>
  <c r="C70" i="10" s="1"/>
  <c r="AH10" i="9"/>
  <c r="C96" i="10" s="1"/>
  <c r="E39" i="8"/>
  <c r="E40" i="8" s="1"/>
  <c r="E41" i="8" s="1"/>
  <c r="E42" i="8" s="1"/>
  <c r="E43" i="8" s="1"/>
  <c r="E44" i="8" s="1"/>
  <c r="E45" i="8" s="1"/>
  <c r="E46" i="8" s="1"/>
  <c r="AA29" i="9"/>
  <c r="C75" i="10" s="1"/>
  <c r="AT38" i="9"/>
  <c r="AD58" i="16"/>
  <c r="AD61" i="16"/>
  <c r="AD40" i="16"/>
  <c r="AD51" i="16"/>
  <c r="AD36" i="16"/>
  <c r="AD46" i="16"/>
  <c r="AD35" i="16"/>
  <c r="C209" i="10"/>
  <c r="C224" i="14"/>
  <c r="C257" i="14"/>
  <c r="C131" i="10"/>
  <c r="AD42" i="16"/>
  <c r="Z64" i="9"/>
  <c r="B189" i="10" s="1"/>
  <c r="B171" i="10"/>
  <c r="C353" i="14"/>
  <c r="AD52" i="16"/>
  <c r="J14" i="5"/>
  <c r="L6" i="9"/>
  <c r="AM28" i="9" s="1"/>
  <c r="S58" i="9"/>
  <c r="B158" i="10" s="1"/>
  <c r="T24" i="9"/>
  <c r="AQ86" i="9" s="1"/>
  <c r="C258" i="14"/>
  <c r="AD78" i="16"/>
  <c r="AN149" i="9"/>
  <c r="AQ89" i="9"/>
  <c r="AD29" i="16"/>
  <c r="AD15" i="16"/>
  <c r="AD70" i="16"/>
  <c r="AS70" i="16" s="1"/>
  <c r="AD17" i="16"/>
  <c r="AD65" i="16"/>
  <c r="AS65" i="16" s="1"/>
  <c r="AD16" i="16"/>
  <c r="AD25" i="16"/>
  <c r="AD14" i="16"/>
  <c r="AS14" i="16" s="1"/>
  <c r="AD9" i="16"/>
  <c r="AS9" i="16" s="1"/>
  <c r="F172" i="10"/>
  <c r="F324" i="14"/>
  <c r="AD77" i="16"/>
  <c r="J16" i="5"/>
  <c r="AD83" i="16"/>
  <c r="B177" i="10"/>
  <c r="AD50" i="16"/>
  <c r="AS50" i="16" s="1"/>
  <c r="C284" i="14"/>
  <c r="C153" i="10"/>
  <c r="C117" i="10"/>
  <c r="AT195" i="9"/>
  <c r="C211" i="14"/>
  <c r="C161" i="10"/>
  <c r="C293" i="14"/>
  <c r="AV148" i="9"/>
  <c r="AV143" i="9"/>
  <c r="AV94" i="9"/>
  <c r="AV91" i="9"/>
  <c r="AV88" i="9"/>
  <c r="AV151" i="9"/>
  <c r="AV89" i="9"/>
  <c r="AV144" i="9"/>
  <c r="AV150" i="9"/>
  <c r="AV142" i="9"/>
  <c r="AV96" i="9"/>
  <c r="AV93" i="9"/>
  <c r="AV149" i="9"/>
  <c r="AV146" i="9"/>
  <c r="AV92" i="9"/>
  <c r="C239" i="10"/>
  <c r="C332" i="14"/>
  <c r="C53" i="10"/>
  <c r="AN96" i="9"/>
  <c r="S40" i="9"/>
  <c r="B292" i="14" s="1"/>
  <c r="AM76" i="9"/>
  <c r="Z7" i="9"/>
  <c r="AM148" i="9" s="1"/>
  <c r="AQ94" i="9"/>
  <c r="AN196" i="9"/>
  <c r="AD43" i="16"/>
  <c r="AD69" i="16"/>
  <c r="S70" i="9"/>
  <c r="B160" i="10" s="1"/>
  <c r="AN198" i="9"/>
  <c r="AN93" i="9"/>
  <c r="AT200" i="9"/>
  <c r="AD44" i="16"/>
  <c r="AN37" i="9"/>
  <c r="AN150" i="9"/>
  <c r="AG12" i="9"/>
  <c r="B108" i="10" s="1"/>
  <c r="AG24" i="9"/>
  <c r="B110" i="10" s="1"/>
  <c r="S36" i="9"/>
  <c r="B52" i="10" s="1"/>
  <c r="T64" i="9"/>
  <c r="C159" i="10" s="1"/>
  <c r="AA30" i="9"/>
  <c r="C81" i="10" s="1"/>
  <c r="T18" i="9"/>
  <c r="C49" i="10" s="1"/>
  <c r="C294" i="14"/>
  <c r="AQ96" i="9"/>
  <c r="AN199" i="9"/>
  <c r="AN148" i="9"/>
  <c r="AT204" i="9"/>
  <c r="L30" i="9"/>
  <c r="B21" i="10" s="1"/>
  <c r="AG18" i="9"/>
  <c r="B109" i="10" s="1"/>
  <c r="L12" i="9"/>
  <c r="B18" i="10" s="1"/>
  <c r="AA40" i="9"/>
  <c r="M70" i="9"/>
  <c r="C130" i="10" s="1"/>
  <c r="C173" i="10"/>
  <c r="C311" i="14"/>
  <c r="C223" i="14"/>
  <c r="B258" i="14"/>
  <c r="C329" i="14"/>
  <c r="C355" i="14"/>
  <c r="T12" i="9"/>
  <c r="C48" i="10" s="1"/>
  <c r="C179" i="10"/>
  <c r="AN36" i="9"/>
  <c r="AQ93" i="9"/>
  <c r="AN97" i="9"/>
  <c r="AN195" i="9"/>
  <c r="AP74" i="9"/>
  <c r="Z36" i="9"/>
  <c r="B82" i="10" s="1"/>
  <c r="AG30" i="9"/>
  <c r="B111" i="10" s="1"/>
  <c r="AG6" i="9"/>
  <c r="AM194" i="9" s="1"/>
  <c r="S12" i="9"/>
  <c r="B48" i="10" s="1"/>
  <c r="Z12" i="9"/>
  <c r="B78" i="10" s="1"/>
  <c r="S24" i="9"/>
  <c r="B50" i="10" s="1"/>
  <c r="AA70" i="9"/>
  <c r="C190" i="10" s="1"/>
  <c r="AA58" i="9"/>
  <c r="C188" i="10" s="1"/>
  <c r="M40" i="9"/>
  <c r="AN9" i="9" s="1"/>
  <c r="C243" i="10"/>
  <c r="C330" i="14"/>
  <c r="C143" i="10"/>
  <c r="C203" i="10"/>
  <c r="M30" i="9"/>
  <c r="AT25" i="9" s="1"/>
  <c r="M6" i="9"/>
  <c r="AN29" i="9" s="1"/>
  <c r="E51" i="8"/>
  <c r="E52" i="8" s="1"/>
  <c r="E53" i="8" s="1"/>
  <c r="E54" i="8" s="1"/>
  <c r="E55" i="8" s="1"/>
  <c r="E56" i="8" s="1"/>
  <c r="E57" i="8" s="1"/>
  <c r="E58" i="8" s="1"/>
  <c r="AH24" i="9"/>
  <c r="C110" i="10" s="1"/>
  <c r="Y294" i="16"/>
  <c r="Y189" i="16"/>
  <c r="Y149" i="16"/>
  <c r="Y144" i="16"/>
  <c r="Y134" i="16"/>
  <c r="Y89" i="16"/>
  <c r="Y139" i="16"/>
  <c r="C79" i="14"/>
  <c r="C23" i="10"/>
  <c r="AN43" i="9"/>
  <c r="AQ95" i="9"/>
  <c r="AN95" i="9"/>
  <c r="AN89" i="9"/>
  <c r="AN202" i="9"/>
  <c r="AN200" i="9"/>
  <c r="AN151" i="9"/>
  <c r="AN145" i="9"/>
  <c r="AT202" i="9"/>
  <c r="AF85" i="16"/>
  <c r="AE85" i="16"/>
  <c r="AM69" i="9"/>
  <c r="AT187" i="9"/>
  <c r="S18" i="9"/>
  <c r="B49" i="10" s="1"/>
  <c r="S6" i="9"/>
  <c r="AM80" i="9" s="1"/>
  <c r="L18" i="9"/>
  <c r="B19" i="10" s="1"/>
  <c r="L24" i="9"/>
  <c r="AQ28" i="9" s="1"/>
  <c r="S30" i="9"/>
  <c r="AT81" i="9" s="1"/>
  <c r="AH58" i="9"/>
  <c r="C218" i="10" s="1"/>
  <c r="AH52" i="9"/>
  <c r="C217" i="10" s="1"/>
  <c r="M58" i="9"/>
  <c r="C128" i="10" s="1"/>
  <c r="C314" i="14"/>
  <c r="AE83" i="16"/>
  <c r="AE82" i="16"/>
  <c r="AF82" i="16"/>
  <c r="AF83" i="16"/>
  <c r="AE84" i="16"/>
  <c r="AF84" i="16"/>
  <c r="C135" i="10"/>
  <c r="C231" i="10"/>
  <c r="M18" i="9"/>
  <c r="C19" i="10" s="1"/>
  <c r="AA24" i="9"/>
  <c r="C80" i="10" s="1"/>
  <c r="M12" i="9"/>
  <c r="C18" i="10" s="1"/>
  <c r="AV129" i="9"/>
  <c r="C331" i="14"/>
  <c r="AF81" i="16"/>
  <c r="AE81" i="16"/>
  <c r="AN40" i="9"/>
  <c r="AN35" i="9"/>
  <c r="AQ92" i="9"/>
  <c r="AN90" i="9"/>
  <c r="AN203" i="9"/>
  <c r="AN204" i="9"/>
  <c r="AT197" i="9"/>
  <c r="AT196" i="9"/>
  <c r="AD85" i="16"/>
  <c r="AD84" i="16"/>
  <c r="AS77" i="9"/>
  <c r="AS68" i="9"/>
  <c r="AS81" i="9"/>
  <c r="AS82" i="9"/>
  <c r="AO180" i="9"/>
  <c r="AO179" i="9"/>
  <c r="AO181" i="9"/>
  <c r="AO177" i="9"/>
  <c r="AO131" i="9"/>
  <c r="AO127" i="9"/>
  <c r="AO126" i="9"/>
  <c r="AO122" i="9"/>
  <c r="AO130" i="9"/>
  <c r="AO194" i="9"/>
  <c r="AO188" i="9"/>
  <c r="AO189" i="9"/>
  <c r="AV188" i="9"/>
  <c r="AV192" i="9"/>
  <c r="AV187" i="9"/>
  <c r="AV190" i="9"/>
  <c r="AV189" i="9"/>
  <c r="AV185" i="9"/>
  <c r="AR186" i="9"/>
  <c r="AR193" i="9"/>
  <c r="AR192" i="9"/>
  <c r="AR187" i="9"/>
  <c r="AR190" i="9"/>
  <c r="AR189" i="9"/>
  <c r="S7" i="9"/>
  <c r="AM91" i="9" s="1"/>
  <c r="L13" i="9"/>
  <c r="B24" i="10" s="1"/>
  <c r="AG19" i="9"/>
  <c r="B115" i="10" s="1"/>
  <c r="S4" i="9"/>
  <c r="B148" i="14" s="1"/>
  <c r="AG16" i="9"/>
  <c r="B97" i="10" s="1"/>
  <c r="S22" i="9"/>
  <c r="B38" i="10" s="1"/>
  <c r="Z4" i="9"/>
  <c r="W29" i="16" s="1"/>
  <c r="AV73" i="9"/>
  <c r="AS76" i="9"/>
  <c r="AO149" i="9"/>
  <c r="AP84" i="9"/>
  <c r="AO193" i="9"/>
  <c r="AO183" i="9"/>
  <c r="AV130" i="9"/>
  <c r="AF61" i="16"/>
  <c r="AF51" i="16"/>
  <c r="AF46" i="16"/>
  <c r="AF42" i="16"/>
  <c r="AF40" i="16"/>
  <c r="AF36" i="16"/>
  <c r="AE61" i="16"/>
  <c r="AE51" i="16"/>
  <c r="AE46" i="16"/>
  <c r="AE42" i="16"/>
  <c r="AE40" i="16"/>
  <c r="AE36" i="16"/>
  <c r="AF39" i="16"/>
  <c r="AE39" i="16"/>
  <c r="AF35" i="16"/>
  <c r="AE35" i="16"/>
  <c r="AF73" i="16"/>
  <c r="AF63" i="16"/>
  <c r="AF53" i="16"/>
  <c r="AE73" i="16"/>
  <c r="AE63" i="16"/>
  <c r="AE53" i="16"/>
  <c r="AF62" i="16"/>
  <c r="AE72" i="16"/>
  <c r="AE52" i="16"/>
  <c r="AF72" i="16"/>
  <c r="AF52" i="16"/>
  <c r="AE62" i="16"/>
  <c r="AE78" i="16"/>
  <c r="AF78" i="16"/>
  <c r="AF77" i="16"/>
  <c r="AE77" i="16"/>
  <c r="AE79" i="16"/>
  <c r="AF71" i="16"/>
  <c r="AF48" i="16"/>
  <c r="AF79" i="16"/>
  <c r="AE71" i="16"/>
  <c r="AE48" i="16"/>
  <c r="AF47" i="16"/>
  <c r="AE47" i="16"/>
  <c r="L52" i="9"/>
  <c r="B127" i="10" s="1"/>
  <c r="Z70" i="9"/>
  <c r="B190" i="10" s="1"/>
  <c r="AT186" i="9"/>
  <c r="AT192" i="9"/>
  <c r="AT191" i="9"/>
  <c r="AT185" i="9"/>
  <c r="S34" i="9"/>
  <c r="B40" i="10" s="1"/>
  <c r="Z37" i="9"/>
  <c r="B88" i="10" s="1"/>
  <c r="L19" i="9"/>
  <c r="B25" i="10" s="1"/>
  <c r="AO190" i="9"/>
  <c r="AO176" i="9"/>
  <c r="AS124" i="9"/>
  <c r="AS128" i="9"/>
  <c r="AS130" i="9"/>
  <c r="AS125" i="9"/>
  <c r="AU189" i="9"/>
  <c r="AU193" i="9"/>
  <c r="AU187" i="9"/>
  <c r="AU186" i="9"/>
  <c r="AO147" i="9"/>
  <c r="AO145" i="9"/>
  <c r="AO151" i="9"/>
  <c r="AS144" i="9"/>
  <c r="AS150" i="9"/>
  <c r="AS148" i="9"/>
  <c r="AS149" i="9"/>
  <c r="AS147" i="9"/>
  <c r="AO198" i="9"/>
  <c r="AO200" i="9"/>
  <c r="AO201" i="9"/>
  <c r="AO202" i="9"/>
  <c r="AO199" i="9"/>
  <c r="AV176" i="9"/>
  <c r="AV180" i="9"/>
  <c r="AV179" i="9"/>
  <c r="AV181" i="9"/>
  <c r="AV183" i="9"/>
  <c r="AP177" i="9"/>
  <c r="AP181" i="9"/>
  <c r="AP182" i="9"/>
  <c r="AP179" i="9"/>
  <c r="AP176" i="9"/>
  <c r="AP180" i="9"/>
  <c r="AR184" i="9"/>
  <c r="AR177" i="9"/>
  <c r="AR179" i="9"/>
  <c r="AR180" i="9"/>
  <c r="AR183" i="9"/>
  <c r="AR178" i="9"/>
  <c r="AP25" i="9"/>
  <c r="AP82" i="9"/>
  <c r="AP80" i="9"/>
  <c r="AE76" i="16"/>
  <c r="AF58" i="16"/>
  <c r="AF76" i="16"/>
  <c r="AE58" i="16"/>
  <c r="AE57" i="16"/>
  <c r="AF57" i="16"/>
  <c r="AG58" i="9"/>
  <c r="B218" i="10" s="1"/>
  <c r="AG52" i="9"/>
  <c r="B217" i="10" s="1"/>
  <c r="AG64" i="9"/>
  <c r="B219" i="10" s="1"/>
  <c r="S64" i="9"/>
  <c r="B316" i="14" s="1"/>
  <c r="AG40" i="9"/>
  <c r="S52" i="9"/>
  <c r="B157" i="10" s="1"/>
  <c r="S46" i="9"/>
  <c r="B156" i="10" s="1"/>
  <c r="L70" i="9"/>
  <c r="Z40" i="9"/>
  <c r="Z58" i="9"/>
  <c r="B188" i="10" s="1"/>
  <c r="L46" i="9"/>
  <c r="B126" i="10" s="1"/>
  <c r="L40" i="9"/>
  <c r="B256" i="14" s="1"/>
  <c r="L25" i="9"/>
  <c r="AQ36" i="9" s="1"/>
  <c r="AG37" i="9"/>
  <c r="B118" i="10" s="1"/>
  <c r="AG31" i="9"/>
  <c r="B117" i="10" s="1"/>
  <c r="AG13" i="9"/>
  <c r="B114" i="10" s="1"/>
  <c r="AG25" i="9"/>
  <c r="B116" i="10" s="1"/>
  <c r="L31" i="9"/>
  <c r="B27" i="10" s="1"/>
  <c r="S25" i="9"/>
  <c r="B56" i="10" s="1"/>
  <c r="Z25" i="9"/>
  <c r="B86" i="10" s="1"/>
  <c r="AG7" i="9"/>
  <c r="AM198" i="9" s="1"/>
  <c r="S37" i="9"/>
  <c r="B58" i="10" s="1"/>
  <c r="Z19" i="9"/>
  <c r="B85" i="10" s="1"/>
  <c r="S31" i="9"/>
  <c r="AT91" i="9" s="1"/>
  <c r="L7" i="9"/>
  <c r="AM41" i="9" s="1"/>
  <c r="AU190" i="9"/>
  <c r="AO143" i="9"/>
  <c r="AP81" i="9"/>
  <c r="AS123" i="9"/>
  <c r="AS151" i="9"/>
  <c r="AO124" i="9"/>
  <c r="AF70" i="16"/>
  <c r="AU70" i="16" s="1"/>
  <c r="AF65" i="16"/>
  <c r="AU65" i="16" s="1"/>
  <c r="AF50" i="16"/>
  <c r="AU50" i="16" s="1"/>
  <c r="AF29" i="16"/>
  <c r="AF22" i="16"/>
  <c r="AE70" i="16"/>
  <c r="AT70" i="16" s="1"/>
  <c r="AE65" i="16"/>
  <c r="AT65" i="16" s="1"/>
  <c r="AE50" i="16"/>
  <c r="AT50" i="16" s="1"/>
  <c r="AE22" i="16"/>
  <c r="AE29" i="16"/>
  <c r="AG70" i="9"/>
  <c r="B220" i="10" s="1"/>
  <c r="AG46" i="9"/>
  <c r="B216" i="10" s="1"/>
  <c r="L64" i="9"/>
  <c r="B129" i="10" s="1"/>
  <c r="Z31" i="9"/>
  <c r="B87" i="10" s="1"/>
  <c r="L37" i="9"/>
  <c r="AV34" i="9" s="1"/>
  <c r="Z13" i="9"/>
  <c r="B84" i="10" s="1"/>
  <c r="AQ78" i="9"/>
  <c r="AO78" i="9"/>
  <c r="AU185" i="9"/>
  <c r="AO185" i="9"/>
  <c r="AO197" i="9"/>
  <c r="AD68" i="16"/>
  <c r="AD67" i="16"/>
  <c r="T70" i="9"/>
  <c r="AV112" i="9" s="1"/>
  <c r="AA46" i="9"/>
  <c r="C186" i="10" s="1"/>
  <c r="M52" i="9"/>
  <c r="C127" i="10" s="1"/>
  <c r="AH40" i="9"/>
  <c r="AN173" i="9" s="1"/>
  <c r="AH46" i="9"/>
  <c r="C216" i="10" s="1"/>
  <c r="T46" i="9"/>
  <c r="C156" i="10" s="1"/>
  <c r="C295" i="14"/>
  <c r="AF68" i="16"/>
  <c r="AE68" i="16"/>
  <c r="AE67" i="16"/>
  <c r="AF67" i="16"/>
  <c r="C354" i="14"/>
  <c r="C166" i="10"/>
  <c r="C237" i="10"/>
  <c r="AA6" i="9"/>
  <c r="AN138" i="9" s="1"/>
  <c r="T6" i="9"/>
  <c r="AN78" i="9" s="1"/>
  <c r="AA12" i="9"/>
  <c r="C78" i="10" s="1"/>
  <c r="T36" i="9"/>
  <c r="AV136" i="9" s="1"/>
  <c r="T30" i="9"/>
  <c r="C51" i="10" s="1"/>
  <c r="AA36" i="9"/>
  <c r="C82" i="10" s="1"/>
  <c r="AF60" i="16"/>
  <c r="AU60" i="16" s="1"/>
  <c r="AF55" i="16"/>
  <c r="AU55" i="16" s="1"/>
  <c r="AF25" i="16"/>
  <c r="AE60" i="16"/>
  <c r="AT60" i="16" s="1"/>
  <c r="AE55" i="16"/>
  <c r="AT55" i="16" s="1"/>
  <c r="AE25" i="16"/>
  <c r="C83" i="10"/>
  <c r="AF69" i="16"/>
  <c r="AF66" i="16"/>
  <c r="AF59" i="16"/>
  <c r="AF44" i="16"/>
  <c r="AE69" i="16"/>
  <c r="AE66" i="16"/>
  <c r="AE59" i="16"/>
  <c r="AE44" i="16"/>
  <c r="AF43" i="16"/>
  <c r="AE43" i="16"/>
  <c r="AN42" i="9"/>
  <c r="AN41" i="9"/>
  <c r="AN38" i="9"/>
  <c r="AV124" i="9"/>
  <c r="AQ90" i="9"/>
  <c r="AQ97" i="9"/>
  <c r="AN91" i="9"/>
  <c r="AN92" i="9"/>
  <c r="AN143" i="9"/>
  <c r="AN146" i="9"/>
  <c r="AT190" i="9"/>
  <c r="AT203" i="9"/>
  <c r="AT198" i="9"/>
  <c r="T40" i="9"/>
  <c r="AA52" i="9"/>
  <c r="C187" i="10" s="1"/>
  <c r="AH70" i="9"/>
  <c r="C220" i="10" s="1"/>
  <c r="AH64" i="9"/>
  <c r="M46" i="9"/>
  <c r="C126" i="10" s="1"/>
  <c r="C191" i="10"/>
  <c r="C259" i="14"/>
  <c r="AH6" i="9"/>
  <c r="AN194" i="9" s="1"/>
  <c r="AH18" i="9"/>
  <c r="C109" i="10" s="1"/>
  <c r="AH36" i="9"/>
  <c r="C112" i="10" s="1"/>
  <c r="AA18" i="9"/>
  <c r="C79" i="10" s="1"/>
  <c r="AH12" i="9"/>
  <c r="C108" i="10" s="1"/>
  <c r="C169" i="14"/>
  <c r="AF75" i="16"/>
  <c r="AU75" i="16" s="1"/>
  <c r="AF41" i="16"/>
  <c r="AF37" i="16"/>
  <c r="AF33" i="16"/>
  <c r="AF26" i="16"/>
  <c r="AE75" i="16"/>
  <c r="AT75" i="16" s="1"/>
  <c r="AE41" i="16"/>
  <c r="AE37" i="16"/>
  <c r="AE33" i="16"/>
  <c r="AE26" i="16"/>
  <c r="AE80" i="16"/>
  <c r="AF74" i="16"/>
  <c r="AF64" i="16"/>
  <c r="AF56" i="16"/>
  <c r="AF54" i="16"/>
  <c r="AF49" i="16"/>
  <c r="AF45" i="16"/>
  <c r="AF38" i="16"/>
  <c r="AF34" i="16"/>
  <c r="AF32" i="16"/>
  <c r="AF30" i="16"/>
  <c r="AF28" i="16"/>
  <c r="AF24" i="16"/>
  <c r="AF80" i="16"/>
  <c r="AE74" i="16"/>
  <c r="AE64" i="16"/>
  <c r="AE56" i="16"/>
  <c r="AE54" i="16"/>
  <c r="AE49" i="16"/>
  <c r="AE45" i="16"/>
  <c r="AE38" i="16"/>
  <c r="AE34" i="16"/>
  <c r="AE32" i="16"/>
  <c r="AE30" i="16"/>
  <c r="AE28" i="16"/>
  <c r="AE24" i="16"/>
  <c r="AF23" i="16"/>
  <c r="AE23" i="16"/>
  <c r="AF31" i="16"/>
  <c r="AE31" i="16"/>
  <c r="AF27" i="16"/>
  <c r="AE27" i="16"/>
  <c r="AN34" i="9"/>
  <c r="AQ91" i="9"/>
  <c r="AQ88" i="9"/>
  <c r="AN88" i="9"/>
  <c r="AN94" i="9"/>
  <c r="AM68" i="9"/>
  <c r="AN144" i="9"/>
  <c r="AN147" i="9"/>
  <c r="AT199" i="9"/>
  <c r="AT201" i="9"/>
  <c r="AD75" i="16"/>
  <c r="AS75" i="16" s="1"/>
  <c r="AD26" i="16"/>
  <c r="J9" i="5"/>
  <c r="AD56" i="16"/>
  <c r="AD54" i="16"/>
  <c r="AD49" i="16"/>
  <c r="AD38" i="16"/>
  <c r="AD34" i="16"/>
  <c r="AD32" i="16"/>
  <c r="AD30" i="16"/>
  <c r="AD28" i="16"/>
  <c r="AD80" i="16"/>
  <c r="AD31" i="16"/>
  <c r="AD27" i="16"/>
  <c r="J12" i="5"/>
  <c r="AD71" i="16"/>
  <c r="AD79" i="16"/>
  <c r="AD47" i="16"/>
  <c r="AU181" i="9"/>
  <c r="AU178" i="9"/>
  <c r="AU183" i="9"/>
  <c r="AU176" i="9"/>
  <c r="AU182" i="9"/>
  <c r="AS197" i="9"/>
  <c r="AS204" i="9"/>
  <c r="AS201" i="9"/>
  <c r="AS198" i="9"/>
  <c r="AS199" i="9"/>
  <c r="AS195" i="9"/>
  <c r="AS200" i="9"/>
  <c r="AR122" i="9"/>
  <c r="AR130" i="9"/>
  <c r="AR123" i="9"/>
  <c r="AR126" i="9"/>
  <c r="AR124" i="9"/>
  <c r="AR129" i="9"/>
  <c r="AR131" i="9"/>
  <c r="AR128" i="9"/>
  <c r="AR125" i="9"/>
  <c r="AR127" i="9"/>
  <c r="AM125" i="9"/>
  <c r="AM129" i="9"/>
  <c r="AM127" i="9"/>
  <c r="AM122" i="9"/>
  <c r="AM123" i="9"/>
  <c r="AM128" i="9"/>
  <c r="AM124" i="9"/>
  <c r="AM130" i="9"/>
  <c r="AM126" i="9"/>
  <c r="AM131" i="9"/>
  <c r="AS185" i="9"/>
  <c r="AS133" i="9"/>
  <c r="AU175" i="9"/>
  <c r="AP125" i="9"/>
  <c r="AS176" i="9"/>
  <c r="AS188" i="9"/>
  <c r="AS187" i="9"/>
  <c r="AS132" i="9"/>
  <c r="AS136" i="9"/>
  <c r="AU177" i="9"/>
  <c r="AS180" i="9"/>
  <c r="AS202" i="9"/>
  <c r="AU197" i="9"/>
  <c r="AU202" i="9"/>
  <c r="AU201" i="9"/>
  <c r="AU204" i="9"/>
  <c r="AU199" i="9"/>
  <c r="AU195" i="9"/>
  <c r="AU196" i="9"/>
  <c r="AU203" i="9"/>
  <c r="AU200" i="9"/>
  <c r="AU198" i="9"/>
  <c r="AP127" i="9"/>
  <c r="AP129" i="9"/>
  <c r="AP122" i="9"/>
  <c r="AP128" i="9"/>
  <c r="AP130" i="9"/>
  <c r="AO115" i="9"/>
  <c r="AO119" i="9"/>
  <c r="AO112" i="9"/>
  <c r="AO116" i="9"/>
  <c r="AO120" i="9"/>
  <c r="AO117" i="9"/>
  <c r="AO118" i="9"/>
  <c r="AO113" i="9"/>
  <c r="AO121" i="9"/>
  <c r="AO114" i="9"/>
  <c r="B329" i="14"/>
  <c r="AM176" i="9"/>
  <c r="AM180" i="9"/>
  <c r="AM184" i="9"/>
  <c r="AM179" i="9"/>
  <c r="AM175" i="9"/>
  <c r="AM178" i="9"/>
  <c r="AM181" i="9"/>
  <c r="AM182" i="9"/>
  <c r="AM177" i="9"/>
  <c r="AM183" i="9"/>
  <c r="AS34" i="9"/>
  <c r="AS42" i="9"/>
  <c r="AP59" i="9"/>
  <c r="AP63" i="9"/>
  <c r="AP67" i="9"/>
  <c r="AP60" i="9"/>
  <c r="AP65" i="9"/>
  <c r="AP61" i="9"/>
  <c r="AP66" i="9"/>
  <c r="AP62" i="9"/>
  <c r="AP58" i="9"/>
  <c r="AP64" i="9"/>
  <c r="AM70" i="9"/>
  <c r="AM72" i="9"/>
  <c r="AM73" i="9"/>
  <c r="AM71" i="9"/>
  <c r="AM74" i="9"/>
  <c r="AP22" i="9"/>
  <c r="AP70" i="9"/>
  <c r="AP73" i="9"/>
  <c r="AP71" i="9"/>
  <c r="AP72" i="9"/>
  <c r="AP69" i="9"/>
  <c r="AR81" i="9"/>
  <c r="AR79" i="9"/>
  <c r="AR133" i="9"/>
  <c r="AR135" i="9"/>
  <c r="AR138" i="9"/>
  <c r="AR141" i="9"/>
  <c r="AR136" i="9"/>
  <c r="AR134" i="9"/>
  <c r="AR132" i="9"/>
  <c r="AR140" i="9"/>
  <c r="AR139" i="9"/>
  <c r="AR137" i="9"/>
  <c r="AP189" i="9"/>
  <c r="AP185" i="9"/>
  <c r="AP192" i="9"/>
  <c r="AP193" i="9"/>
  <c r="AP188" i="9"/>
  <c r="AP186" i="9"/>
  <c r="AP187" i="9"/>
  <c r="AP190" i="9"/>
  <c r="AP191" i="9"/>
  <c r="AP194" i="9"/>
  <c r="AP137" i="9"/>
  <c r="AP134" i="9"/>
  <c r="AP132" i="9"/>
  <c r="AP140" i="9"/>
  <c r="AP135" i="9"/>
  <c r="Y274" i="16" s="1"/>
  <c r="AP133" i="9"/>
  <c r="AP136" i="9"/>
  <c r="AP139" i="9"/>
  <c r="Y304" i="16" s="1"/>
  <c r="AP138" i="9"/>
  <c r="AP141" i="9"/>
  <c r="AS167" i="9"/>
  <c r="AS171" i="9"/>
  <c r="AS165" i="9"/>
  <c r="AS169" i="9"/>
  <c r="AS173" i="9"/>
  <c r="AS168" i="9"/>
  <c r="AS170" i="9"/>
  <c r="AS172" i="9"/>
  <c r="AS174" i="9"/>
  <c r="AS166" i="9"/>
  <c r="AO169" i="9"/>
  <c r="AO173" i="9"/>
  <c r="AO170" i="9"/>
  <c r="AO165" i="9"/>
  <c r="AO167" i="9"/>
  <c r="AO174" i="9"/>
  <c r="AO168" i="9"/>
  <c r="AO171" i="9"/>
  <c r="AO166" i="9"/>
  <c r="AO172" i="9"/>
  <c r="AS112" i="9"/>
  <c r="AS116" i="9"/>
  <c r="AS120" i="9"/>
  <c r="AS114" i="9"/>
  <c r="AS119" i="9"/>
  <c r="AS118" i="9"/>
  <c r="AS113" i="9"/>
  <c r="AS121" i="9"/>
  <c r="AS115" i="9"/>
  <c r="AS117" i="9"/>
  <c r="AN182" i="9"/>
  <c r="AN179" i="9"/>
  <c r="AU180" i="9"/>
  <c r="AU179" i="9"/>
  <c r="AM75" i="9"/>
  <c r="AP131" i="9"/>
  <c r="AP76" i="9"/>
  <c r="AS196" i="9"/>
  <c r="AS179" i="9"/>
  <c r="AS175" i="9"/>
  <c r="AS184" i="9"/>
  <c r="AS177" i="9"/>
  <c r="AS182" i="9"/>
  <c r="AS191" i="9"/>
  <c r="AS192" i="9"/>
  <c r="AS190" i="9"/>
  <c r="AS189" i="9"/>
  <c r="AS194" i="9"/>
  <c r="AS140" i="9"/>
  <c r="AS139" i="9"/>
  <c r="AS135" i="9"/>
  <c r="AS138" i="9"/>
  <c r="AS141" i="9"/>
  <c r="AP169" i="9"/>
  <c r="AP173" i="9"/>
  <c r="AP167" i="9"/>
  <c r="AP171" i="9"/>
  <c r="AP165" i="9"/>
  <c r="AP172" i="9"/>
  <c r="AP170" i="9"/>
  <c r="AP166" i="9"/>
  <c r="AP174" i="9"/>
  <c r="AP168" i="9"/>
  <c r="AM85" i="9"/>
  <c r="AM86" i="9"/>
  <c r="AU130" i="9"/>
  <c r="AU129" i="9"/>
  <c r="AU123" i="9"/>
  <c r="AU71" i="9"/>
  <c r="AO135" i="9"/>
  <c r="AO133" i="9"/>
  <c r="AO137" i="9"/>
  <c r="AO139" i="9"/>
  <c r="AO141" i="9"/>
  <c r="AO138" i="9"/>
  <c r="AO136" i="9"/>
  <c r="AO134" i="9"/>
  <c r="AO140" i="9"/>
  <c r="AO132" i="9"/>
  <c r="AO39" i="9"/>
  <c r="AO89" i="9"/>
  <c r="AR168" i="9"/>
  <c r="AR172" i="9"/>
  <c r="AR166" i="9"/>
  <c r="AR170" i="9"/>
  <c r="AR174" i="9"/>
  <c r="AR167" i="9"/>
  <c r="AR165" i="9"/>
  <c r="AR169" i="9"/>
  <c r="AR173" i="9"/>
  <c r="AR171" i="9"/>
  <c r="AV168" i="9"/>
  <c r="AV172" i="9"/>
  <c r="AV166" i="9"/>
  <c r="AV170" i="9"/>
  <c r="AV174" i="9"/>
  <c r="AV165" i="9"/>
  <c r="AV173" i="9"/>
  <c r="AV167" i="9"/>
  <c r="AV169" i="9"/>
  <c r="AV171" i="9"/>
  <c r="AU76" i="9"/>
  <c r="AS193" i="9"/>
  <c r="AS137" i="9"/>
  <c r="AU184" i="9"/>
  <c r="AM77" i="9"/>
  <c r="AT182" i="9"/>
  <c r="AP126" i="9"/>
  <c r="Y104" i="16" s="1"/>
  <c r="AP123" i="9"/>
  <c r="AP75" i="9"/>
  <c r="AS178" i="9"/>
  <c r="AS183" i="9"/>
  <c r="AS203" i="9"/>
  <c r="AP112" i="9"/>
  <c r="AP115" i="9"/>
  <c r="AP119" i="9"/>
  <c r="AP113" i="9"/>
  <c r="AP118" i="9"/>
  <c r="AP114" i="9"/>
  <c r="AP120" i="9"/>
  <c r="AP116" i="9"/>
  <c r="AP121" i="9"/>
  <c r="AP117" i="9"/>
  <c r="B239" i="10"/>
  <c r="B331" i="14"/>
  <c r="AM202" i="9"/>
  <c r="AV71" i="9"/>
  <c r="AU194" i="9"/>
  <c r="AU188" i="9"/>
  <c r="AU191" i="9"/>
  <c r="AO146" i="9"/>
  <c r="AO144" i="9"/>
  <c r="AP87" i="9"/>
  <c r="AP85" i="9"/>
  <c r="AS131" i="9"/>
  <c r="AS122" i="9"/>
  <c r="AO191" i="9"/>
  <c r="AO192" i="9"/>
  <c r="AO186" i="9"/>
  <c r="AS145" i="9"/>
  <c r="AS142" i="9"/>
  <c r="AV175" i="9"/>
  <c r="AV184" i="9"/>
  <c r="AO182" i="9"/>
  <c r="AO175" i="9"/>
  <c r="AO178" i="9"/>
  <c r="AO125" i="9"/>
  <c r="AO128" i="9"/>
  <c r="AO123" i="9"/>
  <c r="AO195" i="9"/>
  <c r="AO196" i="9"/>
  <c r="AP184" i="9"/>
  <c r="AP175" i="9"/>
  <c r="AT189" i="9"/>
  <c r="AT194" i="9"/>
  <c r="AT188" i="9"/>
  <c r="AR181" i="9"/>
  <c r="AR182" i="9"/>
  <c r="AR176" i="9"/>
  <c r="AR185" i="9"/>
  <c r="AR194" i="9"/>
  <c r="AR188" i="9"/>
  <c r="AV191" i="9"/>
  <c r="AV186" i="9"/>
  <c r="AR112" i="9"/>
  <c r="AR116" i="9"/>
  <c r="AR120" i="9"/>
  <c r="AR114" i="9"/>
  <c r="AR119" i="9"/>
  <c r="AR115" i="9"/>
  <c r="AR121" i="9"/>
  <c r="AR117" i="9"/>
  <c r="AR113" i="9"/>
  <c r="AR118" i="9"/>
  <c r="AU167" i="9"/>
  <c r="AU171" i="9"/>
  <c r="AU165" i="9"/>
  <c r="AU169" i="9"/>
  <c r="AU173" i="9"/>
  <c r="AU172" i="9"/>
  <c r="AU166" i="9"/>
  <c r="AU174" i="9"/>
  <c r="AU168" i="9"/>
  <c r="AU170" i="9"/>
  <c r="B330" i="14"/>
  <c r="AM188" i="9"/>
  <c r="AM133" i="9"/>
  <c r="AM137" i="9"/>
  <c r="AM141" i="9"/>
  <c r="AM136" i="9"/>
  <c r="AM132" i="9"/>
  <c r="AM138" i="9"/>
  <c r="AM134" i="9"/>
  <c r="AM139" i="9"/>
  <c r="AM135" i="9"/>
  <c r="AM140" i="9"/>
  <c r="AM97" i="9"/>
  <c r="AV70" i="9"/>
  <c r="AO85" i="9"/>
  <c r="AU192" i="9"/>
  <c r="AO150" i="9"/>
  <c r="AO142" i="9"/>
  <c r="AP83" i="9"/>
  <c r="AP86" i="9"/>
  <c r="AP79" i="9"/>
  <c r="AS127" i="9"/>
  <c r="AS129" i="9"/>
  <c r="AO187" i="9"/>
  <c r="AS146" i="9"/>
  <c r="AS143" i="9"/>
  <c r="AV177" i="9"/>
  <c r="AV182" i="9"/>
  <c r="AO184" i="9"/>
  <c r="AO129" i="9"/>
  <c r="AO203" i="9"/>
  <c r="AO204" i="9"/>
  <c r="AP178" i="9"/>
  <c r="AP183" i="9"/>
  <c r="AT193" i="9"/>
  <c r="AR175" i="9"/>
  <c r="AR191" i="9"/>
  <c r="AV193" i="9"/>
  <c r="AV194" i="9"/>
  <c r="AU16" i="9"/>
  <c r="AU23" i="9"/>
  <c r="AU137" i="9"/>
  <c r="AU135" i="9"/>
  <c r="AU79" i="9"/>
  <c r="AU84" i="9"/>
  <c r="AU82" i="9"/>
  <c r="AU141" i="9"/>
  <c r="AU80" i="9"/>
  <c r="AU140" i="9"/>
  <c r="AU133" i="9"/>
  <c r="AU83" i="9"/>
  <c r="AU81" i="9"/>
  <c r="AU86" i="9"/>
  <c r="AU134" i="9"/>
  <c r="AU132" i="9"/>
  <c r="AU138" i="9"/>
  <c r="AU136" i="9"/>
  <c r="AU139" i="9"/>
  <c r="AU87" i="9"/>
  <c r="AU85" i="9"/>
  <c r="AU78" i="9"/>
  <c r="AS92" i="9"/>
  <c r="AS97" i="9"/>
  <c r="AS96" i="9"/>
  <c r="AS90" i="9"/>
  <c r="AS91" i="9"/>
  <c r="AS89" i="9"/>
  <c r="AS94" i="9"/>
  <c r="AU150" i="9"/>
  <c r="AU145" i="9"/>
  <c r="AU143" i="9"/>
  <c r="AU96" i="9"/>
  <c r="AU94" i="9"/>
  <c r="AU146" i="9"/>
  <c r="AU148" i="9"/>
  <c r="AU91" i="9"/>
  <c r="AU89" i="9"/>
  <c r="AU88" i="9"/>
  <c r="AU142" i="9"/>
  <c r="AU144" i="9"/>
  <c r="AU95" i="9"/>
  <c r="AU93" i="9"/>
  <c r="AU151" i="9"/>
  <c r="AR68" i="9"/>
  <c r="AR69" i="9"/>
  <c r="AR70" i="9"/>
  <c r="AR75" i="9"/>
  <c r="AR72" i="9"/>
  <c r="AR73" i="9"/>
  <c r="AR74" i="9"/>
  <c r="AR76" i="9"/>
  <c r="AR77" i="9"/>
  <c r="AR71" i="9"/>
  <c r="AQ77" i="9"/>
  <c r="AQ73" i="9"/>
  <c r="AU97" i="9"/>
  <c r="AU17" i="9"/>
  <c r="AS95" i="9"/>
  <c r="AU92" i="9"/>
  <c r="AO22" i="9"/>
  <c r="AO73" i="9"/>
  <c r="AO76" i="9"/>
  <c r="AO72" i="9"/>
  <c r="AO74" i="9"/>
  <c r="AO69" i="9"/>
  <c r="AO71" i="9"/>
  <c r="AO77" i="9"/>
  <c r="AO70" i="9"/>
  <c r="AO75" i="9"/>
  <c r="AO59" i="9"/>
  <c r="AO63" i="9"/>
  <c r="AO67" i="9"/>
  <c r="AO62" i="9"/>
  <c r="AO58" i="9"/>
  <c r="AO64" i="9"/>
  <c r="AO60" i="9"/>
  <c r="AO65" i="9"/>
  <c r="AO61" i="9"/>
  <c r="AO66" i="9"/>
  <c r="B294" i="14"/>
  <c r="AS93" i="9"/>
  <c r="AU147" i="9"/>
  <c r="AR60" i="9"/>
  <c r="AR64" i="9"/>
  <c r="AR61" i="9"/>
  <c r="AR65" i="9"/>
  <c r="AR58" i="9"/>
  <c r="Y191" i="16" s="1"/>
  <c r="AR62" i="9"/>
  <c r="AR66" i="9"/>
  <c r="AR67" i="9"/>
  <c r="AR59" i="9"/>
  <c r="AR63" i="9"/>
  <c r="Y111" i="16" s="1"/>
  <c r="AR33" i="9"/>
  <c r="AR29" i="9"/>
  <c r="AR27" i="9"/>
  <c r="AS59" i="9"/>
  <c r="AS63" i="9"/>
  <c r="V191" i="16" s="1"/>
  <c r="AS67" i="9"/>
  <c r="AS60" i="9"/>
  <c r="AS64" i="9"/>
  <c r="AS58" i="9"/>
  <c r="AS61" i="9"/>
  <c r="AS65" i="9"/>
  <c r="AS62" i="9"/>
  <c r="AS66" i="9"/>
  <c r="AN77" i="9"/>
  <c r="B221" i="14"/>
  <c r="AS88" i="9"/>
  <c r="AU90" i="9"/>
  <c r="AU149" i="9"/>
  <c r="B224" i="14"/>
  <c r="B317" i="14"/>
  <c r="AT68" i="9"/>
  <c r="AT72" i="9"/>
  <c r="AT76" i="9"/>
  <c r="AT69" i="9"/>
  <c r="AT73" i="9"/>
  <c r="AT77" i="9"/>
  <c r="AT70" i="9"/>
  <c r="AT74" i="9"/>
  <c r="AT71" i="9"/>
  <c r="AT75" i="9"/>
  <c r="B197" i="10"/>
  <c r="B295" i="14"/>
  <c r="AS40" i="9"/>
  <c r="AQ83" i="9"/>
  <c r="AR87" i="9"/>
  <c r="AR82" i="9"/>
  <c r="AR84" i="9"/>
  <c r="AV77" i="9"/>
  <c r="AV75" i="9"/>
  <c r="AV68" i="9"/>
  <c r="AV123" i="9"/>
  <c r="AV128" i="9"/>
  <c r="AU68" i="9"/>
  <c r="AU72" i="9"/>
  <c r="AU77" i="9"/>
  <c r="AU124" i="9"/>
  <c r="AU122" i="9"/>
  <c r="AS86" i="9"/>
  <c r="AS78" i="9"/>
  <c r="AS87" i="9"/>
  <c r="AO83" i="9"/>
  <c r="AO80" i="9"/>
  <c r="AO96" i="9"/>
  <c r="AO88" i="9"/>
  <c r="AS74" i="9"/>
  <c r="AS73" i="9"/>
  <c r="AS72" i="9"/>
  <c r="AU39" i="9"/>
  <c r="AR78" i="9"/>
  <c r="AR80" i="9"/>
  <c r="AV72" i="9"/>
  <c r="AV69" i="9"/>
  <c r="AV126" i="9"/>
  <c r="AV127" i="9"/>
  <c r="AV125" i="9"/>
  <c r="AU73" i="9"/>
  <c r="AU127" i="9"/>
  <c r="AU131" i="9"/>
  <c r="AU128" i="9"/>
  <c r="AU126" i="9"/>
  <c r="AS84" i="9"/>
  <c r="AS83" i="9"/>
  <c r="AO84" i="9"/>
  <c r="AO87" i="9"/>
  <c r="AO86" i="9"/>
  <c r="AO93" i="9"/>
  <c r="AO91" i="9"/>
  <c r="AO94" i="9"/>
  <c r="AS69" i="9"/>
  <c r="AS75" i="9"/>
  <c r="AQ67" i="9"/>
  <c r="AU118" i="9"/>
  <c r="AU121" i="9"/>
  <c r="AU117" i="9"/>
  <c r="AU120" i="9"/>
  <c r="AU116" i="9"/>
  <c r="AU112" i="9"/>
  <c r="AU119" i="9"/>
  <c r="AU113" i="9"/>
  <c r="AU59" i="9"/>
  <c r="AU63" i="9"/>
  <c r="AU67" i="9"/>
  <c r="AU114" i="9"/>
  <c r="AU60" i="9"/>
  <c r="AU64" i="9"/>
  <c r="AU58" i="9"/>
  <c r="AU115" i="9"/>
  <c r="AU61" i="9"/>
  <c r="AU65" i="9"/>
  <c r="AU66" i="9"/>
  <c r="AU62" i="9"/>
  <c r="B296" i="14"/>
  <c r="B320" i="14"/>
  <c r="AS39" i="9"/>
  <c r="AU37" i="9"/>
  <c r="AQ79" i="9"/>
  <c r="AR83" i="9"/>
  <c r="AR85" i="9"/>
  <c r="AV76" i="9"/>
  <c r="AV122" i="9"/>
  <c r="Y254" i="16" s="1"/>
  <c r="AV74" i="9"/>
  <c r="AV131" i="9"/>
  <c r="AU69" i="9"/>
  <c r="AU75" i="9"/>
  <c r="AU74" i="9"/>
  <c r="AU125" i="9"/>
  <c r="AS85" i="9"/>
  <c r="AS80" i="9"/>
  <c r="AS79" i="9"/>
  <c r="AO79" i="9"/>
  <c r="AO81" i="9"/>
  <c r="AO82" i="9"/>
  <c r="AO97" i="9"/>
  <c r="AO95" i="9"/>
  <c r="AO90" i="9"/>
  <c r="AS70" i="9"/>
  <c r="AS71" i="9"/>
  <c r="AT10" i="9"/>
  <c r="AR19" i="9"/>
  <c r="AU27" i="9"/>
  <c r="AS30" i="9"/>
  <c r="AS15" i="9"/>
  <c r="AS20" i="9"/>
  <c r="B277" i="14"/>
  <c r="B142" i="10"/>
  <c r="AV24" i="9"/>
  <c r="B140" i="10"/>
  <c r="B152" i="10"/>
  <c r="AS38" i="9"/>
  <c r="AS41" i="9"/>
  <c r="AS36" i="9"/>
  <c r="AT33" i="9"/>
  <c r="AR15" i="9"/>
  <c r="AR22" i="9"/>
  <c r="AR17" i="9"/>
  <c r="AU24" i="9"/>
  <c r="AU25" i="9"/>
  <c r="AS24" i="9"/>
  <c r="AS33" i="9"/>
  <c r="AS28" i="9"/>
  <c r="AS22" i="9"/>
  <c r="AS21" i="9"/>
  <c r="AS16" i="9"/>
  <c r="AU43" i="9"/>
  <c r="AU34" i="9"/>
  <c r="AR31" i="9"/>
  <c r="AR30" i="9"/>
  <c r="AR25" i="9"/>
  <c r="AU15" i="9"/>
  <c r="AU14" i="9"/>
  <c r="AS8" i="9"/>
  <c r="AS12" i="9"/>
  <c r="AS5" i="9"/>
  <c r="AS9" i="9"/>
  <c r="AS13" i="9"/>
  <c r="AS6" i="9"/>
  <c r="AS4" i="9"/>
  <c r="AS7" i="9"/>
  <c r="AS10" i="9"/>
  <c r="AS11" i="9"/>
  <c r="AR16" i="9"/>
  <c r="AU29" i="9"/>
  <c r="AS32" i="9"/>
  <c r="AR5" i="9"/>
  <c r="AR9" i="9"/>
  <c r="AR13" i="9"/>
  <c r="AR6" i="9"/>
  <c r="AR10" i="9"/>
  <c r="AR11" i="9"/>
  <c r="AR8" i="9"/>
  <c r="AR4" i="9"/>
  <c r="AR12" i="9"/>
  <c r="AR7" i="9"/>
  <c r="B154" i="10"/>
  <c r="AS43" i="9"/>
  <c r="AS37" i="9"/>
  <c r="AT31" i="9"/>
  <c r="AR20" i="9"/>
  <c r="AR18" i="9"/>
  <c r="AU31" i="9"/>
  <c r="AU26" i="9"/>
  <c r="AU32" i="9"/>
  <c r="AS26" i="9"/>
  <c r="AS29" i="9"/>
  <c r="AS19" i="9"/>
  <c r="AS17" i="9"/>
  <c r="AU35" i="9"/>
  <c r="AU38" i="9"/>
  <c r="AU40" i="9"/>
  <c r="AR28" i="9"/>
  <c r="AR26" i="9"/>
  <c r="AU19" i="9"/>
  <c r="AU22" i="9"/>
  <c r="AU20" i="9"/>
  <c r="AR21" i="9"/>
  <c r="AS27" i="9"/>
  <c r="AS18" i="9"/>
  <c r="AU8" i="9"/>
  <c r="AU12" i="9"/>
  <c r="AU5" i="9"/>
  <c r="AU9" i="9"/>
  <c r="AU13" i="9"/>
  <c r="AU10" i="9"/>
  <c r="AU7" i="9"/>
  <c r="AU11" i="9"/>
  <c r="AU6" i="9"/>
  <c r="AU4" i="9"/>
  <c r="B136" i="10"/>
  <c r="AV17" i="9"/>
  <c r="AV21" i="9"/>
  <c r="AV14" i="9"/>
  <c r="AV18" i="9"/>
  <c r="AV22" i="9"/>
  <c r="AV15" i="9"/>
  <c r="AV23" i="9"/>
  <c r="AV20" i="9"/>
  <c r="AV19" i="9"/>
  <c r="AV16" i="9"/>
  <c r="B275" i="14"/>
  <c r="AQ16" i="9"/>
  <c r="AQ20" i="9"/>
  <c r="AQ14" i="9"/>
  <c r="AQ17" i="9"/>
  <c r="AQ21" i="9"/>
  <c r="AQ22" i="9"/>
  <c r="AQ15" i="9"/>
  <c r="AQ23" i="9"/>
  <c r="AQ18" i="9"/>
  <c r="AQ19" i="9"/>
  <c r="B289" i="14"/>
  <c r="AV40" i="9"/>
  <c r="AS35" i="9"/>
  <c r="AT27" i="9"/>
  <c r="AR23" i="9"/>
  <c r="AU30" i="9"/>
  <c r="AU33" i="9"/>
  <c r="AS31" i="9"/>
  <c r="AS23" i="9"/>
  <c r="AU42" i="9"/>
  <c r="AU41" i="9"/>
  <c r="AR32" i="9"/>
  <c r="AU18" i="9"/>
  <c r="AU21" i="9"/>
  <c r="AT23" i="9"/>
  <c r="AP14" i="9"/>
  <c r="AO40" i="9"/>
  <c r="AO33" i="9"/>
  <c r="AP19" i="9"/>
  <c r="AP29" i="9"/>
  <c r="AO35" i="9"/>
  <c r="AO32" i="9"/>
  <c r="AP18" i="9"/>
  <c r="AP24" i="9"/>
  <c r="AO27" i="9"/>
  <c r="AO41" i="9"/>
  <c r="AP6" i="9"/>
  <c r="AP10" i="9"/>
  <c r="AP4" i="9"/>
  <c r="AP9" i="9"/>
  <c r="AP7" i="9"/>
  <c r="AP11" i="9"/>
  <c r="AP5" i="9"/>
  <c r="AP8" i="9"/>
  <c r="AP12" i="9"/>
  <c r="AP13" i="9"/>
  <c r="AO7" i="9"/>
  <c r="AO11" i="9"/>
  <c r="AO10" i="9"/>
  <c r="AO4" i="9"/>
  <c r="AO8" i="9"/>
  <c r="AO12" i="9"/>
  <c r="AO9" i="9"/>
  <c r="AO13" i="9"/>
  <c r="AO6" i="9"/>
  <c r="AO5" i="9"/>
  <c r="B260" i="14"/>
  <c r="AO18" i="9"/>
  <c r="AO20" i="9"/>
  <c r="AO19" i="9"/>
  <c r="AO29" i="9"/>
  <c r="AO28" i="9"/>
  <c r="AP20" i="9"/>
  <c r="AP15" i="9"/>
  <c r="AM31" i="9"/>
  <c r="AP32" i="9"/>
  <c r="AP31" i="9"/>
  <c r="AP30" i="9"/>
  <c r="AO37" i="9"/>
  <c r="AO36" i="9"/>
  <c r="AO14" i="9"/>
  <c r="AO23" i="9"/>
  <c r="B259" i="14"/>
  <c r="AM39" i="9"/>
  <c r="AO21" i="9"/>
  <c r="AO16" i="9"/>
  <c r="AO15" i="9"/>
  <c r="AO25" i="9"/>
  <c r="AO26" i="9"/>
  <c r="AP16" i="9"/>
  <c r="AP21" i="9"/>
  <c r="AP28" i="9"/>
  <c r="AP27" i="9"/>
  <c r="AP26" i="9"/>
  <c r="AO42" i="9"/>
  <c r="AO43" i="9"/>
  <c r="AN21" i="9"/>
  <c r="B131" i="10"/>
  <c r="AM15" i="9"/>
  <c r="AM17" i="9"/>
  <c r="AM19" i="9"/>
  <c r="AM21" i="9"/>
  <c r="AM23" i="9"/>
  <c r="AM16" i="9"/>
  <c r="AM18" i="9"/>
  <c r="AM22" i="9"/>
  <c r="AM20" i="9"/>
  <c r="AM14" i="9"/>
  <c r="AO17" i="9"/>
  <c r="AO30" i="9"/>
  <c r="AO24" i="9"/>
  <c r="AP17" i="9"/>
  <c r="AP23" i="9"/>
  <c r="AP33" i="9"/>
  <c r="AO38" i="9"/>
  <c r="AO34" i="9"/>
  <c r="B209" i="10"/>
  <c r="B165" i="10"/>
  <c r="B227" i="10"/>
  <c r="B288" i="14"/>
  <c r="B257" i="14"/>
  <c r="B167" i="10"/>
  <c r="Y82" i="16"/>
  <c r="B148" i="10"/>
  <c r="B287" i="14"/>
  <c r="B149" i="10"/>
  <c r="Y84" i="16"/>
  <c r="B134" i="10"/>
  <c r="B183" i="10"/>
  <c r="V83" i="16"/>
  <c r="V82" i="16"/>
  <c r="V84" i="16"/>
  <c r="V21" i="16"/>
  <c r="V29" i="16"/>
  <c r="V25" i="16"/>
  <c r="V37" i="16"/>
  <c r="B290" i="14"/>
  <c r="B222" i="14"/>
  <c r="B173" i="10"/>
  <c r="Y25" i="16"/>
  <c r="Y29" i="16"/>
  <c r="X25" i="16"/>
  <c r="B143" i="10"/>
  <c r="Y83" i="16"/>
  <c r="F298" i="14"/>
  <c r="Y81" i="16"/>
  <c r="V81" i="16"/>
  <c r="B179" i="10"/>
  <c r="V16" i="16"/>
  <c r="B191" i="10"/>
  <c r="B276" i="14"/>
  <c r="AG22" i="9"/>
  <c r="B98" i="10" s="1"/>
  <c r="L4" i="9"/>
  <c r="W16" i="16" s="1"/>
  <c r="Z28" i="9"/>
  <c r="B69" i="10" s="1"/>
  <c r="B278" i="14"/>
  <c r="B146" i="10"/>
  <c r="B332" i="14"/>
  <c r="S16" i="9"/>
  <c r="B37" i="10" s="1"/>
  <c r="AG10" i="9"/>
  <c r="B96" i="10" s="1"/>
  <c r="L22" i="9"/>
  <c r="B8" i="10" s="1"/>
  <c r="AG34" i="9"/>
  <c r="B100" i="10" s="1"/>
  <c r="S10" i="9"/>
  <c r="B36" i="10" s="1"/>
  <c r="Z22" i="9"/>
  <c r="B68" i="10" s="1"/>
  <c r="B221" i="10"/>
  <c r="B233" i="10"/>
  <c r="Z34" i="9"/>
  <c r="B70" i="10" s="1"/>
  <c r="Z10" i="9"/>
  <c r="B66" i="10" s="1"/>
  <c r="S28" i="9"/>
  <c r="AG4" i="9"/>
  <c r="AG28" i="9"/>
  <c r="B99" i="10" s="1"/>
  <c r="Z16" i="9"/>
  <c r="B67" i="10" s="1"/>
  <c r="L28" i="9"/>
  <c r="B9" i="10" s="1"/>
  <c r="L16" i="9"/>
  <c r="B7" i="10" s="1"/>
  <c r="D27" i="8"/>
  <c r="D28" i="8" s="1"/>
  <c r="D29" i="8" s="1"/>
  <c r="D30" i="8" s="1"/>
  <c r="D31" i="8" s="1"/>
  <c r="D32" i="8" s="1"/>
  <c r="D33" i="8" s="1"/>
  <c r="D34" i="8" s="1"/>
  <c r="X27" i="16"/>
  <c r="X23" i="16"/>
  <c r="X19" i="16"/>
  <c r="X16" i="16"/>
  <c r="X17" i="16"/>
  <c r="AF18" i="16"/>
  <c r="AF12" i="16"/>
  <c r="AU12" i="16" s="1"/>
  <c r="AF9" i="16"/>
  <c r="AU9" i="16" s="1"/>
  <c r="AE18" i="16"/>
  <c r="AF21" i="16"/>
  <c r="AF14" i="16"/>
  <c r="AU14" i="16" s="1"/>
  <c r="AE12" i="16"/>
  <c r="AT12" i="16" s="1"/>
  <c r="AF11" i="16"/>
  <c r="AU11" i="16" s="1"/>
  <c r="BE11" i="16" s="1"/>
  <c r="AE9" i="16"/>
  <c r="AT9" i="16" s="1"/>
  <c r="AE21" i="16"/>
  <c r="AE14" i="16"/>
  <c r="AT14" i="16" s="1"/>
  <c r="AE11" i="16"/>
  <c r="AT11" i="16" s="1"/>
  <c r="BD11" i="16" s="1"/>
  <c r="AF13" i="16"/>
  <c r="AU13" i="16" s="1"/>
  <c r="AF10" i="16"/>
  <c r="AU10" i="16" s="1"/>
  <c r="BE10" i="16" s="1"/>
  <c r="AE10" i="16"/>
  <c r="AT10" i="16" s="1"/>
  <c r="BD10" i="16" s="1"/>
  <c r="AE13" i="16"/>
  <c r="AT13" i="16" s="1"/>
  <c r="X74" i="16"/>
  <c r="V17" i="16"/>
  <c r="V78" i="16"/>
  <c r="V73" i="16"/>
  <c r="AS73" i="16" s="1"/>
  <c r="V68" i="16"/>
  <c r="V63" i="16"/>
  <c r="V58" i="16"/>
  <c r="AS58" i="16" s="1"/>
  <c r="V53" i="16"/>
  <c r="V48" i="16"/>
  <c r="V44" i="16"/>
  <c r="V40" i="16"/>
  <c r="V36" i="16"/>
  <c r="V32" i="16"/>
  <c r="V28" i="16"/>
  <c r="V24" i="16"/>
  <c r="V20" i="16"/>
  <c r="AF15" i="16"/>
  <c r="AF17" i="16"/>
  <c r="AE15" i="16"/>
  <c r="AE17" i="16"/>
  <c r="AF16" i="16"/>
  <c r="AE16" i="16"/>
  <c r="Y79" i="16"/>
  <c r="Y74" i="16"/>
  <c r="Y69" i="16"/>
  <c r="Y64" i="16"/>
  <c r="Y59" i="16"/>
  <c r="Y54" i="16"/>
  <c r="Y49" i="16"/>
  <c r="Y45" i="16"/>
  <c r="Y41" i="16"/>
  <c r="Y37" i="16"/>
  <c r="Y33" i="16"/>
  <c r="Y21" i="16"/>
  <c r="Y78" i="16"/>
  <c r="Y73" i="16"/>
  <c r="Y68" i="16"/>
  <c r="Y63" i="16"/>
  <c r="Y58" i="16"/>
  <c r="Y53" i="16"/>
  <c r="Y48" i="16"/>
  <c r="Y44" i="16"/>
  <c r="Y40" i="16"/>
  <c r="Y36" i="16"/>
  <c r="Y32" i="16"/>
  <c r="Y28" i="16"/>
  <c r="Y24" i="16"/>
  <c r="Y20" i="16"/>
  <c r="Y17" i="16"/>
  <c r="Y76" i="16"/>
  <c r="Y71" i="16"/>
  <c r="Y66" i="16"/>
  <c r="Y61" i="16"/>
  <c r="Y56" i="16"/>
  <c r="Y51" i="16"/>
  <c r="Y46" i="16"/>
  <c r="Y42" i="16"/>
  <c r="Y38" i="16"/>
  <c r="Y34" i="16"/>
  <c r="Y30" i="16"/>
  <c r="Y26" i="16"/>
  <c r="Y22" i="16"/>
  <c r="Y18" i="16"/>
  <c r="Y15" i="16"/>
  <c r="V18" i="16"/>
  <c r="V15" i="16"/>
  <c r="V76" i="16"/>
  <c r="V71" i="16"/>
  <c r="V66" i="16"/>
  <c r="V61" i="16"/>
  <c r="V56" i="16"/>
  <c r="V51" i="16"/>
  <c r="V46" i="16"/>
  <c r="V42" i="16"/>
  <c r="V38" i="16"/>
  <c r="V34" i="16"/>
  <c r="V30" i="16"/>
  <c r="V26" i="16"/>
  <c r="V22" i="16"/>
  <c r="V79" i="16"/>
  <c r="V74" i="16"/>
  <c r="V69" i="16"/>
  <c r="V64" i="16"/>
  <c r="V59" i="16"/>
  <c r="V54" i="16"/>
  <c r="V49" i="16"/>
  <c r="V45" i="16"/>
  <c r="V41" i="16"/>
  <c r="V33" i="16"/>
  <c r="W26" i="16"/>
  <c r="Y77" i="16"/>
  <c r="Y72" i="16"/>
  <c r="Y67" i="16"/>
  <c r="Y62" i="16"/>
  <c r="Y57" i="16"/>
  <c r="Y52" i="16"/>
  <c r="Y47" i="16"/>
  <c r="Y43" i="16"/>
  <c r="Y39" i="16"/>
  <c r="Y35" i="16"/>
  <c r="Y31" i="16"/>
  <c r="Y27" i="16"/>
  <c r="Y23" i="16"/>
  <c r="Y19" i="16"/>
  <c r="Y16" i="16"/>
  <c r="V77" i="16"/>
  <c r="V72" i="16"/>
  <c r="V67" i="16"/>
  <c r="V62" i="16"/>
  <c r="V57" i="16"/>
  <c r="AS57" i="16" s="1"/>
  <c r="V52" i="16"/>
  <c r="V47" i="16"/>
  <c r="V43" i="16"/>
  <c r="V39" i="16"/>
  <c r="V35" i="16"/>
  <c r="V31" i="16"/>
  <c r="V27" i="16"/>
  <c r="V23" i="16"/>
  <c r="V19" i="16"/>
  <c r="AF20" i="16"/>
  <c r="AE20" i="16"/>
  <c r="AF19" i="16"/>
  <c r="AE19" i="16"/>
  <c r="F65" i="3"/>
  <c r="H42" i="5" s="1"/>
  <c r="F111" i="3"/>
  <c r="F85" i="3"/>
  <c r="F120" i="3"/>
  <c r="F125" i="3"/>
  <c r="F124" i="3"/>
  <c r="F69" i="3"/>
  <c r="H46" i="5" s="1"/>
  <c r="F81" i="3"/>
  <c r="F52" i="3"/>
  <c r="H29" i="5" s="1"/>
  <c r="F98" i="3"/>
  <c r="F83" i="3"/>
  <c r="F49" i="3"/>
  <c r="H26" i="5" s="1"/>
  <c r="F31" i="3"/>
  <c r="H8" i="5" s="1"/>
  <c r="F112" i="3"/>
  <c r="F89" i="3"/>
  <c r="F78" i="3"/>
  <c r="F109" i="3"/>
  <c r="F45" i="3"/>
  <c r="H22" i="5" s="1"/>
  <c r="F53" i="3"/>
  <c r="H30" i="5" s="1"/>
  <c r="F82" i="3"/>
  <c r="F73" i="3"/>
  <c r="H50" i="5" s="1"/>
  <c r="F94" i="3"/>
  <c r="F61" i="3"/>
  <c r="H38" i="5" s="1"/>
  <c r="F41" i="3"/>
  <c r="H18" i="5" s="1"/>
  <c r="F34" i="3"/>
  <c r="H11" i="5" s="1"/>
  <c r="F90" i="3"/>
  <c r="F63" i="3"/>
  <c r="H40" i="5" s="1"/>
  <c r="F29" i="3"/>
  <c r="H6" i="5" s="1"/>
  <c r="F62" i="3"/>
  <c r="H39" i="5" s="1"/>
  <c r="F107" i="3"/>
  <c r="F95" i="3"/>
  <c r="F104" i="3"/>
  <c r="F122" i="3"/>
  <c r="F38" i="3"/>
  <c r="H15" i="5" s="1"/>
  <c r="F32" i="3"/>
  <c r="H9" i="5" s="1"/>
  <c r="F99" i="3"/>
  <c r="F121" i="3"/>
  <c r="F113" i="3"/>
  <c r="F37" i="3"/>
  <c r="H14" i="5" s="1"/>
  <c r="F87" i="3"/>
  <c r="F70" i="3"/>
  <c r="H47" i="5" s="1"/>
  <c r="F56" i="3"/>
  <c r="H33" i="5" s="1"/>
  <c r="F92" i="3"/>
  <c r="F91" i="3"/>
  <c r="F102" i="3"/>
  <c r="F117" i="3"/>
  <c r="F33" i="3"/>
  <c r="H10" i="5" s="1"/>
  <c r="F44" i="3"/>
  <c r="H21" i="5" s="1"/>
  <c r="F88" i="3"/>
  <c r="F84" i="3"/>
  <c r="F93" i="3"/>
  <c r="F66" i="3"/>
  <c r="H43" i="5" s="1"/>
  <c r="F77" i="3"/>
  <c r="H54" i="5" s="1"/>
  <c r="F74" i="3"/>
  <c r="H51" i="5" s="1"/>
  <c r="F42" i="3"/>
  <c r="H19" i="5" s="1"/>
  <c r="F115" i="3"/>
  <c r="F51" i="3"/>
  <c r="H28" i="5" s="1"/>
  <c r="F36" i="3"/>
  <c r="H13" i="5" s="1"/>
  <c r="F48" i="3"/>
  <c r="H25" i="5" s="1"/>
  <c r="F39" i="3"/>
  <c r="H16" i="5" s="1"/>
  <c r="F108" i="3"/>
  <c r="F46" i="3"/>
  <c r="H23" i="5" s="1"/>
  <c r="F68" i="3"/>
  <c r="H45" i="5" s="1"/>
  <c r="F126" i="3"/>
  <c r="F55" i="3"/>
  <c r="H32" i="5" s="1"/>
  <c r="F72" i="3"/>
  <c r="H49" i="5" s="1"/>
  <c r="F119" i="3"/>
  <c r="F118" i="3"/>
  <c r="F123" i="3"/>
  <c r="F116" i="3"/>
  <c r="F75" i="3"/>
  <c r="H52" i="5" s="1"/>
  <c r="F57" i="3"/>
  <c r="H34" i="5" s="1"/>
  <c r="F106" i="3"/>
  <c r="F86" i="3"/>
  <c r="F47" i="3"/>
  <c r="H24" i="5" s="1"/>
  <c r="F110" i="3"/>
  <c r="F59" i="3"/>
  <c r="H36" i="5" s="1"/>
  <c r="F103" i="3"/>
  <c r="F114" i="3"/>
  <c r="F79" i="3"/>
  <c r="F97" i="3"/>
  <c r="F50" i="3"/>
  <c r="H27" i="5" s="1"/>
  <c r="F105" i="3"/>
  <c r="F100" i="3"/>
  <c r="F60" i="3"/>
  <c r="H37" i="5" s="1"/>
  <c r="AG301" i="16" s="1"/>
  <c r="F30" i="3"/>
  <c r="H7" i="5" s="1"/>
  <c r="F76" i="3"/>
  <c r="H53" i="5" s="1"/>
  <c r="F35" i="3"/>
  <c r="H12" i="5" s="1"/>
  <c r="F96" i="3"/>
  <c r="F80" i="3"/>
  <c r="F54" i="3"/>
  <c r="H31" i="5" s="1"/>
  <c r="AG286" i="16" s="1"/>
  <c r="F43" i="3"/>
  <c r="H20" i="5" s="1"/>
  <c r="F64" i="3"/>
  <c r="H41" i="5" s="1"/>
  <c r="F71" i="3"/>
  <c r="H48" i="5" s="1"/>
  <c r="F58" i="3"/>
  <c r="H35" i="5" s="1"/>
  <c r="F40" i="3"/>
  <c r="H17" i="5" s="1"/>
  <c r="F67" i="3"/>
  <c r="H44" i="5" s="1"/>
  <c r="F101" i="3"/>
  <c r="F99" i="10"/>
  <c r="F208" i="14"/>
  <c r="F9" i="10"/>
  <c r="F136" i="14"/>
  <c r="F172" i="14"/>
  <c r="F39" i="10"/>
  <c r="F102" i="10"/>
  <c r="F191" i="14"/>
  <c r="F42" i="10"/>
  <c r="F155" i="14"/>
  <c r="B78" i="14"/>
  <c r="B77" i="10"/>
  <c r="C185" i="10"/>
  <c r="C158" i="10"/>
  <c r="F87" i="10"/>
  <c r="F103" i="14"/>
  <c r="F27" i="10"/>
  <c r="F139" i="14"/>
  <c r="B16" i="10"/>
  <c r="B143" i="14"/>
  <c r="B173" i="14"/>
  <c r="B45" i="10"/>
  <c r="C112" i="14"/>
  <c r="C5" i="10"/>
  <c r="C78" i="14"/>
  <c r="E107" i="14"/>
  <c r="E76" i="10"/>
  <c r="E44" i="10"/>
  <c r="E167" i="14"/>
  <c r="E20" i="10"/>
  <c r="E132" i="14"/>
  <c r="E204" i="14"/>
  <c r="E110" i="10"/>
  <c r="F220" i="10"/>
  <c r="F358" i="14"/>
  <c r="C15" i="10"/>
  <c r="E37" i="10"/>
  <c r="E160" i="14"/>
  <c r="F15" i="8"/>
  <c r="E14" i="8"/>
  <c r="F118" i="14"/>
  <c r="F6" i="10"/>
  <c r="F40" i="10"/>
  <c r="F178" i="14"/>
  <c r="F193" i="14"/>
  <c r="F114" i="10"/>
  <c r="E220" i="10"/>
  <c r="E358" i="14"/>
  <c r="C178" i="14"/>
  <c r="E131" i="14"/>
  <c r="E14" i="10"/>
  <c r="F286" i="14"/>
  <c r="F130" i="10"/>
  <c r="F10" i="10"/>
  <c r="F142" i="14"/>
  <c r="F107" i="14"/>
  <c r="F76" i="10"/>
  <c r="F143" i="14"/>
  <c r="F16" i="10"/>
  <c r="F105" i="10"/>
  <c r="F209" i="14"/>
  <c r="F106" i="10"/>
  <c r="F215" i="14"/>
  <c r="F137" i="14"/>
  <c r="F15" i="10"/>
  <c r="F144" i="14"/>
  <c r="F22" i="10"/>
  <c r="F112" i="10"/>
  <c r="F216" i="14"/>
  <c r="F48" i="10"/>
  <c r="F156" i="14"/>
  <c r="F84" i="14"/>
  <c r="F78" i="10"/>
  <c r="F102" i="14"/>
  <c r="F81" i="10"/>
  <c r="F145" i="14"/>
  <c r="F28" i="10"/>
  <c r="F54" i="10"/>
  <c r="F157" i="14"/>
  <c r="F217" i="14"/>
  <c r="F118" i="10"/>
  <c r="E190" i="10"/>
  <c r="E250" i="14"/>
  <c r="E187" i="10"/>
  <c r="E232" i="14"/>
  <c r="B14" i="10"/>
  <c r="B131" i="14"/>
  <c r="B41" i="10"/>
  <c r="B149" i="14"/>
  <c r="C111" i="10"/>
  <c r="C210" i="14"/>
  <c r="E106" i="10"/>
  <c r="E215" i="14"/>
  <c r="E95" i="14"/>
  <c r="E74" i="10"/>
  <c r="E50" i="10"/>
  <c r="E168" i="14"/>
  <c r="E80" i="10"/>
  <c r="E96" i="14"/>
  <c r="E108" i="14"/>
  <c r="E82" i="10"/>
  <c r="F190" i="10"/>
  <c r="F250" i="14"/>
  <c r="F280" i="14"/>
  <c r="F129" i="10"/>
  <c r="F160" i="10"/>
  <c r="F322" i="14"/>
  <c r="E8" i="10"/>
  <c r="E130" i="14"/>
  <c r="E100" i="10"/>
  <c r="E214" i="14"/>
  <c r="E94" i="14"/>
  <c r="E68" i="10"/>
  <c r="F190" i="14"/>
  <c r="F96" i="10"/>
  <c r="C280" i="14"/>
  <c r="F88" i="10"/>
  <c r="F109" i="14"/>
  <c r="F84" i="10"/>
  <c r="F85" i="14"/>
  <c r="E274" i="14"/>
  <c r="E128" i="10"/>
  <c r="E268" i="14"/>
  <c r="E127" i="10"/>
  <c r="E82" i="9"/>
  <c r="E238" i="14"/>
  <c r="E188" i="10"/>
  <c r="B71" i="10"/>
  <c r="B77" i="14"/>
  <c r="F262" i="14"/>
  <c r="D82" i="9"/>
  <c r="D83" i="9" s="1"/>
  <c r="D84" i="9" s="1"/>
  <c r="D85" i="9" s="1"/>
  <c r="D86" i="9" s="1"/>
  <c r="D87" i="9" s="1"/>
  <c r="D88" i="9" s="1"/>
  <c r="D89" i="9" s="1"/>
  <c r="D90" i="9" s="1"/>
  <c r="D91" i="9" s="1"/>
  <c r="F126" i="10"/>
  <c r="E166" i="14"/>
  <c r="E38" i="10"/>
  <c r="E70" i="10"/>
  <c r="E106" i="14"/>
  <c r="F100" i="10"/>
  <c r="F214" i="14"/>
  <c r="F82" i="14"/>
  <c r="F66" i="10"/>
  <c r="F83" i="14"/>
  <c r="F72" i="10"/>
  <c r="F46" i="10"/>
  <c r="F179" i="14"/>
  <c r="F111" i="10"/>
  <c r="F210" i="14"/>
  <c r="F108" i="14"/>
  <c r="F82" i="10"/>
  <c r="F18" i="10"/>
  <c r="F120" i="14"/>
  <c r="F51" i="10"/>
  <c r="F174" i="14"/>
  <c r="F192" i="14"/>
  <c r="F108" i="10"/>
  <c r="F181" i="14"/>
  <c r="F58" i="10"/>
  <c r="F117" i="10"/>
  <c r="F211" i="14"/>
  <c r="E218" i="10"/>
  <c r="E346" i="14"/>
  <c r="E157" i="10"/>
  <c r="E304" i="14"/>
  <c r="B113" i="14"/>
  <c r="B11" i="10"/>
  <c r="B185" i="14"/>
  <c r="B101" i="10"/>
  <c r="E197" i="14"/>
  <c r="E103" i="10"/>
  <c r="E162" i="14"/>
  <c r="E49" i="10"/>
  <c r="E126" i="14"/>
  <c r="E19" i="10"/>
  <c r="F219" i="10"/>
  <c r="F352" i="14"/>
  <c r="F216" i="10"/>
  <c r="F334" i="14"/>
  <c r="F189" i="10"/>
  <c r="F244" i="14"/>
  <c r="E124" i="14"/>
  <c r="E7" i="10"/>
  <c r="F36" i="10"/>
  <c r="F154" i="14"/>
  <c r="F106" i="14"/>
  <c r="F70" i="10"/>
  <c r="F69" i="10"/>
  <c r="F100" i="14"/>
  <c r="F75" i="10"/>
  <c r="F101" i="14"/>
  <c r="F45" i="10"/>
  <c r="F173" i="14"/>
  <c r="F119" i="14"/>
  <c r="F12" i="10"/>
  <c r="F180" i="14"/>
  <c r="F52" i="10"/>
  <c r="F138" i="14"/>
  <c r="F21" i="10"/>
  <c r="B128" i="10"/>
  <c r="B274" i="14"/>
  <c r="F175" i="14"/>
  <c r="F57" i="10"/>
  <c r="F24" i="10"/>
  <c r="F121" i="14"/>
  <c r="E217" i="10"/>
  <c r="E340" i="14"/>
  <c r="E310" i="14"/>
  <c r="E158" i="10"/>
  <c r="C166" i="14"/>
  <c r="C136" i="14"/>
  <c r="C184" i="14"/>
  <c r="C95" i="10"/>
  <c r="C50" i="10"/>
  <c r="E73" i="10"/>
  <c r="E89" i="14"/>
  <c r="E13" i="10"/>
  <c r="E125" i="14"/>
  <c r="E43" i="10"/>
  <c r="E161" i="14"/>
  <c r="E104" i="10"/>
  <c r="E203" i="14"/>
  <c r="E112" i="10"/>
  <c r="E216" i="14"/>
  <c r="E109" i="10"/>
  <c r="E198" i="14"/>
  <c r="E79" i="10"/>
  <c r="E90" i="14"/>
  <c r="F186" i="10"/>
  <c r="F226" i="14"/>
  <c r="F159" i="10"/>
  <c r="F316" i="14"/>
  <c r="F156" i="10"/>
  <c r="C179" i="14"/>
  <c r="C46" i="10"/>
  <c r="E88" i="14"/>
  <c r="E67" i="10"/>
  <c r="E97" i="10"/>
  <c r="E196" i="14"/>
  <c r="E98" i="10"/>
  <c r="E202" i="14"/>
  <c r="Y154" i="16" l="1"/>
  <c r="W177" i="16"/>
  <c r="AT177" i="16" s="1"/>
  <c r="W172" i="16"/>
  <c r="AT172" i="16" s="1"/>
  <c r="W113" i="16"/>
  <c r="AT113" i="16" s="1"/>
  <c r="W178" i="16"/>
  <c r="AT178" i="16" s="1"/>
  <c r="W173" i="16"/>
  <c r="AT173" i="16" s="1"/>
  <c r="W168" i="16"/>
  <c r="AT168" i="16" s="1"/>
  <c r="W193" i="16"/>
  <c r="AT193" i="16" s="1"/>
  <c r="W183" i="16"/>
  <c r="Y204" i="16"/>
  <c r="AD195" i="16"/>
  <c r="AD285" i="16"/>
  <c r="AD290" i="16"/>
  <c r="AD305" i="16"/>
  <c r="AD295" i="16"/>
  <c r="AD300" i="16"/>
  <c r="J36" i="5"/>
  <c r="AD283" i="16"/>
  <c r="AD297" i="16"/>
  <c r="AD282" i="16"/>
  <c r="AD298" i="16"/>
  <c r="AG281" i="16"/>
  <c r="AG293" i="16"/>
  <c r="AG292" i="16"/>
  <c r="AG296" i="16"/>
  <c r="AG285" i="16"/>
  <c r="AG290" i="16"/>
  <c r="AG295" i="16"/>
  <c r="AG300" i="16"/>
  <c r="AG305" i="16"/>
  <c r="AG195" i="16"/>
  <c r="X177" i="16"/>
  <c r="AU177" i="16" s="1"/>
  <c r="V177" i="16"/>
  <c r="V172" i="16"/>
  <c r="V167" i="16"/>
  <c r="W179" i="16"/>
  <c r="AT179" i="16" s="1"/>
  <c r="W174" i="16"/>
  <c r="AT174" i="16" s="1"/>
  <c r="W169" i="16"/>
  <c r="AT169" i="16" s="1"/>
  <c r="W194" i="16"/>
  <c r="AT194" i="16" s="1"/>
  <c r="W184" i="16"/>
  <c r="AT184" i="16" s="1"/>
  <c r="AD24" i="16"/>
  <c r="AS24" i="16" s="1"/>
  <c r="BC24" i="16" s="1"/>
  <c r="Y264" i="16"/>
  <c r="Y279" i="16"/>
  <c r="AD10" i="16"/>
  <c r="AS10" i="16" s="1"/>
  <c r="BC10" i="16" s="1"/>
  <c r="AD267" i="16"/>
  <c r="AD252" i="16"/>
  <c r="AD185" i="16"/>
  <c r="AD275" i="16"/>
  <c r="AD260" i="16"/>
  <c r="AD150" i="16"/>
  <c r="C11" i="10"/>
  <c r="B142" i="14"/>
  <c r="X37" i="16"/>
  <c r="AN15" i="9"/>
  <c r="AV41" i="9"/>
  <c r="AQ30" i="9"/>
  <c r="AV26" i="9"/>
  <c r="AT11" i="9"/>
  <c r="X172" i="16" s="1"/>
  <c r="AU172" i="16" s="1"/>
  <c r="AT5" i="9"/>
  <c r="AQ64" i="9"/>
  <c r="AN73" i="9"/>
  <c r="V184" i="16"/>
  <c r="V179" i="16"/>
  <c r="V174" i="16"/>
  <c r="V169" i="16"/>
  <c r="V194" i="16"/>
  <c r="AS194" i="16" s="1"/>
  <c r="AN115" i="9"/>
  <c r="Y193" i="16"/>
  <c r="Y183" i="16"/>
  <c r="Y178" i="16"/>
  <c r="Y173" i="16"/>
  <c r="Y168" i="16"/>
  <c r="AN132" i="9"/>
  <c r="Y184" i="16"/>
  <c r="Y194" i="16"/>
  <c r="AV194" i="16" s="1"/>
  <c r="Y179" i="16"/>
  <c r="AD48" i="16"/>
  <c r="AD64" i="16"/>
  <c r="AD33" i="16"/>
  <c r="J15" i="5"/>
  <c r="W84" i="16"/>
  <c r="Y219" i="16"/>
  <c r="Y284" i="16"/>
  <c r="AV284" i="16" s="1"/>
  <c r="Y289" i="16"/>
  <c r="Y299" i="16"/>
  <c r="AN121" i="9"/>
  <c r="AD11" i="16"/>
  <c r="AS11" i="16" s="1"/>
  <c r="BC11" i="16" s="1"/>
  <c r="AD21" i="16"/>
  <c r="AD76" i="16"/>
  <c r="AD217" i="16"/>
  <c r="AD247" i="16"/>
  <c r="AD237" i="16"/>
  <c r="AD148" i="16"/>
  <c r="AD154" i="16"/>
  <c r="AD109" i="16"/>
  <c r="AD96" i="16"/>
  <c r="AD144" i="16"/>
  <c r="AD205" i="16"/>
  <c r="AD270" i="16"/>
  <c r="AD180" i="16"/>
  <c r="AD220" i="16"/>
  <c r="AD280" i="16"/>
  <c r="AD135" i="16"/>
  <c r="AD175" i="16"/>
  <c r="J37" i="5"/>
  <c r="AD301" i="16"/>
  <c r="AD152" i="16"/>
  <c r="AD184" i="16"/>
  <c r="AD194" i="16"/>
  <c r="AD179" i="16"/>
  <c r="AS179" i="16" s="1"/>
  <c r="AD174" i="16"/>
  <c r="AS174" i="16" s="1"/>
  <c r="AD169" i="16"/>
  <c r="V181" i="16"/>
  <c r="AT183" i="16"/>
  <c r="Y181" i="16"/>
  <c r="AG184" i="16"/>
  <c r="AG179" i="16"/>
  <c r="AG174" i="16"/>
  <c r="AG169" i="16"/>
  <c r="AG194" i="16"/>
  <c r="AG288" i="16"/>
  <c r="AG287" i="16"/>
  <c r="AG291" i="16"/>
  <c r="AG304" i="16"/>
  <c r="AV304" i="16" s="1"/>
  <c r="AG177" i="16"/>
  <c r="AG172" i="16"/>
  <c r="AG167" i="16"/>
  <c r="AG176" i="16"/>
  <c r="AV176" i="16" s="1"/>
  <c r="AG178" i="16"/>
  <c r="AG173" i="16"/>
  <c r="AG168" i="16"/>
  <c r="V193" i="16"/>
  <c r="V183" i="16"/>
  <c r="V178" i="16"/>
  <c r="AS178" i="16" s="1"/>
  <c r="V173" i="16"/>
  <c r="V168" i="16"/>
  <c r="J35" i="5"/>
  <c r="AD281" i="16"/>
  <c r="AD293" i="16"/>
  <c r="AD292" i="16"/>
  <c r="AD296" i="16"/>
  <c r="AG193" i="16"/>
  <c r="AG191" i="16"/>
  <c r="AV191" i="16" s="1"/>
  <c r="AG183" i="16"/>
  <c r="AG182" i="16"/>
  <c r="AG192" i="16"/>
  <c r="AG181" i="16"/>
  <c r="AV181" i="16" s="1"/>
  <c r="AG171" i="16"/>
  <c r="AV171" i="16" s="1"/>
  <c r="AG166" i="16"/>
  <c r="AG303" i="16"/>
  <c r="AG302" i="16"/>
  <c r="W59" i="16"/>
  <c r="AT13" i="9"/>
  <c r="AD23" i="16"/>
  <c r="Y259" i="16"/>
  <c r="Y269" i="16"/>
  <c r="AD12" i="16"/>
  <c r="AS12" i="16" s="1"/>
  <c r="AD242" i="16"/>
  <c r="AD243" i="16"/>
  <c r="AD257" i="16"/>
  <c r="AD250" i="16"/>
  <c r="AD210" i="16"/>
  <c r="AD130" i="16"/>
  <c r="AD143" i="16"/>
  <c r="AD193" i="16"/>
  <c r="AD191" i="16"/>
  <c r="AS191" i="16" s="1"/>
  <c r="AD183" i="16"/>
  <c r="AD182" i="16"/>
  <c r="AD192" i="16"/>
  <c r="AD181" i="16"/>
  <c r="AS181" i="16" s="1"/>
  <c r="J38" i="5"/>
  <c r="AD302" i="16"/>
  <c r="AD303" i="16"/>
  <c r="B17" i="10"/>
  <c r="C208" i="14"/>
  <c r="AS62" i="16"/>
  <c r="B28" i="10"/>
  <c r="C9" i="10"/>
  <c r="C76" i="14"/>
  <c r="AG283" i="16"/>
  <c r="AG282" i="16"/>
  <c r="AG298" i="16"/>
  <c r="AG297" i="16"/>
  <c r="AG284" i="16"/>
  <c r="AG289" i="16"/>
  <c r="AG294" i="16"/>
  <c r="AG299" i="16"/>
  <c r="AV299" i="16" s="1"/>
  <c r="AS36" i="16"/>
  <c r="X54" i="16"/>
  <c r="X32" i="16"/>
  <c r="AU32" i="16" s="1"/>
  <c r="V182" i="16"/>
  <c r="AS182" i="16" s="1"/>
  <c r="V192" i="16"/>
  <c r="AS192" i="16" s="1"/>
  <c r="Y177" i="16"/>
  <c r="Y172" i="16"/>
  <c r="AV172" i="16" s="1"/>
  <c r="Y167" i="16"/>
  <c r="AV167" i="16" s="1"/>
  <c r="Y182" i="16"/>
  <c r="AV182" i="16" s="1"/>
  <c r="Y192" i="16"/>
  <c r="AQ32" i="9"/>
  <c r="AT78" i="9"/>
  <c r="AN75" i="9"/>
  <c r="V176" i="16"/>
  <c r="V171" i="16"/>
  <c r="AS171" i="16" s="1"/>
  <c r="V166" i="16"/>
  <c r="AN127" i="9"/>
  <c r="AD74" i="16"/>
  <c r="AD37" i="16"/>
  <c r="AV6" i="9"/>
  <c r="Y239" i="16"/>
  <c r="AN19" i="9"/>
  <c r="J6" i="5"/>
  <c r="AD13" i="16"/>
  <c r="AS13" i="16" s="1"/>
  <c r="AD60" i="16"/>
  <c r="AS60" i="16" s="1"/>
  <c r="AD81" i="16"/>
  <c r="AD116" i="16"/>
  <c r="AD258" i="16"/>
  <c r="AD186" i="16"/>
  <c r="AD216" i="16"/>
  <c r="AD268" i="16"/>
  <c r="AD63" i="16"/>
  <c r="AT6" i="9"/>
  <c r="AD156" i="16"/>
  <c r="AD164" i="16"/>
  <c r="AD121" i="16"/>
  <c r="AD234" i="16"/>
  <c r="AD215" i="16"/>
  <c r="AD235" i="16"/>
  <c r="AD190" i="16"/>
  <c r="AD225" i="16"/>
  <c r="AD90" i="16"/>
  <c r="AD140" i="16"/>
  <c r="AD245" i="16"/>
  <c r="J34" i="5"/>
  <c r="AD287" i="16"/>
  <c r="AD291" i="16"/>
  <c r="AD304" i="16"/>
  <c r="AD288" i="16"/>
  <c r="AD176" i="16"/>
  <c r="AD177" i="16"/>
  <c r="AS177" i="16" s="1"/>
  <c r="AD172" i="16"/>
  <c r="AD167" i="16"/>
  <c r="AD178" i="16"/>
  <c r="AD173" i="16"/>
  <c r="AD168" i="16"/>
  <c r="AD171" i="16"/>
  <c r="AD166" i="16"/>
  <c r="AV166" i="16"/>
  <c r="AT79" i="9"/>
  <c r="AN123" i="9"/>
  <c r="AT83" i="9"/>
  <c r="AD151" i="16"/>
  <c r="AD160" i="16"/>
  <c r="AD110" i="16"/>
  <c r="AD125" i="16"/>
  <c r="C71" i="10"/>
  <c r="C21" i="10"/>
  <c r="C322" i="14"/>
  <c r="B125" i="10"/>
  <c r="X21" i="16"/>
  <c r="X64" i="16"/>
  <c r="AU64" i="16" s="1"/>
  <c r="AT30" i="9"/>
  <c r="AV35" i="9"/>
  <c r="AT29" i="9"/>
  <c r="AT4" i="9"/>
  <c r="AT7" i="9"/>
  <c r="AT9" i="9"/>
  <c r="X167" i="16" s="1"/>
  <c r="AU167" i="16" s="1"/>
  <c r="AQ58" i="9"/>
  <c r="X216" i="16" s="1"/>
  <c r="AU216" i="16" s="1"/>
  <c r="AQ65" i="9"/>
  <c r="AQ84" i="9"/>
  <c r="AN70" i="9"/>
  <c r="X86" i="16" s="1"/>
  <c r="AU86" i="16" s="1"/>
  <c r="AN125" i="9"/>
  <c r="AN119" i="9"/>
  <c r="X124" i="16" s="1"/>
  <c r="AU124" i="16" s="1"/>
  <c r="AT180" i="9"/>
  <c r="AN135" i="9"/>
  <c r="W123" i="16"/>
  <c r="AT123" i="16" s="1"/>
  <c r="AT175" i="9"/>
  <c r="AD41" i="16"/>
  <c r="W53" i="16"/>
  <c r="AT53" i="16" s="1"/>
  <c r="AN129" i="9"/>
  <c r="X159" i="16" s="1"/>
  <c r="AU159" i="16" s="1"/>
  <c r="AD147" i="16"/>
  <c r="AD114" i="16"/>
  <c r="AD157" i="16"/>
  <c r="AD106" i="16"/>
  <c r="AD165" i="16"/>
  <c r="AD120" i="16"/>
  <c r="AD142" i="16"/>
  <c r="J8" i="5"/>
  <c r="AD20" i="16"/>
  <c r="AS20" i="16" s="1"/>
  <c r="BC20" i="16" s="1"/>
  <c r="AD19" i="16"/>
  <c r="AD18" i="16"/>
  <c r="AS18" i="16" s="1"/>
  <c r="BC18" i="16" s="1"/>
  <c r="AD66" i="16"/>
  <c r="AS66" i="16" s="1"/>
  <c r="AD59" i="16"/>
  <c r="AS59" i="16" s="1"/>
  <c r="C129" i="10"/>
  <c r="C41" i="10"/>
  <c r="C220" i="14"/>
  <c r="AS19" i="16"/>
  <c r="BC19" i="16" s="1"/>
  <c r="X45" i="16"/>
  <c r="AT26" i="9"/>
  <c r="AT28" i="9"/>
  <c r="AT8" i="9"/>
  <c r="AQ66" i="9"/>
  <c r="AN74" i="9"/>
  <c r="AT14" i="9"/>
  <c r="X192" i="16" s="1"/>
  <c r="AU192" i="16" s="1"/>
  <c r="AN131" i="9"/>
  <c r="AD45" i="16"/>
  <c r="AN126" i="9"/>
  <c r="AD146" i="16"/>
  <c r="AD105" i="16"/>
  <c r="AD115" i="16"/>
  <c r="AD53" i="16"/>
  <c r="AS53" i="16" s="1"/>
  <c r="AD72" i="16"/>
  <c r="AS72" i="16" s="1"/>
  <c r="AD39" i="16"/>
  <c r="AS39" i="16" s="1"/>
  <c r="AS63" i="16"/>
  <c r="AS46" i="16"/>
  <c r="AS76" i="16"/>
  <c r="AS25" i="16"/>
  <c r="BC25" i="16" s="1"/>
  <c r="AS22" i="16"/>
  <c r="BC22" i="16" s="1"/>
  <c r="C185" i="14"/>
  <c r="AG81" i="16"/>
  <c r="AV81" i="16" s="1"/>
  <c r="AG154" i="16"/>
  <c r="AG124" i="16"/>
  <c r="AG159" i="16"/>
  <c r="AV159" i="16" s="1"/>
  <c r="AG104" i="16"/>
  <c r="AV104" i="16" s="1"/>
  <c r="AG109" i="16"/>
  <c r="AG99" i="16"/>
  <c r="AG164" i="16"/>
  <c r="AG142" i="16"/>
  <c r="AG143" i="16"/>
  <c r="W42" i="16"/>
  <c r="AT42" i="16" s="1"/>
  <c r="W68" i="16"/>
  <c r="AN22" i="9"/>
  <c r="AN23" i="9"/>
  <c r="AV31" i="9"/>
  <c r="AV33" i="9"/>
  <c r="AV58" i="9"/>
  <c r="AQ68" i="9"/>
  <c r="AQ71" i="9"/>
  <c r="V114" i="16"/>
  <c r="V124" i="16"/>
  <c r="AS124" i="16" s="1"/>
  <c r="AN180" i="9"/>
  <c r="AN176" i="9"/>
  <c r="AV116" i="9"/>
  <c r="C209" i="14"/>
  <c r="B83" i="10"/>
  <c r="C44" i="10"/>
  <c r="B144" i="14"/>
  <c r="AG114" i="16"/>
  <c r="AG152" i="16"/>
  <c r="AG148" i="16"/>
  <c r="AG153" i="16"/>
  <c r="AG147" i="16"/>
  <c r="AG121" i="16"/>
  <c r="AG106" i="16"/>
  <c r="AG96" i="16"/>
  <c r="AV294" i="16"/>
  <c r="AV289" i="16"/>
  <c r="AG279" i="16"/>
  <c r="AV279" i="16" s="1"/>
  <c r="AG274" i="16"/>
  <c r="AV274" i="16" s="1"/>
  <c r="AG269" i="16"/>
  <c r="AV269" i="16" s="1"/>
  <c r="AG264" i="16"/>
  <c r="AV264" i="16" s="1"/>
  <c r="AG259" i="16"/>
  <c r="AG254" i="16"/>
  <c r="AV254" i="16" s="1"/>
  <c r="AG249" i="16"/>
  <c r="AV249" i="16" s="1"/>
  <c r="AG244" i="16"/>
  <c r="AG239" i="16"/>
  <c r="AV239" i="16" s="1"/>
  <c r="AG234" i="16"/>
  <c r="AG229" i="16"/>
  <c r="AG224" i="16"/>
  <c r="AG219" i="16"/>
  <c r="AG214" i="16"/>
  <c r="AG209" i="16"/>
  <c r="AG204" i="16"/>
  <c r="AG199" i="16"/>
  <c r="AG189" i="16"/>
  <c r="AV189" i="16" s="1"/>
  <c r="AG144" i="16"/>
  <c r="AV144" i="16" s="1"/>
  <c r="AG134" i="16"/>
  <c r="AV134" i="16" s="1"/>
  <c r="AG94" i="16"/>
  <c r="AG149" i="16"/>
  <c r="AV149" i="16" s="1"/>
  <c r="AG139" i="16"/>
  <c r="AV139" i="16" s="1"/>
  <c r="AG129" i="16"/>
  <c r="AG89" i="16"/>
  <c r="AV89" i="16" s="1"/>
  <c r="AG278" i="16"/>
  <c r="AG277" i="16"/>
  <c r="AG276" i="16"/>
  <c r="AG273" i="16"/>
  <c r="AG272" i="16"/>
  <c r="AG271" i="16"/>
  <c r="AG268" i="16"/>
  <c r="AG267" i="16"/>
  <c r="AG266" i="16"/>
  <c r="AG263" i="16"/>
  <c r="AG262" i="16"/>
  <c r="AG261" i="16"/>
  <c r="AG258" i="16"/>
  <c r="AG257" i="16"/>
  <c r="AG256" i="16"/>
  <c r="AG253" i="16"/>
  <c r="AG252" i="16"/>
  <c r="AG251" i="16"/>
  <c r="AG248" i="16"/>
  <c r="AG247" i="16"/>
  <c r="AG246" i="16"/>
  <c r="AG243" i="16"/>
  <c r="AG242" i="16"/>
  <c r="AG241" i="16"/>
  <c r="AG238" i="16"/>
  <c r="AG237" i="16"/>
  <c r="AG236" i="16"/>
  <c r="AG233" i="16"/>
  <c r="AG232" i="16"/>
  <c r="AG231" i="16"/>
  <c r="AG228" i="16"/>
  <c r="AG227" i="16"/>
  <c r="AG218" i="16"/>
  <c r="AG217" i="16"/>
  <c r="AG216" i="16"/>
  <c r="AG213" i="16"/>
  <c r="AG212" i="16"/>
  <c r="AG211" i="16"/>
  <c r="AG208" i="16"/>
  <c r="AG207" i="16"/>
  <c r="AG206" i="16"/>
  <c r="AG203" i="16"/>
  <c r="AG202" i="16"/>
  <c r="AG201" i="16"/>
  <c r="AG198" i="16"/>
  <c r="AG197" i="16"/>
  <c r="AG196" i="16"/>
  <c r="AG188" i="16"/>
  <c r="AG187" i="16"/>
  <c r="AG186" i="16"/>
  <c r="AG226" i="16"/>
  <c r="AG222" i="16"/>
  <c r="AG221" i="16"/>
  <c r="AG223" i="16"/>
  <c r="AG132" i="16"/>
  <c r="AG128" i="16"/>
  <c r="AG92" i="16"/>
  <c r="AG88" i="16"/>
  <c r="AG86" i="16"/>
  <c r="AG133" i="16"/>
  <c r="AG127" i="16"/>
  <c r="AG93" i="16"/>
  <c r="AG91" i="16"/>
  <c r="AG87" i="16"/>
  <c r="AG111" i="16"/>
  <c r="AV111" i="16" s="1"/>
  <c r="AG113" i="16"/>
  <c r="AG112" i="16"/>
  <c r="AG158" i="16"/>
  <c r="AG146" i="16"/>
  <c r="AG157" i="16"/>
  <c r="AG151" i="16"/>
  <c r="AS35" i="16"/>
  <c r="W15" i="16"/>
  <c r="AT15" i="16" s="1"/>
  <c r="BD15" i="16" s="1"/>
  <c r="X61" i="16"/>
  <c r="AU61" i="16" s="1"/>
  <c r="X62" i="16"/>
  <c r="AU62" i="16" s="1"/>
  <c r="AS82" i="16"/>
  <c r="AN14" i="9"/>
  <c r="AM30" i="9"/>
  <c r="AM40" i="9"/>
  <c r="Y122" i="16"/>
  <c r="Y112" i="16"/>
  <c r="AN17" i="9"/>
  <c r="AT18" i="9"/>
  <c r="AT19" i="9"/>
  <c r="AV28" i="9"/>
  <c r="AV30" i="9"/>
  <c r="AV25" i="9"/>
  <c r="AV134" i="9"/>
  <c r="AN59" i="9"/>
  <c r="AT15" i="9"/>
  <c r="X112" i="16" s="1"/>
  <c r="AU112" i="16" s="1"/>
  <c r="AQ70" i="9"/>
  <c r="AQ69" i="9"/>
  <c r="AM61" i="9"/>
  <c r="AM87" i="9"/>
  <c r="Y113" i="16"/>
  <c r="Y123" i="16"/>
  <c r="AT183" i="9"/>
  <c r="AN178" i="9"/>
  <c r="AN181" i="9"/>
  <c r="AM149" i="9"/>
  <c r="Y99" i="16"/>
  <c r="AG141" i="16"/>
  <c r="AG116" i="16"/>
  <c r="AG280" i="16"/>
  <c r="AG275" i="16"/>
  <c r="AG270" i="16"/>
  <c r="AG265" i="16"/>
  <c r="AG260" i="16"/>
  <c r="AG255" i="16"/>
  <c r="AG250" i="16"/>
  <c r="AG245" i="16"/>
  <c r="AG240" i="16"/>
  <c r="AG235" i="16"/>
  <c r="AG230" i="16"/>
  <c r="AG220" i="16"/>
  <c r="AG215" i="16"/>
  <c r="AG210" i="16"/>
  <c r="AG205" i="16"/>
  <c r="AG200" i="16"/>
  <c r="AG190" i="16"/>
  <c r="AG185" i="16"/>
  <c r="AG180" i="16"/>
  <c r="AG225" i="16"/>
  <c r="AG175" i="16"/>
  <c r="AG150" i="16"/>
  <c r="AG140" i="16"/>
  <c r="AG130" i="16"/>
  <c r="AG90" i="16"/>
  <c r="AG170" i="16"/>
  <c r="AG145" i="16"/>
  <c r="AG135" i="16"/>
  <c r="AG95" i="16"/>
  <c r="W114" i="16"/>
  <c r="AT114" i="16" s="1"/>
  <c r="AG122" i="16"/>
  <c r="AG123" i="16"/>
  <c r="AG161" i="16"/>
  <c r="AG163" i="16"/>
  <c r="AG156" i="16"/>
  <c r="AG138" i="16"/>
  <c r="AG136" i="16"/>
  <c r="AG126" i="16"/>
  <c r="AG119" i="16"/>
  <c r="AG108" i="16"/>
  <c r="AG102" i="16"/>
  <c r="AG98" i="16"/>
  <c r="AG162" i="16"/>
  <c r="AG137" i="16"/>
  <c r="AG131" i="16"/>
  <c r="AG107" i="16"/>
  <c r="AG103" i="16"/>
  <c r="AG101" i="16"/>
  <c r="AG97" i="16"/>
  <c r="AS77" i="16"/>
  <c r="C113" i="14"/>
  <c r="AG117" i="16"/>
  <c r="AG118" i="16"/>
  <c r="AS16" i="16"/>
  <c r="BC16" i="16" s="1"/>
  <c r="V112" i="16"/>
  <c r="AS112" i="16" s="1"/>
  <c r="V122" i="16"/>
  <c r="AS122" i="16" s="1"/>
  <c r="AN11" i="9"/>
  <c r="AQ42" i="9"/>
  <c r="V121" i="16"/>
  <c r="V111" i="16"/>
  <c r="AS111" i="16" s="1"/>
  <c r="AQ75" i="9"/>
  <c r="AM58" i="9"/>
  <c r="X114" i="16"/>
  <c r="AU114" i="16" s="1"/>
  <c r="AM197" i="9"/>
  <c r="AN175" i="9"/>
  <c r="V123" i="16"/>
  <c r="AS123" i="16" s="1"/>
  <c r="V113" i="16"/>
  <c r="AS113" i="16" s="1"/>
  <c r="Y121" i="16"/>
  <c r="B328" i="14"/>
  <c r="C167" i="14"/>
  <c r="C256" i="14"/>
  <c r="C101" i="10"/>
  <c r="B22" i="10"/>
  <c r="B187" i="14"/>
  <c r="C35" i="10"/>
  <c r="AG115" i="16"/>
  <c r="AG125" i="16"/>
  <c r="AG165" i="16"/>
  <c r="AG110" i="16"/>
  <c r="AG100" i="16"/>
  <c r="AG160" i="16"/>
  <c r="AG155" i="16"/>
  <c r="AG120" i="16"/>
  <c r="AG105" i="16"/>
  <c r="W61" i="16"/>
  <c r="AT61" i="16" s="1"/>
  <c r="AS40" i="16"/>
  <c r="AS78" i="16"/>
  <c r="X26" i="16"/>
  <c r="AN20" i="9"/>
  <c r="AM25" i="9"/>
  <c r="AN18" i="9"/>
  <c r="AM33" i="9"/>
  <c r="AV13" i="9"/>
  <c r="AT17" i="9"/>
  <c r="AV32" i="9"/>
  <c r="AV27" i="9"/>
  <c r="AQ37" i="9"/>
  <c r="AV135" i="9"/>
  <c r="AQ72" i="9"/>
  <c r="AQ76" i="9"/>
  <c r="AM60" i="9"/>
  <c r="AM200" i="9"/>
  <c r="AM84" i="9"/>
  <c r="AT179" i="9"/>
  <c r="AT181" i="9"/>
  <c r="AN184" i="9"/>
  <c r="AN183" i="9"/>
  <c r="AN62" i="9"/>
  <c r="B145" i="14"/>
  <c r="C77" i="14"/>
  <c r="C168" i="14"/>
  <c r="C38" i="10"/>
  <c r="B174" i="14"/>
  <c r="C105" i="10"/>
  <c r="C17" i="10"/>
  <c r="B113" i="10"/>
  <c r="C137" i="14"/>
  <c r="W30" i="16"/>
  <c r="AT30" i="16" s="1"/>
  <c r="W66" i="16"/>
  <c r="AT66" i="16" s="1"/>
  <c r="AS51" i="16"/>
  <c r="X33" i="16"/>
  <c r="AU33" i="16" s="1"/>
  <c r="X49" i="16"/>
  <c r="AU49" i="16" s="1"/>
  <c r="X69" i="16"/>
  <c r="X42" i="16"/>
  <c r="AU42" i="16" s="1"/>
  <c r="AS81" i="16"/>
  <c r="AN32" i="9"/>
  <c r="AM24" i="9"/>
  <c r="AN27" i="9"/>
  <c r="AM38" i="9"/>
  <c r="AN6" i="9"/>
  <c r="AV36" i="9"/>
  <c r="AV37" i="9"/>
  <c r="AT16" i="9"/>
  <c r="AT22" i="9"/>
  <c r="AQ39" i="9"/>
  <c r="AT87" i="9"/>
  <c r="AQ82" i="9"/>
  <c r="AQ62" i="9"/>
  <c r="AQ59" i="9"/>
  <c r="AQ87" i="9"/>
  <c r="AV63" i="9"/>
  <c r="AT84" i="9"/>
  <c r="AN72" i="9"/>
  <c r="AN68" i="9"/>
  <c r="AN58" i="9"/>
  <c r="AT20" i="9"/>
  <c r="AM64" i="9"/>
  <c r="AN130" i="9"/>
  <c r="AM195" i="9"/>
  <c r="AN120" i="9"/>
  <c r="AN114" i="9"/>
  <c r="AT178" i="9"/>
  <c r="AN137" i="9"/>
  <c r="AT166" i="9"/>
  <c r="AT184" i="9"/>
  <c r="AN124" i="9"/>
  <c r="AN128" i="9"/>
  <c r="B133" i="14"/>
  <c r="B114" i="14"/>
  <c r="B215" i="10"/>
  <c r="C65" i="10"/>
  <c r="C149" i="14"/>
  <c r="C77" i="10"/>
  <c r="AS52" i="16"/>
  <c r="W46" i="16"/>
  <c r="AT46" i="16" s="1"/>
  <c r="AS42" i="16"/>
  <c r="AS61" i="16"/>
  <c r="AS44" i="16"/>
  <c r="AS17" i="16"/>
  <c r="BC17" i="16" s="1"/>
  <c r="X41" i="16"/>
  <c r="X59" i="16"/>
  <c r="AU59" i="16" s="1"/>
  <c r="X79" i="16"/>
  <c r="AU79" i="16" s="1"/>
  <c r="X15" i="16"/>
  <c r="AU15" i="16" s="1"/>
  <c r="BE15" i="16" s="1"/>
  <c r="X43" i="16"/>
  <c r="AU43" i="16" s="1"/>
  <c r="X84" i="16"/>
  <c r="AU84" i="16" s="1"/>
  <c r="AM29" i="9"/>
  <c r="AM27" i="9"/>
  <c r="AM34" i="9"/>
  <c r="AM37" i="9"/>
  <c r="AM32" i="9"/>
  <c r="AM26" i="9"/>
  <c r="AV42" i="9"/>
  <c r="AQ34" i="9"/>
  <c r="AQ81" i="9"/>
  <c r="AQ63" i="9"/>
  <c r="AQ60" i="9"/>
  <c r="AQ85" i="9"/>
  <c r="AV113" i="9"/>
  <c r="Y94" i="16" s="1"/>
  <c r="AV120" i="9"/>
  <c r="AQ80" i="9"/>
  <c r="AN76" i="9"/>
  <c r="AN69" i="9"/>
  <c r="AM191" i="9"/>
  <c r="AM67" i="9"/>
  <c r="AM204" i="9"/>
  <c r="AN116" i="9"/>
  <c r="AN117" i="9"/>
  <c r="AT177" i="9"/>
  <c r="AN134" i="9"/>
  <c r="AN113" i="9"/>
  <c r="AM65" i="9"/>
  <c r="AS69" i="16"/>
  <c r="AS15" i="16"/>
  <c r="BC15" i="16" s="1"/>
  <c r="AT89" i="9"/>
  <c r="AT173" i="9"/>
  <c r="AM142" i="9"/>
  <c r="B35" i="10"/>
  <c r="B159" i="10"/>
  <c r="W18" i="16"/>
  <c r="AT18" i="16" s="1"/>
  <c r="BD18" i="16" s="1"/>
  <c r="W34" i="16"/>
  <c r="AT34" i="16" s="1"/>
  <c r="W51" i="16"/>
  <c r="AT51" i="16" s="1"/>
  <c r="W71" i="16"/>
  <c r="AT71" i="16" s="1"/>
  <c r="W81" i="16"/>
  <c r="AT81" i="16" s="1"/>
  <c r="AS29" i="16"/>
  <c r="AS83" i="16"/>
  <c r="AN28" i="9"/>
  <c r="AV43" i="9"/>
  <c r="AV38" i="9"/>
  <c r="AQ26" i="9"/>
  <c r="AT90" i="9"/>
  <c r="AM62" i="9"/>
  <c r="AM59" i="9"/>
  <c r="AM147" i="9"/>
  <c r="AN167" i="9"/>
  <c r="AN141" i="9"/>
  <c r="AN133" i="9"/>
  <c r="AN186" i="9"/>
  <c r="AT168" i="9"/>
  <c r="AM151" i="9"/>
  <c r="AM146" i="9"/>
  <c r="C138" i="14"/>
  <c r="B47" i="10"/>
  <c r="B79" i="14"/>
  <c r="C52" i="10"/>
  <c r="B155" i="10"/>
  <c r="B20" i="10"/>
  <c r="AS43" i="16"/>
  <c r="W22" i="16"/>
  <c r="AT22" i="16" s="1"/>
  <c r="BD22" i="16" s="1"/>
  <c r="W38" i="16"/>
  <c r="W56" i="16"/>
  <c r="AT56" i="16" s="1"/>
  <c r="W76" i="16"/>
  <c r="AT76" i="16" s="1"/>
  <c r="AS21" i="16"/>
  <c r="BC21" i="16" s="1"/>
  <c r="AV39" i="9"/>
  <c r="AV11" i="9"/>
  <c r="AT24" i="9"/>
  <c r="AQ29" i="9"/>
  <c r="AT32" i="9"/>
  <c r="AV84" i="9"/>
  <c r="AM143" i="9"/>
  <c r="AM88" i="9"/>
  <c r="AM185" i="9"/>
  <c r="AM63" i="9"/>
  <c r="AM66" i="9"/>
  <c r="AM144" i="9"/>
  <c r="AN112" i="9"/>
  <c r="AN118" i="9"/>
  <c r="X299" i="16" s="1"/>
  <c r="AU299" i="16" s="1"/>
  <c r="AN169" i="9"/>
  <c r="AM83" i="9"/>
  <c r="AV83" i="9"/>
  <c r="AV141" i="9"/>
  <c r="AN139" i="9"/>
  <c r="AM150" i="9"/>
  <c r="C150" i="14"/>
  <c r="X68" i="16"/>
  <c r="AU68" i="16" s="1"/>
  <c r="AQ31" i="9"/>
  <c r="AT92" i="9"/>
  <c r="AM145" i="9"/>
  <c r="B151" i="14"/>
  <c r="B130" i="10"/>
  <c r="B107" i="10"/>
  <c r="C352" i="14"/>
  <c r="B175" i="14"/>
  <c r="X35" i="16"/>
  <c r="AU35" i="16" s="1"/>
  <c r="X72" i="16"/>
  <c r="AU72" i="16" s="1"/>
  <c r="AN12" i="9"/>
  <c r="AN30" i="9"/>
  <c r="AV12" i="9"/>
  <c r="AV5" i="9"/>
  <c r="AT85" i="9"/>
  <c r="AT95" i="9"/>
  <c r="AT80" i="9"/>
  <c r="AN79" i="9"/>
  <c r="AV80" i="9"/>
  <c r="AM90" i="9"/>
  <c r="AM89" i="9"/>
  <c r="AM193" i="9"/>
  <c r="AN170" i="9"/>
  <c r="AN185" i="9"/>
  <c r="AT174" i="9"/>
  <c r="AT86" i="9"/>
  <c r="B51" i="10"/>
  <c r="C125" i="10"/>
  <c r="AS26" i="16"/>
  <c r="X48" i="16"/>
  <c r="AU48" i="16" s="1"/>
  <c r="X52" i="16"/>
  <c r="AU52" i="16" s="1"/>
  <c r="AN8" i="9"/>
  <c r="AN7" i="9"/>
  <c r="AV10" i="9"/>
  <c r="AV132" i="9"/>
  <c r="AV138" i="9"/>
  <c r="AT82" i="9"/>
  <c r="AN83" i="9"/>
  <c r="X281" i="16" s="1"/>
  <c r="AU281" i="16" s="1"/>
  <c r="AM96" i="9"/>
  <c r="AM189" i="9"/>
  <c r="AT93" i="9"/>
  <c r="AM115" i="9"/>
  <c r="AT88" i="9"/>
  <c r="AV133" i="9"/>
  <c r="AN190" i="9"/>
  <c r="AG84" i="16"/>
  <c r="AV84" i="16" s="1"/>
  <c r="AG82" i="16"/>
  <c r="AV82" i="16" s="1"/>
  <c r="AG83" i="16"/>
  <c r="AV83" i="16" s="1"/>
  <c r="V302" i="16"/>
  <c r="V282" i="16"/>
  <c r="AS282" i="16" s="1"/>
  <c r="V262" i="16"/>
  <c r="AS262" i="16" s="1"/>
  <c r="V297" i="16"/>
  <c r="AS297" i="16" s="1"/>
  <c r="V277" i="16"/>
  <c r="AS277" i="16" s="1"/>
  <c r="V292" i="16"/>
  <c r="AS292" i="16" s="1"/>
  <c r="V272" i="16"/>
  <c r="AS272" i="16" s="1"/>
  <c r="V257" i="16"/>
  <c r="V287" i="16"/>
  <c r="AS287" i="16" s="1"/>
  <c r="V267" i="16"/>
  <c r="AS267" i="16" s="1"/>
  <c r="V252" i="16"/>
  <c r="AS252" i="16" s="1"/>
  <c r="V237" i="16"/>
  <c r="AS237" i="16" s="1"/>
  <c r="V247" i="16"/>
  <c r="V242" i="16"/>
  <c r="AS242" i="16" s="1"/>
  <c r="V227" i="16"/>
  <c r="AS227" i="16" s="1"/>
  <c r="V217" i="16"/>
  <c r="V212" i="16"/>
  <c r="AS212" i="16" s="1"/>
  <c r="V152" i="16"/>
  <c r="AS152" i="16" s="1"/>
  <c r="V222" i="16"/>
  <c r="AS222" i="16" s="1"/>
  <c r="V202" i="16"/>
  <c r="AS202" i="16" s="1"/>
  <c r="V187" i="16"/>
  <c r="AS187" i="16" s="1"/>
  <c r="V147" i="16"/>
  <c r="V127" i="16"/>
  <c r="AS127" i="16" s="1"/>
  <c r="V157" i="16"/>
  <c r="V107" i="16"/>
  <c r="AS107" i="16" s="1"/>
  <c r="V207" i="16"/>
  <c r="AS207" i="16" s="1"/>
  <c r="V197" i="16"/>
  <c r="AS197" i="16" s="1"/>
  <c r="V137" i="16"/>
  <c r="AS137" i="16" s="1"/>
  <c r="V117" i="16"/>
  <c r="AS117" i="16" s="1"/>
  <c r="V97" i="16"/>
  <c r="AS97" i="16" s="1"/>
  <c r="V102" i="16"/>
  <c r="AS102" i="16" s="1"/>
  <c r="V162" i="16"/>
  <c r="AS162" i="16" s="1"/>
  <c r="V142" i="16"/>
  <c r="AS142" i="16" s="1"/>
  <c r="V132" i="16"/>
  <c r="AS132" i="16" s="1"/>
  <c r="V92" i="16"/>
  <c r="AS92" i="16" s="1"/>
  <c r="V87" i="16"/>
  <c r="AS87" i="16" s="1"/>
  <c r="V232" i="16"/>
  <c r="AS232" i="16" s="1"/>
  <c r="Y287" i="16"/>
  <c r="Y267" i="16"/>
  <c r="Y302" i="16"/>
  <c r="Y282" i="16"/>
  <c r="Y262" i="16"/>
  <c r="Y257" i="16"/>
  <c r="Y242" i="16"/>
  <c r="Y237" i="16"/>
  <c r="Y232" i="16"/>
  <c r="Y222" i="16"/>
  <c r="Y292" i="16"/>
  <c r="Y272" i="16"/>
  <c r="Y202" i="16"/>
  <c r="Y247" i="16"/>
  <c r="Y197" i="16"/>
  <c r="Y157" i="16"/>
  <c r="Y252" i="16"/>
  <c r="Y207" i="16"/>
  <c r="Y152" i="16"/>
  <c r="Y132" i="16"/>
  <c r="Y297" i="16"/>
  <c r="Y137" i="16"/>
  <c r="Y92" i="16"/>
  <c r="Y217" i="16"/>
  <c r="Y162" i="16"/>
  <c r="Y142" i="16"/>
  <c r="Y127" i="16"/>
  <c r="Y102" i="16"/>
  <c r="Y87" i="16"/>
  <c r="Y277" i="16"/>
  <c r="Y212" i="16"/>
  <c r="Y147" i="16"/>
  <c r="Y117" i="16"/>
  <c r="Y97" i="16"/>
  <c r="Y227" i="16"/>
  <c r="Y187" i="16"/>
  <c r="Y107" i="16"/>
  <c r="V286" i="16"/>
  <c r="AS286" i="16" s="1"/>
  <c r="V266" i="16"/>
  <c r="AS266" i="16" s="1"/>
  <c r="V301" i="16"/>
  <c r="AS301" i="16" s="1"/>
  <c r="V281" i="16"/>
  <c r="AS281" i="16" s="1"/>
  <c r="V296" i="16"/>
  <c r="V276" i="16"/>
  <c r="AS276" i="16" s="1"/>
  <c r="V246" i="16"/>
  <c r="AS246" i="16" s="1"/>
  <c r="V291" i="16"/>
  <c r="AS291" i="16" s="1"/>
  <c r="V271" i="16"/>
  <c r="AS271" i="16" s="1"/>
  <c r="V256" i="16"/>
  <c r="AS256" i="16" s="1"/>
  <c r="V241" i="16"/>
  <c r="AS241" i="16" s="1"/>
  <c r="V261" i="16"/>
  <c r="AS261" i="16" s="1"/>
  <c r="V251" i="16"/>
  <c r="AS251" i="16" s="1"/>
  <c r="V221" i="16"/>
  <c r="AS221" i="16" s="1"/>
  <c r="V236" i="16"/>
  <c r="AS236" i="16" s="1"/>
  <c r="V231" i="16"/>
  <c r="AS231" i="16" s="1"/>
  <c r="V211" i="16"/>
  <c r="AS211" i="16" s="1"/>
  <c r="V201" i="16"/>
  <c r="AS201" i="16" s="1"/>
  <c r="V196" i="16"/>
  <c r="AS196" i="16" s="1"/>
  <c r="V156" i="16"/>
  <c r="AS156" i="16" s="1"/>
  <c r="V226" i="16"/>
  <c r="AS226" i="16" s="1"/>
  <c r="V216" i="16"/>
  <c r="V151" i="16"/>
  <c r="V131" i="16"/>
  <c r="AS131" i="16" s="1"/>
  <c r="V161" i="16"/>
  <c r="AS161" i="16" s="1"/>
  <c r="V141" i="16"/>
  <c r="AS141" i="16" s="1"/>
  <c r="V91" i="16"/>
  <c r="AS91" i="16" s="1"/>
  <c r="V101" i="16"/>
  <c r="AS101" i="16" s="1"/>
  <c r="V136" i="16"/>
  <c r="AS136" i="16" s="1"/>
  <c r="V106" i="16"/>
  <c r="V86" i="16"/>
  <c r="AS86" i="16" s="1"/>
  <c r="V186" i="16"/>
  <c r="AS186" i="16" s="1"/>
  <c r="V126" i="16"/>
  <c r="AS126" i="16" s="1"/>
  <c r="V116" i="16"/>
  <c r="V96" i="16"/>
  <c r="AS96" i="16" s="1"/>
  <c r="V206" i="16"/>
  <c r="AS206" i="16" s="1"/>
  <c r="V146" i="16"/>
  <c r="C180" i="14"/>
  <c r="B82" i="9"/>
  <c r="C82" i="9"/>
  <c r="C83" i="9" s="1"/>
  <c r="C84" i="9" s="1"/>
  <c r="C85" i="9" s="1"/>
  <c r="C86" i="9" s="1"/>
  <c r="C87" i="9" s="1"/>
  <c r="C88" i="9" s="1"/>
  <c r="C89" i="9" s="1"/>
  <c r="C90" i="9" s="1"/>
  <c r="C91" i="9" s="1"/>
  <c r="C114" i="14"/>
  <c r="B57" i="10"/>
  <c r="AG85" i="16"/>
  <c r="W41" i="16"/>
  <c r="AT41" i="16" s="1"/>
  <c r="X28" i="16"/>
  <c r="AU28" i="16" s="1"/>
  <c r="X63" i="16"/>
  <c r="AU63" i="16" s="1"/>
  <c r="X39" i="16"/>
  <c r="AU39" i="16" s="1"/>
  <c r="X57" i="16"/>
  <c r="AU57" i="16" s="1"/>
  <c r="X77" i="16"/>
  <c r="AN33" i="9"/>
  <c r="AN26" i="9"/>
  <c r="AN31" i="9"/>
  <c r="AN10" i="9"/>
  <c r="AN13" i="9"/>
  <c r="AN5" i="9"/>
  <c r="AV4" i="9"/>
  <c r="AV7" i="9"/>
  <c r="AV9" i="9"/>
  <c r="AQ24" i="9"/>
  <c r="AQ25" i="9"/>
  <c r="AV139" i="9"/>
  <c r="AT97" i="9"/>
  <c r="AV137" i="9"/>
  <c r="AV81" i="9"/>
  <c r="AT96" i="9"/>
  <c r="AV82" i="9"/>
  <c r="AT94" i="9"/>
  <c r="X296" i="16"/>
  <c r="AU296" i="16" s="1"/>
  <c r="X276" i="16"/>
  <c r="AU276" i="16" s="1"/>
  <c r="X261" i="16"/>
  <c r="AU261" i="16" s="1"/>
  <c r="X291" i="16"/>
  <c r="AU291" i="16" s="1"/>
  <c r="X271" i="16"/>
  <c r="AU271" i="16" s="1"/>
  <c r="X286" i="16"/>
  <c r="AU286" i="16" s="1"/>
  <c r="X266" i="16"/>
  <c r="AU266" i="16" s="1"/>
  <c r="X301" i="16"/>
  <c r="AU301" i="16" s="1"/>
  <c r="X226" i="16"/>
  <c r="AU226" i="16" s="1"/>
  <c r="X186" i="16"/>
  <c r="AU186" i="16" s="1"/>
  <c r="X146" i="16"/>
  <c r="AU146" i="16" s="1"/>
  <c r="X221" i="16"/>
  <c r="AU221" i="16" s="1"/>
  <c r="X206" i="16"/>
  <c r="AU206" i="16" s="1"/>
  <c r="X156" i="16"/>
  <c r="AU156" i="16" s="1"/>
  <c r="X256" i="16"/>
  <c r="AU256" i="16" s="1"/>
  <c r="X196" i="16"/>
  <c r="AU196" i="16" s="1"/>
  <c r="X151" i="16"/>
  <c r="AU151" i="16" s="1"/>
  <c r="X201" i="16"/>
  <c r="AU201" i="16" s="1"/>
  <c r="X131" i="16"/>
  <c r="AU131" i="16" s="1"/>
  <c r="X136" i="16"/>
  <c r="AU136" i="16" s="1"/>
  <c r="AM95" i="9"/>
  <c r="AM92" i="9"/>
  <c r="AM93" i="9"/>
  <c r="AM190" i="9"/>
  <c r="AM186" i="9"/>
  <c r="AM192" i="9"/>
  <c r="X259" i="16"/>
  <c r="AU259" i="16" s="1"/>
  <c r="X234" i="16"/>
  <c r="AU234" i="16" s="1"/>
  <c r="X144" i="16"/>
  <c r="AU144" i="16" s="1"/>
  <c r="X104" i="16"/>
  <c r="AU104" i="16" s="1"/>
  <c r="AV86" i="9"/>
  <c r="AN172" i="9"/>
  <c r="AN165" i="9"/>
  <c r="AM79" i="9"/>
  <c r="AM82" i="9"/>
  <c r="AM81" i="9"/>
  <c r="Y303" i="16"/>
  <c r="Y283" i="16"/>
  <c r="Y263" i="16"/>
  <c r="Y298" i="16"/>
  <c r="Y278" i="16"/>
  <c r="Y293" i="16"/>
  <c r="Y273" i="16"/>
  <c r="Y258" i="16"/>
  <c r="Y288" i="16"/>
  <c r="Y268" i="16"/>
  <c r="Y253" i="16"/>
  <c r="Y238" i="16"/>
  <c r="Y248" i="16"/>
  <c r="Y228" i="16"/>
  <c r="Y218" i="16"/>
  <c r="Y198" i="16"/>
  <c r="Y153" i="16"/>
  <c r="Y223" i="16"/>
  <c r="Y208" i="16"/>
  <c r="Y188" i="16"/>
  <c r="Y148" i="16"/>
  <c r="Y128" i="16"/>
  <c r="Y243" i="16"/>
  <c r="Y233" i="16"/>
  <c r="Y158" i="16"/>
  <c r="Y138" i="16"/>
  <c r="Y108" i="16"/>
  <c r="Y213" i="16"/>
  <c r="Y118" i="16"/>
  <c r="Y98" i="16"/>
  <c r="Y103" i="16"/>
  <c r="Y203" i="16"/>
  <c r="Y133" i="16"/>
  <c r="Y93" i="16"/>
  <c r="Y163" i="16"/>
  <c r="Y143" i="16"/>
  <c r="Y88" i="16"/>
  <c r="AV85" i="9"/>
  <c r="AN187" i="9"/>
  <c r="AN191" i="9"/>
  <c r="AT167" i="9"/>
  <c r="AT172" i="9"/>
  <c r="AT62" i="9"/>
  <c r="V298" i="16"/>
  <c r="V278" i="16"/>
  <c r="AS278" i="16" s="1"/>
  <c r="V293" i="16"/>
  <c r="AS293" i="16" s="1"/>
  <c r="V273" i="16"/>
  <c r="AS273" i="16" s="1"/>
  <c r="V253" i="16"/>
  <c r="AS253" i="16" s="1"/>
  <c r="V248" i="16"/>
  <c r="AS248" i="16" s="1"/>
  <c r="V288" i="16"/>
  <c r="AS288" i="16" s="1"/>
  <c r="V268" i="16"/>
  <c r="V228" i="16"/>
  <c r="AS228" i="16" s="1"/>
  <c r="V218" i="16"/>
  <c r="AS218" i="16" s="1"/>
  <c r="V243" i="16"/>
  <c r="V208" i="16"/>
  <c r="AS208" i="16" s="1"/>
  <c r="V303" i="16"/>
  <c r="AS303" i="16" s="1"/>
  <c r="V283" i="16"/>
  <c r="AS283" i="16" s="1"/>
  <c r="V263" i="16"/>
  <c r="AS263" i="16" s="1"/>
  <c r="V238" i="16"/>
  <c r="AS238" i="16" s="1"/>
  <c r="V233" i="16"/>
  <c r="AS233" i="16" s="1"/>
  <c r="V213" i="16"/>
  <c r="AS213" i="16" s="1"/>
  <c r="V188" i="16"/>
  <c r="AS188" i="16" s="1"/>
  <c r="V148" i="16"/>
  <c r="AS148" i="16" s="1"/>
  <c r="V203" i="16"/>
  <c r="AS203" i="16" s="1"/>
  <c r="V163" i="16"/>
  <c r="AS163" i="16" s="1"/>
  <c r="V143" i="16"/>
  <c r="V223" i="16"/>
  <c r="AS223" i="16" s="1"/>
  <c r="V128" i="16"/>
  <c r="AS128" i="16" s="1"/>
  <c r="V103" i="16"/>
  <c r="AS103" i="16" s="1"/>
  <c r="V258" i="16"/>
  <c r="AS258" i="16" s="1"/>
  <c r="V153" i="16"/>
  <c r="AS153" i="16" s="1"/>
  <c r="V138" i="16"/>
  <c r="AS138" i="16" s="1"/>
  <c r="V93" i="16"/>
  <c r="AS93" i="16" s="1"/>
  <c r="V88" i="16"/>
  <c r="AS88" i="16" s="1"/>
  <c r="V158" i="16"/>
  <c r="AS158" i="16" s="1"/>
  <c r="V108" i="16"/>
  <c r="AS108" i="16" s="1"/>
  <c r="V198" i="16"/>
  <c r="AS198" i="16" s="1"/>
  <c r="V118" i="16"/>
  <c r="AS118" i="16" s="1"/>
  <c r="V98" i="16"/>
  <c r="AS98" i="16" s="1"/>
  <c r="V133" i="16"/>
  <c r="AS133" i="16" s="1"/>
  <c r="B53" i="10"/>
  <c r="B150" i="14"/>
  <c r="C107" i="10"/>
  <c r="B286" i="14"/>
  <c r="B186" i="14"/>
  <c r="B76" i="14"/>
  <c r="C219" i="10"/>
  <c r="B132" i="14"/>
  <c r="AU54" i="16"/>
  <c r="W79" i="16"/>
  <c r="AT79" i="16" s="1"/>
  <c r="X44" i="16"/>
  <c r="AU44" i="16" s="1"/>
  <c r="X31" i="16"/>
  <c r="AU31" i="16" s="1"/>
  <c r="X47" i="16"/>
  <c r="AU47" i="16" s="1"/>
  <c r="X67" i="16"/>
  <c r="AU67" i="16" s="1"/>
  <c r="X83" i="16"/>
  <c r="AU83" i="16" s="1"/>
  <c r="X82" i="16"/>
  <c r="AU82" i="16" s="1"/>
  <c r="AN4" i="9"/>
  <c r="AN24" i="9"/>
  <c r="AN25" i="9"/>
  <c r="AV8" i="9"/>
  <c r="W167" i="16" s="1"/>
  <c r="AT167" i="16" s="1"/>
  <c r="AQ27" i="9"/>
  <c r="AQ33" i="9"/>
  <c r="AV79" i="9"/>
  <c r="AN84" i="9"/>
  <c r="AV78" i="9"/>
  <c r="AV140" i="9"/>
  <c r="AV87" i="9"/>
  <c r="AM94" i="9"/>
  <c r="AM187" i="9"/>
  <c r="AM121" i="9"/>
  <c r="AN174" i="9"/>
  <c r="AM78" i="9"/>
  <c r="Y291" i="16"/>
  <c r="Y271" i="16"/>
  <c r="Y286" i="16"/>
  <c r="Y266" i="16"/>
  <c r="Y246" i="16"/>
  <c r="Y216" i="16"/>
  <c r="Y221" i="16"/>
  <c r="Y206" i="16"/>
  <c r="Y226" i="16"/>
  <c r="Y161" i="16"/>
  <c r="Y141" i="16"/>
  <c r="Y296" i="16"/>
  <c r="Y276" i="16"/>
  <c r="Y251" i="16"/>
  <c r="Y236" i="16"/>
  <c r="Y196" i="16"/>
  <c r="Y156" i="16"/>
  <c r="Y136" i="16"/>
  <c r="Y281" i="16"/>
  <c r="Y241" i="16"/>
  <c r="Y186" i="16"/>
  <c r="Y131" i="16"/>
  <c r="Y116" i="16"/>
  <c r="Y96" i="16"/>
  <c r="Y231" i="16"/>
  <c r="Y201" i="16"/>
  <c r="Y146" i="16"/>
  <c r="Y106" i="16"/>
  <c r="Y301" i="16"/>
  <c r="Y101" i="16"/>
  <c r="Y86" i="16"/>
  <c r="Y261" i="16"/>
  <c r="Y126" i="16"/>
  <c r="Y211" i="16"/>
  <c r="Y151" i="16"/>
  <c r="Y91" i="16"/>
  <c r="Y256" i="16"/>
  <c r="V294" i="16"/>
  <c r="AS294" i="16" s="1"/>
  <c r="V274" i="16"/>
  <c r="AS274" i="16" s="1"/>
  <c r="V289" i="16"/>
  <c r="AS289" i="16" s="1"/>
  <c r="V269" i="16"/>
  <c r="AS269" i="16" s="1"/>
  <c r="V249" i="16"/>
  <c r="AS249" i="16" s="1"/>
  <c r="V234" i="16"/>
  <c r="AS234" i="16" s="1"/>
  <c r="V304" i="16"/>
  <c r="AS304" i="16" s="1"/>
  <c r="V284" i="16"/>
  <c r="AS284" i="16" s="1"/>
  <c r="V264" i="16"/>
  <c r="AS264" i="16" s="1"/>
  <c r="V299" i="16"/>
  <c r="AS299" i="16" s="1"/>
  <c r="V279" i="16"/>
  <c r="AS279" i="16" s="1"/>
  <c r="V224" i="16"/>
  <c r="AS224" i="16" s="1"/>
  <c r="V214" i="16"/>
  <c r="AS214" i="16" s="1"/>
  <c r="V254" i="16"/>
  <c r="AS254" i="16" s="1"/>
  <c r="V239" i="16"/>
  <c r="AS239" i="16" s="1"/>
  <c r="V229" i="16"/>
  <c r="AS229" i="16" s="1"/>
  <c r="V164" i="16"/>
  <c r="V144" i="16"/>
  <c r="AS144" i="16" s="1"/>
  <c r="V159" i="16"/>
  <c r="AS159" i="16" s="1"/>
  <c r="V139" i="16"/>
  <c r="AS139" i="16" s="1"/>
  <c r="V259" i="16"/>
  <c r="AS259" i="16" s="1"/>
  <c r="V189" i="16"/>
  <c r="AS189" i="16" s="1"/>
  <c r="V134" i="16"/>
  <c r="AS134" i="16" s="1"/>
  <c r="V119" i="16"/>
  <c r="AS119" i="16" s="1"/>
  <c r="V99" i="16"/>
  <c r="AS99" i="16" s="1"/>
  <c r="V244" i="16"/>
  <c r="AS244" i="16" s="1"/>
  <c r="V209" i="16"/>
  <c r="AS209" i="16" s="1"/>
  <c r="V204" i="16"/>
  <c r="AS204" i="16" s="1"/>
  <c r="V149" i="16"/>
  <c r="AS149" i="16" s="1"/>
  <c r="V109" i="16"/>
  <c r="V129" i="16"/>
  <c r="AS129" i="16" s="1"/>
  <c r="V104" i="16"/>
  <c r="AS104" i="16" s="1"/>
  <c r="V219" i="16"/>
  <c r="AS219" i="16" s="1"/>
  <c r="V154" i="16"/>
  <c r="V94" i="16"/>
  <c r="AS94" i="16" s="1"/>
  <c r="V89" i="16"/>
  <c r="AS89" i="16" s="1"/>
  <c r="V199" i="16"/>
  <c r="AS199" i="16" s="1"/>
  <c r="AN188" i="9"/>
  <c r="AT169" i="9"/>
  <c r="AM112" i="9"/>
  <c r="AM170" i="9"/>
  <c r="AS23" i="16"/>
  <c r="BC23" i="16" s="1"/>
  <c r="AS54" i="16"/>
  <c r="AS48" i="16"/>
  <c r="AU26" i="16"/>
  <c r="AS34" i="16"/>
  <c r="AT59" i="16"/>
  <c r="AS37" i="16"/>
  <c r="AS84" i="16"/>
  <c r="AT26" i="16"/>
  <c r="AS49" i="16"/>
  <c r="AU41" i="16"/>
  <c r="AS45" i="16"/>
  <c r="AS64" i="16"/>
  <c r="AU37" i="16"/>
  <c r="AS33" i="16"/>
  <c r="AS74" i="16"/>
  <c r="AS32" i="16"/>
  <c r="AS68" i="16"/>
  <c r="AT84" i="16"/>
  <c r="AU74" i="16"/>
  <c r="AS38" i="16"/>
  <c r="AS56" i="16"/>
  <c r="AT68" i="16"/>
  <c r="AS79" i="16"/>
  <c r="AG78" i="16"/>
  <c r="AV78" i="16" s="1"/>
  <c r="AG77" i="16"/>
  <c r="AV77" i="16" s="1"/>
  <c r="AG60" i="16"/>
  <c r="AV60" i="16" s="1"/>
  <c r="AG55" i="16"/>
  <c r="AV55" i="16" s="1"/>
  <c r="AG25" i="16"/>
  <c r="AV25" i="16" s="1"/>
  <c r="BF25" i="16" s="1"/>
  <c r="AG40" i="16"/>
  <c r="AV40" i="16" s="1"/>
  <c r="AG42" i="16"/>
  <c r="AV42" i="16" s="1"/>
  <c r="AG61" i="16"/>
  <c r="AV61" i="16" s="1"/>
  <c r="AG51" i="16"/>
  <c r="AV51" i="16" s="1"/>
  <c r="AG46" i="16"/>
  <c r="AV46" i="16" s="1"/>
  <c r="AG36" i="16"/>
  <c r="AV36" i="16" s="1"/>
  <c r="AG39" i="16"/>
  <c r="AV39" i="16" s="1"/>
  <c r="AG35" i="16"/>
  <c r="AV35" i="16" s="1"/>
  <c r="AG73" i="16"/>
  <c r="AV73" i="16" s="1"/>
  <c r="AG63" i="16"/>
  <c r="AV63" i="16" s="1"/>
  <c r="AG53" i="16"/>
  <c r="AV53" i="16" s="1"/>
  <c r="AG62" i="16"/>
  <c r="AV62" i="16" s="1"/>
  <c r="AG72" i="16"/>
  <c r="AV72" i="16" s="1"/>
  <c r="AG52" i="16"/>
  <c r="AV52" i="16" s="1"/>
  <c r="X30" i="16"/>
  <c r="AU30" i="16" s="1"/>
  <c r="X66" i="16"/>
  <c r="AU66" i="16" s="1"/>
  <c r="W21" i="16"/>
  <c r="AT21" i="16" s="1"/>
  <c r="BD21" i="16" s="1"/>
  <c r="W64" i="16"/>
  <c r="AT64" i="16" s="1"/>
  <c r="X81" i="16"/>
  <c r="AU81" i="16" s="1"/>
  <c r="AV118" i="9"/>
  <c r="AV115" i="9"/>
  <c r="AV117" i="9"/>
  <c r="AN60" i="9"/>
  <c r="AN65" i="9"/>
  <c r="AM119" i="9"/>
  <c r="W124" i="16" s="1"/>
  <c r="AT124" i="16" s="1"/>
  <c r="AN86" i="9"/>
  <c r="AN85" i="9"/>
  <c r="AG70" i="16"/>
  <c r="AV70" i="16" s="1"/>
  <c r="AG65" i="16"/>
  <c r="AV65" i="16" s="1"/>
  <c r="AG50" i="16"/>
  <c r="AV50" i="16" s="1"/>
  <c r="AG29" i="16"/>
  <c r="AV29" i="16" s="1"/>
  <c r="AG22" i="16"/>
  <c r="AV22" i="16" s="1"/>
  <c r="BF22" i="16" s="1"/>
  <c r="AG76" i="16"/>
  <c r="AV76" i="16" s="1"/>
  <c r="AG58" i="16"/>
  <c r="AV58" i="16" s="1"/>
  <c r="AG57" i="16"/>
  <c r="AV57" i="16" s="1"/>
  <c r="AG68" i="16"/>
  <c r="AV68" i="16" s="1"/>
  <c r="AG67" i="16"/>
  <c r="AV67" i="16" s="1"/>
  <c r="AS27" i="16"/>
  <c r="AS30" i="16"/>
  <c r="X18" i="16"/>
  <c r="AU18" i="16" s="1"/>
  <c r="BE18" i="16" s="1"/>
  <c r="X34" i="16"/>
  <c r="X51" i="16"/>
  <c r="AU51" i="16" s="1"/>
  <c r="X71" i="16"/>
  <c r="AU71" i="16" s="1"/>
  <c r="W33" i="16"/>
  <c r="AT33" i="16" s="1"/>
  <c r="W49" i="16"/>
  <c r="AT49" i="16" s="1"/>
  <c r="W69" i="16"/>
  <c r="AT69" i="16" s="1"/>
  <c r="X20" i="16"/>
  <c r="AU20" i="16" s="1"/>
  <c r="BE20" i="16" s="1"/>
  <c r="X36" i="16"/>
  <c r="AU36" i="16" s="1"/>
  <c r="X53" i="16"/>
  <c r="AU53" i="16" s="1"/>
  <c r="X73" i="16"/>
  <c r="AU73" i="16" s="1"/>
  <c r="AM42" i="9"/>
  <c r="AM43" i="9"/>
  <c r="AM35" i="9"/>
  <c r="AQ43" i="9"/>
  <c r="AQ38" i="9"/>
  <c r="AQ40" i="9"/>
  <c r="AV65" i="9"/>
  <c r="AV64" i="9"/>
  <c r="AV66" i="9"/>
  <c r="AV119" i="9"/>
  <c r="Y249" i="16" s="1"/>
  <c r="AV121" i="9"/>
  <c r="Y159" i="16" s="1"/>
  <c r="AN81" i="9"/>
  <c r="AN67" i="9"/>
  <c r="AN66" i="9"/>
  <c r="AN61" i="9"/>
  <c r="AM201" i="9"/>
  <c r="AM203" i="9"/>
  <c r="AM196" i="9"/>
  <c r="AN87" i="9"/>
  <c r="AM116" i="9"/>
  <c r="AM114" i="9"/>
  <c r="AM113" i="9"/>
  <c r="AN166" i="9"/>
  <c r="AN168" i="9"/>
  <c r="AN192" i="9"/>
  <c r="AN189" i="9"/>
  <c r="AT165" i="9"/>
  <c r="AT170" i="9"/>
  <c r="X123" i="16" s="1"/>
  <c r="AU123" i="16" s="1"/>
  <c r="AM167" i="9"/>
  <c r="AG79" i="16"/>
  <c r="AV79" i="16" s="1"/>
  <c r="AG48" i="16"/>
  <c r="AV48" i="16" s="1"/>
  <c r="AG71" i="16"/>
  <c r="AV71" i="16" s="1"/>
  <c r="AG47" i="16"/>
  <c r="AV47" i="16" s="1"/>
  <c r="C160" i="10"/>
  <c r="B65" i="10"/>
  <c r="AG80" i="16"/>
  <c r="AG45" i="16"/>
  <c r="AV45" i="16" s="1"/>
  <c r="AG34" i="16"/>
  <c r="AV34" i="16" s="1"/>
  <c r="AG74" i="16"/>
  <c r="AV74" i="16" s="1"/>
  <c r="AG64" i="16"/>
  <c r="AV64" i="16" s="1"/>
  <c r="AG54" i="16"/>
  <c r="AV54" i="16" s="1"/>
  <c r="AG49" i="16"/>
  <c r="AV49" i="16" s="1"/>
  <c r="AG38" i="16"/>
  <c r="AV38" i="16" s="1"/>
  <c r="AG24" i="16"/>
  <c r="AV24" i="16" s="1"/>
  <c r="BF24" i="16" s="1"/>
  <c r="AG32" i="16"/>
  <c r="AV32" i="16" s="1"/>
  <c r="AG56" i="16"/>
  <c r="AV56" i="16" s="1"/>
  <c r="AG30" i="16"/>
  <c r="AV30" i="16" s="1"/>
  <c r="AG28" i="16"/>
  <c r="AV28" i="16" s="1"/>
  <c r="AG31" i="16"/>
  <c r="AV31" i="16" s="1"/>
  <c r="AG27" i="16"/>
  <c r="AV27" i="16" s="1"/>
  <c r="AG23" i="16"/>
  <c r="AV23" i="16" s="1"/>
  <c r="BF23" i="16" s="1"/>
  <c r="AS28" i="16"/>
  <c r="X46" i="16"/>
  <c r="AU46" i="16" s="1"/>
  <c r="W45" i="16"/>
  <c r="AT45" i="16" s="1"/>
  <c r="AV67" i="9"/>
  <c r="AV114" i="9"/>
  <c r="Y129" i="16" s="1"/>
  <c r="AN64" i="9"/>
  <c r="AM117" i="9"/>
  <c r="B26" i="10"/>
  <c r="C328" i="14"/>
  <c r="C155" i="10"/>
  <c r="C47" i="10"/>
  <c r="B115" i="14"/>
  <c r="B220" i="14"/>
  <c r="C215" i="10"/>
  <c r="C292" i="14"/>
  <c r="C186" i="14"/>
  <c r="B23" i="10"/>
  <c r="B185" i="10"/>
  <c r="AG69" i="16"/>
  <c r="AV69" i="16" s="1"/>
  <c r="AG59" i="16"/>
  <c r="AV59" i="16" s="1"/>
  <c r="AG44" i="16"/>
  <c r="AV44" i="16" s="1"/>
  <c r="AG66" i="16"/>
  <c r="AV66" i="16" s="1"/>
  <c r="AG43" i="16"/>
  <c r="AV43" i="16" s="1"/>
  <c r="AG75" i="16"/>
  <c r="AV75" i="16" s="1"/>
  <c r="AG33" i="16"/>
  <c r="AV33" i="16" s="1"/>
  <c r="AG26" i="16"/>
  <c r="AV26" i="16" s="1"/>
  <c r="AG37" i="16"/>
  <c r="AV37" i="16" s="1"/>
  <c r="AG41" i="16"/>
  <c r="AV41" i="16" s="1"/>
  <c r="AS31" i="16"/>
  <c r="AS47" i="16"/>
  <c r="AS67" i="16"/>
  <c r="AS41" i="16"/>
  <c r="AS71" i="16"/>
  <c r="X22" i="16"/>
  <c r="AU22" i="16" s="1"/>
  <c r="BE22" i="16" s="1"/>
  <c r="X38" i="16"/>
  <c r="AU38" i="16" s="1"/>
  <c r="X56" i="16"/>
  <c r="AU56" i="16" s="1"/>
  <c r="X76" i="16"/>
  <c r="AU76" i="16" s="1"/>
  <c r="W37" i="16"/>
  <c r="AT37" i="16" s="1"/>
  <c r="W54" i="16"/>
  <c r="AT54" i="16" s="1"/>
  <c r="W74" i="16"/>
  <c r="AT74" i="16" s="1"/>
  <c r="X24" i="16"/>
  <c r="AU24" i="16" s="1"/>
  <c r="BE24" i="16" s="1"/>
  <c r="X40" i="16"/>
  <c r="AU40" i="16" s="1"/>
  <c r="X58" i="16"/>
  <c r="AU58" i="16" s="1"/>
  <c r="X78" i="16"/>
  <c r="AU78" i="16" s="1"/>
  <c r="W25" i="16"/>
  <c r="AT25" i="16" s="1"/>
  <c r="BD25" i="16" s="1"/>
  <c r="AM36" i="9"/>
  <c r="AQ35" i="9"/>
  <c r="AQ41" i="9"/>
  <c r="AN80" i="9"/>
  <c r="AV61" i="9"/>
  <c r="X141" i="16" s="1"/>
  <c r="AU141" i="16" s="1"/>
  <c r="AV60" i="9"/>
  <c r="AV59" i="9"/>
  <c r="X126" i="16" s="1"/>
  <c r="AU126" i="16" s="1"/>
  <c r="AV62" i="9"/>
  <c r="X161" i="16" s="1"/>
  <c r="AU161" i="16" s="1"/>
  <c r="AN82" i="9"/>
  <c r="AN63" i="9"/>
  <c r="AM199" i="9"/>
  <c r="AM120" i="9"/>
  <c r="AM118" i="9"/>
  <c r="AN171" i="9"/>
  <c r="AN140" i="9"/>
  <c r="AN136" i="9"/>
  <c r="AN193" i="9"/>
  <c r="AT171" i="9"/>
  <c r="AT65" i="9"/>
  <c r="AM171" i="9"/>
  <c r="AM173" i="9"/>
  <c r="AM172" i="9"/>
  <c r="AM169" i="9"/>
  <c r="AM166" i="9"/>
  <c r="AM168" i="9"/>
  <c r="AQ10" i="9"/>
  <c r="AT59" i="9"/>
  <c r="AM174" i="9"/>
  <c r="AM165" i="9"/>
  <c r="AQ12" i="9"/>
  <c r="AT67" i="9"/>
  <c r="AT58" i="9"/>
  <c r="AT61" i="9"/>
  <c r="AT64" i="9"/>
  <c r="AQ7" i="9"/>
  <c r="AT63" i="9"/>
  <c r="W121" i="16" s="1"/>
  <c r="AT121" i="16" s="1"/>
  <c r="AT66" i="9"/>
  <c r="AT60" i="9"/>
  <c r="W301" i="16" s="1"/>
  <c r="AT301" i="16" s="1"/>
  <c r="AQ4" i="9"/>
  <c r="AQ13" i="9"/>
  <c r="AQ8" i="9"/>
  <c r="AQ11" i="9"/>
  <c r="AQ9" i="9"/>
  <c r="AQ6" i="9"/>
  <c r="AQ5" i="9"/>
  <c r="W192" i="16" s="1"/>
  <c r="AT192" i="16" s="1"/>
  <c r="AM7" i="9"/>
  <c r="AM12" i="9"/>
  <c r="AM9" i="9"/>
  <c r="AM10" i="9"/>
  <c r="AM13" i="9"/>
  <c r="AM4" i="9"/>
  <c r="AM8" i="9"/>
  <c r="AM11" i="9"/>
  <c r="AM5" i="9"/>
  <c r="AM6" i="9"/>
  <c r="W28" i="16"/>
  <c r="AT28" i="16" s="1"/>
  <c r="B95" i="10"/>
  <c r="W78" i="16"/>
  <c r="AT78" i="16" s="1"/>
  <c r="W36" i="16"/>
  <c r="AT36" i="16" s="1"/>
  <c r="W58" i="16"/>
  <c r="AT58" i="16" s="1"/>
  <c r="W20" i="16"/>
  <c r="AT20" i="16" s="1"/>
  <c r="BD20" i="16" s="1"/>
  <c r="W40" i="16"/>
  <c r="AT40" i="16" s="1"/>
  <c r="W63" i="16"/>
  <c r="AT63" i="16" s="1"/>
  <c r="W24" i="16"/>
  <c r="AT24" i="16" s="1"/>
  <c r="BD24" i="16" s="1"/>
  <c r="W44" i="16"/>
  <c r="AT44" i="16" s="1"/>
  <c r="W73" i="16"/>
  <c r="AT73" i="16" s="1"/>
  <c r="B172" i="14"/>
  <c r="B39" i="10"/>
  <c r="B112" i="14"/>
  <c r="AU17" i="16"/>
  <c r="BE17" i="16" s="1"/>
  <c r="W19" i="16"/>
  <c r="AT19" i="16" s="1"/>
  <c r="BD19" i="16" s="1"/>
  <c r="W83" i="16"/>
  <c r="AT83" i="16" s="1"/>
  <c r="W82" i="16"/>
  <c r="AT82" i="16" s="1"/>
  <c r="AT16" i="16"/>
  <c r="BD16" i="16" s="1"/>
  <c r="AU29" i="16"/>
  <c r="W72" i="16"/>
  <c r="AT72" i="16" s="1"/>
  <c r="B130" i="14"/>
  <c r="W35" i="16"/>
  <c r="AT35" i="16" s="1"/>
  <c r="W52" i="16"/>
  <c r="AT52" i="16" s="1"/>
  <c r="AU19" i="16"/>
  <c r="BE19" i="16" s="1"/>
  <c r="AU16" i="16"/>
  <c r="BE16" i="16" s="1"/>
  <c r="W31" i="16"/>
  <c r="AT31" i="16" s="1"/>
  <c r="W47" i="16"/>
  <c r="AT47" i="16" s="1"/>
  <c r="W67" i="16"/>
  <c r="AT67" i="16" s="1"/>
  <c r="AU25" i="16"/>
  <c r="BE25" i="16" s="1"/>
  <c r="B83" i="9"/>
  <c r="B84" i="9" s="1"/>
  <c r="B85" i="9" s="1"/>
  <c r="B86" i="9" s="1"/>
  <c r="B87" i="9" s="1"/>
  <c r="B88" i="9" s="1"/>
  <c r="B89" i="9" s="1"/>
  <c r="B90" i="9" s="1"/>
  <c r="B91" i="9" s="1"/>
  <c r="AU45" i="16"/>
  <c r="AT38" i="16"/>
  <c r="W23" i="16"/>
  <c r="AT23" i="16" s="1"/>
  <c r="BD23" i="16" s="1"/>
  <c r="W77" i="16"/>
  <c r="AT77" i="16" s="1"/>
  <c r="W39" i="16"/>
  <c r="AT39" i="16" s="1"/>
  <c r="W57" i="16"/>
  <c r="AT57" i="16" s="1"/>
  <c r="B5" i="10"/>
  <c r="B184" i="14"/>
  <c r="W17" i="16"/>
  <c r="AT17" i="16" s="1"/>
  <c r="BD17" i="16" s="1"/>
  <c r="W32" i="16"/>
  <c r="AT32" i="16" s="1"/>
  <c r="W48" i="16"/>
  <c r="AT48" i="16" s="1"/>
  <c r="W27" i="16"/>
  <c r="AT27" i="16" s="1"/>
  <c r="W43" i="16"/>
  <c r="AT43" i="16" s="1"/>
  <c r="W62" i="16"/>
  <c r="AT62" i="16" s="1"/>
  <c r="AG20" i="16"/>
  <c r="AV20" i="16" s="1"/>
  <c r="BF20" i="16" s="1"/>
  <c r="AG19" i="16"/>
  <c r="AV19" i="16" s="1"/>
  <c r="BF19" i="16" s="1"/>
  <c r="AG21" i="16"/>
  <c r="AV21" i="16" s="1"/>
  <c r="BF21" i="16" s="1"/>
  <c r="AG14" i="16"/>
  <c r="AV14" i="16" s="1"/>
  <c r="AG11" i="16"/>
  <c r="AV11" i="16" s="1"/>
  <c r="BF11" i="16" s="1"/>
  <c r="AG13" i="16"/>
  <c r="AV13" i="16" s="1"/>
  <c r="AG10" i="16"/>
  <c r="AV10" i="16" s="1"/>
  <c r="BF10" i="16" s="1"/>
  <c r="AG18" i="16"/>
  <c r="AV18" i="16" s="1"/>
  <c r="BF18" i="16" s="1"/>
  <c r="AG12" i="16"/>
  <c r="AV12" i="16" s="1"/>
  <c r="AG9" i="16"/>
  <c r="AV9" i="16" s="1"/>
  <c r="AU21" i="16"/>
  <c r="BE21" i="16" s="1"/>
  <c r="AU27" i="16"/>
  <c r="AT29" i="16"/>
  <c r="AG17" i="16"/>
  <c r="AV17" i="16" s="1"/>
  <c r="BF17" i="16" s="1"/>
  <c r="AG16" i="16"/>
  <c r="AV16" i="16" s="1"/>
  <c r="BF16" i="16" s="1"/>
  <c r="AG15" i="16"/>
  <c r="AV15" i="16" s="1"/>
  <c r="BF15" i="16" s="1"/>
  <c r="AU69" i="16"/>
  <c r="AU77" i="16"/>
  <c r="AU34" i="16"/>
  <c r="AU23" i="16"/>
  <c r="BE23" i="16" s="1"/>
  <c r="E90" i="9"/>
  <c r="E84" i="9"/>
  <c r="E87" i="9"/>
  <c r="E83" i="9"/>
  <c r="E88" i="9"/>
  <c r="E89" i="9"/>
  <c r="E91" i="9"/>
  <c r="E86" i="9"/>
  <c r="E85" i="9"/>
  <c r="C73" i="8"/>
  <c r="C72" i="8" s="1"/>
  <c r="C74" i="8" s="1"/>
  <c r="F16" i="8"/>
  <c r="E16" i="8" s="1"/>
  <c r="D73" i="8"/>
  <c r="D72" i="8" s="1"/>
  <c r="D74" i="8" s="1"/>
  <c r="E15" i="8"/>
  <c r="F73" i="8"/>
  <c r="F72" i="8" s="1"/>
  <c r="F74" i="8" s="1"/>
  <c r="E73" i="8"/>
  <c r="E72" i="8" s="1"/>
  <c r="E74" i="8" s="1"/>
  <c r="AS166" i="16" l="1"/>
  <c r="AS121" i="16"/>
  <c r="AV229" i="16"/>
  <c r="X194" i="16"/>
  <c r="AU194" i="16" s="1"/>
  <c r="X184" i="16"/>
  <c r="AU184" i="16" s="1"/>
  <c r="X179" i="16"/>
  <c r="AU179" i="16" s="1"/>
  <c r="X174" i="16"/>
  <c r="AU174" i="16" s="1"/>
  <c r="X169" i="16"/>
  <c r="AU169" i="16" s="1"/>
  <c r="W166" i="16"/>
  <c r="AT166" i="16" s="1"/>
  <c r="X181" i="16"/>
  <c r="AU181" i="16" s="1"/>
  <c r="W176" i="16"/>
  <c r="AT176" i="16" s="1"/>
  <c r="AS298" i="16"/>
  <c r="X231" i="16"/>
  <c r="AU231" i="16" s="1"/>
  <c r="Y199" i="16"/>
  <c r="X191" i="16"/>
  <c r="AU191" i="16" s="1"/>
  <c r="AV179" i="16"/>
  <c r="AV184" i="16"/>
  <c r="AV178" i="16"/>
  <c r="W181" i="16"/>
  <c r="AT181" i="16" s="1"/>
  <c r="X171" i="16"/>
  <c r="AU171" i="16" s="1"/>
  <c r="X166" i="16"/>
  <c r="AU166" i="16" s="1"/>
  <c r="X182" i="16"/>
  <c r="AU182" i="16" s="1"/>
  <c r="Y229" i="16"/>
  <c r="Y109" i="16"/>
  <c r="Y214" i="16"/>
  <c r="AV214" i="16" s="1"/>
  <c r="AS154" i="16"/>
  <c r="AS109" i="16"/>
  <c r="AS268" i="16"/>
  <c r="X224" i="16"/>
  <c r="AU224" i="16" s="1"/>
  <c r="X211" i="16"/>
  <c r="AU211" i="16" s="1"/>
  <c r="X241" i="16"/>
  <c r="AU241" i="16" s="1"/>
  <c r="X236" i="16"/>
  <c r="AU236" i="16" s="1"/>
  <c r="X122" i="16"/>
  <c r="AU122" i="16" s="1"/>
  <c r="AS116" i="16"/>
  <c r="AS216" i="16"/>
  <c r="AS217" i="16"/>
  <c r="AS257" i="16"/>
  <c r="AV199" i="16"/>
  <c r="AV219" i="16"/>
  <c r="AV259" i="16"/>
  <c r="X178" i="16"/>
  <c r="AU178" i="16" s="1"/>
  <c r="X173" i="16"/>
  <c r="AU173" i="16" s="1"/>
  <c r="X168" i="16"/>
  <c r="AU168" i="16" s="1"/>
  <c r="X193" i="16"/>
  <c r="AU193" i="16" s="1"/>
  <c r="X183" i="16"/>
  <c r="AU183" i="16" s="1"/>
  <c r="AV154" i="16"/>
  <c r="AS176" i="16"/>
  <c r="AV192" i="16"/>
  <c r="AV177" i="16"/>
  <c r="Y209" i="16"/>
  <c r="AV209" i="16" s="1"/>
  <c r="AS168" i="16"/>
  <c r="AS193" i="16"/>
  <c r="Y224" i="16"/>
  <c r="Y169" i="16"/>
  <c r="AV169" i="16" s="1"/>
  <c r="AV183" i="16"/>
  <c r="W191" i="16"/>
  <c r="AT191" i="16" s="1"/>
  <c r="AS167" i="16"/>
  <c r="W182" i="16"/>
  <c r="AT182" i="16" s="1"/>
  <c r="X106" i="16"/>
  <c r="AU106" i="16" s="1"/>
  <c r="X246" i="16"/>
  <c r="AU246" i="16" s="1"/>
  <c r="AS247" i="16"/>
  <c r="AS302" i="16"/>
  <c r="X116" i="16"/>
  <c r="AU116" i="16" s="1"/>
  <c r="W171" i="16"/>
  <c r="AT171" i="16" s="1"/>
  <c r="AS183" i="16"/>
  <c r="AS164" i="16"/>
  <c r="AS143" i="16"/>
  <c r="AS243" i="16"/>
  <c r="X251" i="16"/>
  <c r="AU251" i="16" s="1"/>
  <c r="AS296" i="16"/>
  <c r="AV204" i="16"/>
  <c r="AV224" i="16"/>
  <c r="Y164" i="16"/>
  <c r="AV164" i="16" s="1"/>
  <c r="AS173" i="16"/>
  <c r="X176" i="16"/>
  <c r="AU176" i="16" s="1"/>
  <c r="AV173" i="16"/>
  <c r="AS169" i="16"/>
  <c r="AS184" i="16"/>
  <c r="Y234" i="16"/>
  <c r="AV234" i="16" s="1"/>
  <c r="Y174" i="16"/>
  <c r="AV174" i="16" s="1"/>
  <c r="AV168" i="16"/>
  <c r="AV193" i="16"/>
  <c r="AS172" i="16"/>
  <c r="Y244" i="16"/>
  <c r="AV244" i="16" s="1"/>
  <c r="AS106" i="16"/>
  <c r="AV301" i="16"/>
  <c r="AS114" i="16"/>
  <c r="AV129" i="16"/>
  <c r="AS157" i="16"/>
  <c r="AS151" i="16"/>
  <c r="AS146" i="16"/>
  <c r="W122" i="16"/>
  <c r="AT122" i="16" s="1"/>
  <c r="X121" i="16"/>
  <c r="AU121" i="16" s="1"/>
  <c r="X91" i="16"/>
  <c r="AU91" i="16" s="1"/>
  <c r="AV161" i="16"/>
  <c r="AV118" i="16"/>
  <c r="AV94" i="16"/>
  <c r="X101" i="16"/>
  <c r="AU101" i="16" s="1"/>
  <c r="AV266" i="16"/>
  <c r="AS147" i="16"/>
  <c r="W111" i="16"/>
  <c r="AT111" i="16" s="1"/>
  <c r="X111" i="16"/>
  <c r="AU111" i="16" s="1"/>
  <c r="AV99" i="16"/>
  <c r="AV211" i="16"/>
  <c r="AV288" i="16"/>
  <c r="AV109" i="16"/>
  <c r="AV96" i="16"/>
  <c r="AV271" i="16"/>
  <c r="AV93" i="16"/>
  <c r="AV233" i="16"/>
  <c r="AV121" i="16"/>
  <c r="AV123" i="16"/>
  <c r="AV112" i="16"/>
  <c r="AV128" i="16"/>
  <c r="Y124" i="16"/>
  <c r="AV124" i="16" s="1"/>
  <c r="AV122" i="16"/>
  <c r="AV238" i="16"/>
  <c r="AV298" i="16"/>
  <c r="X199" i="16"/>
  <c r="AU199" i="16" s="1"/>
  <c r="X284" i="16"/>
  <c r="AU284" i="16" s="1"/>
  <c r="X96" i="16"/>
  <c r="AU96" i="16" s="1"/>
  <c r="W112" i="16"/>
  <c r="AT112" i="16" s="1"/>
  <c r="Y119" i="16"/>
  <c r="AV119" i="16" s="1"/>
  <c r="X254" i="16"/>
  <c r="AU254" i="16" s="1"/>
  <c r="Y114" i="16"/>
  <c r="AV114" i="16" s="1"/>
  <c r="AV113" i="16"/>
  <c r="X113" i="16"/>
  <c r="AU113" i="16" s="1"/>
  <c r="AV146" i="16"/>
  <c r="AV138" i="16"/>
  <c r="AV243" i="16"/>
  <c r="AV228" i="16"/>
  <c r="AV268" i="16"/>
  <c r="X94" i="16"/>
  <c r="AU94" i="16" s="1"/>
  <c r="X139" i="16"/>
  <c r="AU139" i="16" s="1"/>
  <c r="X149" i="16"/>
  <c r="AU149" i="16" s="1"/>
  <c r="X239" i="16"/>
  <c r="AU239" i="16" s="1"/>
  <c r="X264" i="16"/>
  <c r="AU264" i="16" s="1"/>
  <c r="AV151" i="16"/>
  <c r="AV246" i="16"/>
  <c r="AV88" i="16"/>
  <c r="AV103" i="16"/>
  <c r="AV148" i="16"/>
  <c r="AV198" i="16"/>
  <c r="AV258" i="16"/>
  <c r="X214" i="16"/>
  <c r="AU214" i="16" s="1"/>
  <c r="X229" i="16"/>
  <c r="AU229" i="16" s="1"/>
  <c r="X244" i="16"/>
  <c r="AU244" i="16" s="1"/>
  <c r="AV126" i="16"/>
  <c r="AV186" i="16"/>
  <c r="AV156" i="16"/>
  <c r="X134" i="16"/>
  <c r="AU134" i="16" s="1"/>
  <c r="X99" i="16"/>
  <c r="AU99" i="16" s="1"/>
  <c r="X164" i="16"/>
  <c r="AU164" i="16" s="1"/>
  <c r="X249" i="16"/>
  <c r="AU249" i="16" s="1"/>
  <c r="X189" i="16"/>
  <c r="AU189" i="16" s="1"/>
  <c r="X154" i="16"/>
  <c r="AU154" i="16" s="1"/>
  <c r="X209" i="16"/>
  <c r="AU209" i="16" s="1"/>
  <c r="X274" i="16"/>
  <c r="AU274" i="16" s="1"/>
  <c r="X269" i="16"/>
  <c r="AU269" i="16" s="1"/>
  <c r="X279" i="16"/>
  <c r="AU279" i="16" s="1"/>
  <c r="X304" i="16"/>
  <c r="AU304" i="16" s="1"/>
  <c r="AV187" i="16"/>
  <c r="AV257" i="16"/>
  <c r="AV216" i="16"/>
  <c r="AV188" i="16"/>
  <c r="AV283" i="16"/>
  <c r="X89" i="16"/>
  <c r="AU89" i="16" s="1"/>
  <c r="X119" i="16"/>
  <c r="AU119" i="16" s="1"/>
  <c r="X109" i="16"/>
  <c r="AU109" i="16" s="1"/>
  <c r="X129" i="16"/>
  <c r="AU129" i="16" s="1"/>
  <c r="X204" i="16"/>
  <c r="AU204" i="16" s="1"/>
  <c r="X219" i="16"/>
  <c r="AU219" i="16" s="1"/>
  <c r="X294" i="16"/>
  <c r="AU294" i="16" s="1"/>
  <c r="X289" i="16"/>
  <c r="AU289" i="16" s="1"/>
  <c r="W116" i="16"/>
  <c r="AT116" i="16" s="1"/>
  <c r="W221" i="16"/>
  <c r="AT221" i="16" s="1"/>
  <c r="W201" i="16"/>
  <c r="AT201" i="16" s="1"/>
  <c r="W236" i="16"/>
  <c r="AT236" i="16" s="1"/>
  <c r="W281" i="16"/>
  <c r="AT281" i="16" s="1"/>
  <c r="AV261" i="16"/>
  <c r="AV241" i="16"/>
  <c r="AV251" i="16"/>
  <c r="W156" i="16"/>
  <c r="AT156" i="16" s="1"/>
  <c r="W206" i="16"/>
  <c r="AT206" i="16" s="1"/>
  <c r="W226" i="16"/>
  <c r="AT226" i="16" s="1"/>
  <c r="W271" i="16"/>
  <c r="AT271" i="16" s="1"/>
  <c r="AV108" i="16"/>
  <c r="AV253" i="16"/>
  <c r="AV273" i="16"/>
  <c r="AV87" i="16"/>
  <c r="W246" i="16"/>
  <c r="AT246" i="16" s="1"/>
  <c r="W186" i="16"/>
  <c r="AT186" i="16" s="1"/>
  <c r="W231" i="16"/>
  <c r="AT231" i="16" s="1"/>
  <c r="W291" i="16"/>
  <c r="AT291" i="16" s="1"/>
  <c r="AV256" i="16"/>
  <c r="AV201" i="16"/>
  <c r="AV206" i="16"/>
  <c r="W91" i="16"/>
  <c r="AT91" i="16" s="1"/>
  <c r="W96" i="16"/>
  <c r="AT96" i="16" s="1"/>
  <c r="W136" i="16"/>
  <c r="AT136" i="16" s="1"/>
  <c r="W286" i="16"/>
  <c r="AT286" i="16" s="1"/>
  <c r="W296" i="16"/>
  <c r="AT296" i="16" s="1"/>
  <c r="AV203" i="16"/>
  <c r="AV158" i="16"/>
  <c r="AV208" i="16"/>
  <c r="AV248" i="16"/>
  <c r="AV278" i="16"/>
  <c r="AV303" i="16"/>
  <c r="AV222" i="16"/>
  <c r="AV102" i="16"/>
  <c r="AV297" i="16"/>
  <c r="AV232" i="16"/>
  <c r="AV157" i="16"/>
  <c r="AV287" i="16"/>
  <c r="W293" i="16"/>
  <c r="AT293" i="16" s="1"/>
  <c r="W273" i="16"/>
  <c r="AT273" i="16" s="1"/>
  <c r="W288" i="16"/>
  <c r="AT288" i="16" s="1"/>
  <c r="W268" i="16"/>
  <c r="AT268" i="16" s="1"/>
  <c r="W298" i="16"/>
  <c r="AT298" i="16" s="1"/>
  <c r="W278" i="16"/>
  <c r="AT278" i="16" s="1"/>
  <c r="W248" i="16"/>
  <c r="AT248" i="16" s="1"/>
  <c r="W253" i="16"/>
  <c r="AT253" i="16" s="1"/>
  <c r="W243" i="16"/>
  <c r="AT243" i="16" s="1"/>
  <c r="W238" i="16"/>
  <c r="AT238" i="16" s="1"/>
  <c r="W233" i="16"/>
  <c r="AT233" i="16" s="1"/>
  <c r="W223" i="16"/>
  <c r="AT223" i="16" s="1"/>
  <c r="W213" i="16"/>
  <c r="AT213" i="16" s="1"/>
  <c r="W218" i="16"/>
  <c r="AT218" i="16" s="1"/>
  <c r="W203" i="16"/>
  <c r="AT203" i="16" s="1"/>
  <c r="W163" i="16"/>
  <c r="AT163" i="16" s="1"/>
  <c r="W143" i="16"/>
  <c r="AT143" i="16" s="1"/>
  <c r="W258" i="16"/>
  <c r="AT258" i="16" s="1"/>
  <c r="W228" i="16"/>
  <c r="AT228" i="16" s="1"/>
  <c r="W198" i="16"/>
  <c r="AT198" i="16" s="1"/>
  <c r="W158" i="16"/>
  <c r="AT158" i="16" s="1"/>
  <c r="W138" i="16"/>
  <c r="AT138" i="16" s="1"/>
  <c r="W303" i="16"/>
  <c r="AT303" i="16" s="1"/>
  <c r="W118" i="16"/>
  <c r="AT118" i="16" s="1"/>
  <c r="W98" i="16"/>
  <c r="AT98" i="16" s="1"/>
  <c r="W263" i="16"/>
  <c r="AT263" i="16" s="1"/>
  <c r="W133" i="16"/>
  <c r="AT133" i="16" s="1"/>
  <c r="W108" i="16"/>
  <c r="AT108" i="16" s="1"/>
  <c r="W188" i="16"/>
  <c r="AT188" i="16" s="1"/>
  <c r="W128" i="16"/>
  <c r="AT128" i="16" s="1"/>
  <c r="W88" i="16"/>
  <c r="AT88" i="16" s="1"/>
  <c r="W283" i="16"/>
  <c r="AT283" i="16" s="1"/>
  <c r="W153" i="16"/>
  <c r="AT153" i="16" s="1"/>
  <c r="W103" i="16"/>
  <c r="AT103" i="16" s="1"/>
  <c r="W208" i="16"/>
  <c r="AT208" i="16" s="1"/>
  <c r="W148" i="16"/>
  <c r="AT148" i="16" s="1"/>
  <c r="W93" i="16"/>
  <c r="AT93" i="16" s="1"/>
  <c r="AV212" i="16"/>
  <c r="AV116" i="16"/>
  <c r="AV226" i="16"/>
  <c r="AV291" i="16"/>
  <c r="AV127" i="16"/>
  <c r="AV197" i="16"/>
  <c r="AV107" i="16"/>
  <c r="AV252" i="16"/>
  <c r="AV142" i="16"/>
  <c r="AV207" i="16"/>
  <c r="W289" i="16"/>
  <c r="AT289" i="16" s="1"/>
  <c r="W269" i="16"/>
  <c r="AT269" i="16" s="1"/>
  <c r="W304" i="16"/>
  <c r="AT304" i="16" s="1"/>
  <c r="W284" i="16"/>
  <c r="AT284" i="16" s="1"/>
  <c r="W264" i="16"/>
  <c r="AT264" i="16" s="1"/>
  <c r="W294" i="16"/>
  <c r="AT294" i="16" s="1"/>
  <c r="W274" i="16"/>
  <c r="AT274" i="16" s="1"/>
  <c r="W259" i="16"/>
  <c r="AT259" i="16" s="1"/>
  <c r="W244" i="16"/>
  <c r="AT244" i="16" s="1"/>
  <c r="W299" i="16"/>
  <c r="AT299" i="16" s="1"/>
  <c r="W279" i="16"/>
  <c r="AT279" i="16" s="1"/>
  <c r="W249" i="16"/>
  <c r="AT249" i="16" s="1"/>
  <c r="W224" i="16"/>
  <c r="AT224" i="16" s="1"/>
  <c r="W214" i="16"/>
  <c r="AT214" i="16" s="1"/>
  <c r="W234" i="16"/>
  <c r="AT234" i="16" s="1"/>
  <c r="W204" i="16"/>
  <c r="AT204" i="16" s="1"/>
  <c r="W159" i="16"/>
  <c r="AT159" i="16" s="1"/>
  <c r="W154" i="16"/>
  <c r="AT154" i="16" s="1"/>
  <c r="W134" i="16"/>
  <c r="AT134" i="16" s="1"/>
  <c r="W229" i="16"/>
  <c r="AT229" i="16" s="1"/>
  <c r="W219" i="16"/>
  <c r="AT219" i="16" s="1"/>
  <c r="W129" i="16"/>
  <c r="AT129" i="16" s="1"/>
  <c r="W94" i="16"/>
  <c r="AT94" i="16" s="1"/>
  <c r="W89" i="16"/>
  <c r="AT89" i="16" s="1"/>
  <c r="W239" i="16"/>
  <c r="AT239" i="16" s="1"/>
  <c r="W199" i="16"/>
  <c r="AT199" i="16" s="1"/>
  <c r="W104" i="16"/>
  <c r="AT104" i="16" s="1"/>
  <c r="W164" i="16"/>
  <c r="AT164" i="16" s="1"/>
  <c r="W144" i="16"/>
  <c r="AT144" i="16" s="1"/>
  <c r="W189" i="16"/>
  <c r="AT189" i="16" s="1"/>
  <c r="W119" i="16"/>
  <c r="AT119" i="16" s="1"/>
  <c r="W254" i="16"/>
  <c r="AT254" i="16" s="1"/>
  <c r="W139" i="16"/>
  <c r="AT139" i="16" s="1"/>
  <c r="W209" i="16"/>
  <c r="AT209" i="16" s="1"/>
  <c r="W149" i="16"/>
  <c r="AT149" i="16" s="1"/>
  <c r="W109" i="16"/>
  <c r="AT109" i="16" s="1"/>
  <c r="W99" i="16"/>
  <c r="AT99" i="16" s="1"/>
  <c r="AV91" i="16"/>
  <c r="AV231" i="16"/>
  <c r="AV236" i="16"/>
  <c r="AV141" i="16"/>
  <c r="AV221" i="16"/>
  <c r="AV286" i="16"/>
  <c r="X288" i="16"/>
  <c r="AU288" i="16" s="1"/>
  <c r="X268" i="16"/>
  <c r="AU268" i="16" s="1"/>
  <c r="X303" i="16"/>
  <c r="AU303" i="16" s="1"/>
  <c r="X283" i="16"/>
  <c r="AU283" i="16" s="1"/>
  <c r="X263" i="16"/>
  <c r="AU263" i="16" s="1"/>
  <c r="X293" i="16"/>
  <c r="AU293" i="16" s="1"/>
  <c r="X273" i="16"/>
  <c r="AU273" i="16" s="1"/>
  <c r="X258" i="16"/>
  <c r="AU258" i="16" s="1"/>
  <c r="X243" i="16"/>
  <c r="AU243" i="16" s="1"/>
  <c r="X298" i="16"/>
  <c r="AU298" i="16" s="1"/>
  <c r="X278" i="16"/>
  <c r="AU278" i="16" s="1"/>
  <c r="X238" i="16"/>
  <c r="AU238" i="16" s="1"/>
  <c r="X233" i="16"/>
  <c r="AU233" i="16" s="1"/>
  <c r="X223" i="16"/>
  <c r="AU223" i="16" s="1"/>
  <c r="X248" i="16"/>
  <c r="AU248" i="16" s="1"/>
  <c r="X203" i="16"/>
  <c r="AU203" i="16" s="1"/>
  <c r="X228" i="16"/>
  <c r="AU228" i="16" s="1"/>
  <c r="X198" i="16"/>
  <c r="AU198" i="16" s="1"/>
  <c r="X158" i="16"/>
  <c r="AU158" i="16" s="1"/>
  <c r="X153" i="16"/>
  <c r="AU153" i="16" s="1"/>
  <c r="X133" i="16"/>
  <c r="AU133" i="16" s="1"/>
  <c r="X253" i="16"/>
  <c r="AU253" i="16" s="1"/>
  <c r="X218" i="16"/>
  <c r="AU218" i="16" s="1"/>
  <c r="X188" i="16"/>
  <c r="AU188" i="16" s="1"/>
  <c r="X163" i="16"/>
  <c r="AU163" i="16" s="1"/>
  <c r="X143" i="16"/>
  <c r="AU143" i="16" s="1"/>
  <c r="X93" i="16"/>
  <c r="AU93" i="16" s="1"/>
  <c r="X88" i="16"/>
  <c r="AU88" i="16" s="1"/>
  <c r="X208" i="16"/>
  <c r="AU208" i="16" s="1"/>
  <c r="X148" i="16"/>
  <c r="AU148" i="16" s="1"/>
  <c r="X128" i="16"/>
  <c r="AU128" i="16" s="1"/>
  <c r="X103" i="16"/>
  <c r="AU103" i="16" s="1"/>
  <c r="X118" i="16"/>
  <c r="AU118" i="16" s="1"/>
  <c r="X98" i="16"/>
  <c r="AU98" i="16" s="1"/>
  <c r="X213" i="16"/>
  <c r="AU213" i="16" s="1"/>
  <c r="X138" i="16"/>
  <c r="AU138" i="16" s="1"/>
  <c r="X108" i="16"/>
  <c r="AU108" i="16" s="1"/>
  <c r="W101" i="16"/>
  <c r="AT101" i="16" s="1"/>
  <c r="W161" i="16"/>
  <c r="AT161" i="16" s="1"/>
  <c r="W106" i="16"/>
  <c r="AT106" i="16" s="1"/>
  <c r="W146" i="16"/>
  <c r="AT146" i="16" s="1"/>
  <c r="W216" i="16"/>
  <c r="AT216" i="16" s="1"/>
  <c r="W266" i="16"/>
  <c r="AT266" i="16" s="1"/>
  <c r="W256" i="16"/>
  <c r="AT256" i="16" s="1"/>
  <c r="W276" i="16"/>
  <c r="AT276" i="16" s="1"/>
  <c r="AV163" i="16"/>
  <c r="AV98" i="16"/>
  <c r="AV293" i="16"/>
  <c r="AV217" i="16"/>
  <c r="AV92" i="16"/>
  <c r="AV242" i="16"/>
  <c r="AV117" i="16"/>
  <c r="AV247" i="16"/>
  <c r="AV132" i="16"/>
  <c r="AV272" i="16"/>
  <c r="AV152" i="16"/>
  <c r="AV202" i="16"/>
  <c r="AV86" i="16"/>
  <c r="AV281" i="16"/>
  <c r="AV276" i="16"/>
  <c r="AV213" i="16"/>
  <c r="AV223" i="16"/>
  <c r="AV97" i="16"/>
  <c r="AV292" i="16"/>
  <c r="AV282" i="16"/>
  <c r="W297" i="16"/>
  <c r="AT297" i="16" s="1"/>
  <c r="W277" i="16"/>
  <c r="AT277" i="16" s="1"/>
  <c r="W292" i="16"/>
  <c r="AT292" i="16" s="1"/>
  <c r="W272" i="16"/>
  <c r="AT272" i="16" s="1"/>
  <c r="W287" i="16"/>
  <c r="AT287" i="16" s="1"/>
  <c r="W267" i="16"/>
  <c r="AT267" i="16" s="1"/>
  <c r="W252" i="16"/>
  <c r="AT252" i="16" s="1"/>
  <c r="W247" i="16"/>
  <c r="AT247" i="16" s="1"/>
  <c r="W242" i="16"/>
  <c r="AT242" i="16" s="1"/>
  <c r="W227" i="16"/>
  <c r="AT227" i="16" s="1"/>
  <c r="W217" i="16"/>
  <c r="AT217" i="16" s="1"/>
  <c r="W302" i="16"/>
  <c r="AT302" i="16" s="1"/>
  <c r="W282" i="16"/>
  <c r="AT282" i="16" s="1"/>
  <c r="W262" i="16"/>
  <c r="AT262" i="16" s="1"/>
  <c r="W207" i="16"/>
  <c r="AT207" i="16" s="1"/>
  <c r="W257" i="16"/>
  <c r="AT257" i="16" s="1"/>
  <c r="W222" i="16"/>
  <c r="AT222" i="16" s="1"/>
  <c r="W202" i="16"/>
  <c r="AT202" i="16" s="1"/>
  <c r="W187" i="16"/>
  <c r="AT187" i="16" s="1"/>
  <c r="W147" i="16"/>
  <c r="AT147" i="16" s="1"/>
  <c r="W162" i="16"/>
  <c r="AT162" i="16" s="1"/>
  <c r="W142" i="16"/>
  <c r="AT142" i="16" s="1"/>
  <c r="W127" i="16"/>
  <c r="AT127" i="16" s="1"/>
  <c r="W102" i="16"/>
  <c r="AT102" i="16" s="1"/>
  <c r="W87" i="16"/>
  <c r="AT87" i="16" s="1"/>
  <c r="W232" i="16"/>
  <c r="AT232" i="16" s="1"/>
  <c r="W212" i="16"/>
  <c r="AT212" i="16" s="1"/>
  <c r="W132" i="16"/>
  <c r="AT132" i="16" s="1"/>
  <c r="W92" i="16"/>
  <c r="AT92" i="16" s="1"/>
  <c r="W237" i="16"/>
  <c r="AT237" i="16" s="1"/>
  <c r="W197" i="16"/>
  <c r="AT197" i="16" s="1"/>
  <c r="W137" i="16"/>
  <c r="AT137" i="16" s="1"/>
  <c r="W97" i="16"/>
  <c r="AT97" i="16" s="1"/>
  <c r="W157" i="16"/>
  <c r="AT157" i="16" s="1"/>
  <c r="W152" i="16"/>
  <c r="AT152" i="16" s="1"/>
  <c r="W107" i="16"/>
  <c r="AT107" i="16" s="1"/>
  <c r="W117" i="16"/>
  <c r="AT117" i="16" s="1"/>
  <c r="AV101" i="16"/>
  <c r="AV106" i="16"/>
  <c r="AV131" i="16"/>
  <c r="AV136" i="16"/>
  <c r="AV196" i="16"/>
  <c r="AV296" i="16"/>
  <c r="W196" i="16"/>
  <c r="AT196" i="16" s="1"/>
  <c r="W141" i="16"/>
  <c r="AT141" i="16" s="1"/>
  <c r="W131" i="16"/>
  <c r="AT131" i="16" s="1"/>
  <c r="W86" i="16"/>
  <c r="AT86" i="16" s="1"/>
  <c r="W126" i="16"/>
  <c r="AT126" i="16" s="1"/>
  <c r="W151" i="16"/>
  <c r="AT151" i="16" s="1"/>
  <c r="W211" i="16"/>
  <c r="AT211" i="16" s="1"/>
  <c r="W241" i="16"/>
  <c r="AT241" i="16" s="1"/>
  <c r="W251" i="16"/>
  <c r="AT251" i="16" s="1"/>
  <c r="W261" i="16"/>
  <c r="AT261" i="16" s="1"/>
  <c r="AV143" i="16"/>
  <c r="AV133" i="16"/>
  <c r="AV153" i="16"/>
  <c r="AV218" i="16"/>
  <c r="AV263" i="16"/>
  <c r="X292" i="16"/>
  <c r="AU292" i="16" s="1"/>
  <c r="X272" i="16"/>
  <c r="AU272" i="16" s="1"/>
  <c r="X287" i="16"/>
  <c r="AU287" i="16" s="1"/>
  <c r="X267" i="16"/>
  <c r="AU267" i="16" s="1"/>
  <c r="X247" i="16"/>
  <c r="AU247" i="16" s="1"/>
  <c r="X302" i="16"/>
  <c r="AU302" i="16" s="1"/>
  <c r="X282" i="16"/>
  <c r="AU282" i="16" s="1"/>
  <c r="X262" i="16"/>
  <c r="AU262" i="16" s="1"/>
  <c r="X257" i="16"/>
  <c r="AU257" i="16" s="1"/>
  <c r="X237" i="16"/>
  <c r="AU237" i="16" s="1"/>
  <c r="X232" i="16"/>
  <c r="AU232" i="16" s="1"/>
  <c r="X222" i="16"/>
  <c r="AU222" i="16" s="1"/>
  <c r="X212" i="16"/>
  <c r="AU212" i="16" s="1"/>
  <c r="X242" i="16"/>
  <c r="AU242" i="16" s="1"/>
  <c r="X227" i="16"/>
  <c r="AU227" i="16" s="1"/>
  <c r="X162" i="16"/>
  <c r="AU162" i="16" s="1"/>
  <c r="X142" i="16"/>
  <c r="AU142" i="16" s="1"/>
  <c r="X197" i="16"/>
  <c r="AU197" i="16" s="1"/>
  <c r="X157" i="16"/>
  <c r="AU157" i="16" s="1"/>
  <c r="X137" i="16"/>
  <c r="AU137" i="16" s="1"/>
  <c r="X187" i="16"/>
  <c r="AU187" i="16" s="1"/>
  <c r="X152" i="16"/>
  <c r="AU152" i="16" s="1"/>
  <c r="X117" i="16"/>
  <c r="AU117" i="16" s="1"/>
  <c r="X97" i="16"/>
  <c r="AU97" i="16" s="1"/>
  <c r="X277" i="16"/>
  <c r="AU277" i="16" s="1"/>
  <c r="X252" i="16"/>
  <c r="AU252" i="16" s="1"/>
  <c r="X147" i="16"/>
  <c r="AU147" i="16" s="1"/>
  <c r="X107" i="16"/>
  <c r="AU107" i="16" s="1"/>
  <c r="X207" i="16"/>
  <c r="AU207" i="16" s="1"/>
  <c r="X297" i="16"/>
  <c r="AU297" i="16" s="1"/>
  <c r="X132" i="16"/>
  <c r="AU132" i="16" s="1"/>
  <c r="X87" i="16"/>
  <c r="AU87" i="16" s="1"/>
  <c r="X217" i="16"/>
  <c r="AU217" i="16" s="1"/>
  <c r="X127" i="16"/>
  <c r="AU127" i="16" s="1"/>
  <c r="X202" i="16"/>
  <c r="AU202" i="16" s="1"/>
  <c r="X102" i="16"/>
  <c r="AU102" i="16" s="1"/>
  <c r="X92" i="16"/>
  <c r="AU92" i="16" s="1"/>
  <c r="AV162" i="16"/>
  <c r="AV277" i="16"/>
  <c r="AV227" i="16"/>
  <c r="AV262" i="16"/>
  <c r="AV137" i="16"/>
  <c r="AV267" i="16"/>
  <c r="AV147" i="16"/>
  <c r="AV237" i="16"/>
  <c r="AV302" i="16"/>
  <c r="AH38" i="9"/>
  <c r="C124" i="10" s="1"/>
  <c r="M32" i="9"/>
  <c r="T26" i="9"/>
  <c r="AH26" i="9"/>
  <c r="C122" i="10" s="1"/>
  <c r="AA8" i="9"/>
  <c r="T20" i="9"/>
  <c r="C61" i="10" s="1"/>
  <c r="AH20" i="9"/>
  <c r="C121" i="10" s="1"/>
  <c r="T14" i="9"/>
  <c r="C60" i="10" s="1"/>
  <c r="M14" i="9"/>
  <c r="C30" i="10" s="1"/>
  <c r="AA14" i="9"/>
  <c r="C90" i="10" s="1"/>
  <c r="AA20" i="9"/>
  <c r="C91" i="10" s="1"/>
  <c r="M38" i="9"/>
  <c r="C34" i="10" s="1"/>
  <c r="T38" i="9"/>
  <c r="AA32" i="9"/>
  <c r="C93" i="10" s="1"/>
  <c r="AH8" i="9"/>
  <c r="M20" i="9"/>
  <c r="C31" i="10" s="1"/>
  <c r="E75" i="8"/>
  <c r="E76" i="8" s="1"/>
  <c r="E77" i="8" s="1"/>
  <c r="E78" i="8" s="1"/>
  <c r="E79" i="8" s="1"/>
  <c r="E80" i="8" s="1"/>
  <c r="E81" i="8" s="1"/>
  <c r="E82" i="8" s="1"/>
  <c r="T8" i="9"/>
  <c r="AH32" i="9"/>
  <c r="T32" i="9"/>
  <c r="C63" i="10" s="1"/>
  <c r="AH14" i="9"/>
  <c r="C120" i="10" s="1"/>
  <c r="M26" i="9"/>
  <c r="C32" i="10" s="1"/>
  <c r="AA26" i="9"/>
  <c r="C92" i="10" s="1"/>
  <c r="M8" i="9"/>
  <c r="AA38" i="9"/>
  <c r="C94" i="10" s="1"/>
  <c r="R14" i="9"/>
  <c r="R26" i="9"/>
  <c r="F62" i="10" s="1"/>
  <c r="R8" i="9"/>
  <c r="F59" i="10" s="1"/>
  <c r="AF38" i="9"/>
  <c r="K20" i="9"/>
  <c r="F31" i="10" s="1"/>
  <c r="Y8" i="9"/>
  <c r="F89" i="10" s="1"/>
  <c r="Y20" i="9"/>
  <c r="F91" i="10" s="1"/>
  <c r="R38" i="9"/>
  <c r="K32" i="9"/>
  <c r="C75" i="8"/>
  <c r="C76" i="8" s="1"/>
  <c r="C77" i="8" s="1"/>
  <c r="C78" i="8" s="1"/>
  <c r="C79" i="8" s="1"/>
  <c r="C80" i="8" s="1"/>
  <c r="C81" i="8" s="1"/>
  <c r="C82" i="8" s="1"/>
  <c r="K38" i="9"/>
  <c r="Y26" i="9"/>
  <c r="F92" i="10" s="1"/>
  <c r="K8" i="9"/>
  <c r="F29" i="10" s="1"/>
  <c r="K26" i="9"/>
  <c r="F32" i="10" s="1"/>
  <c r="K14" i="9"/>
  <c r="R20" i="9"/>
  <c r="F61" i="10" s="1"/>
  <c r="R32" i="9"/>
  <c r="AF32" i="9"/>
  <c r="Y32" i="9"/>
  <c r="Y38" i="9"/>
  <c r="AF14" i="9"/>
  <c r="AF8" i="9"/>
  <c r="F119" i="10" s="1"/>
  <c r="Y14" i="9"/>
  <c r="AF20" i="9"/>
  <c r="F121" i="10" s="1"/>
  <c r="AF26" i="9"/>
  <c r="F122" i="10" s="1"/>
  <c r="U26" i="9"/>
  <c r="AI32" i="9"/>
  <c r="E123" i="10" s="1"/>
  <c r="AB8" i="9"/>
  <c r="E89" i="10" s="1"/>
  <c r="N8" i="9"/>
  <c r="E29" i="10" s="1"/>
  <c r="U32" i="9"/>
  <c r="E63" i="10" s="1"/>
  <c r="AB38" i="9"/>
  <c r="U14" i="9"/>
  <c r="E60" i="10" s="1"/>
  <c r="N14" i="9"/>
  <c r="E30" i="10" s="1"/>
  <c r="AB32" i="9"/>
  <c r="E93" i="10" s="1"/>
  <c r="N38" i="9"/>
  <c r="E34" i="10" s="1"/>
  <c r="AI26" i="9"/>
  <c r="AI20" i="9"/>
  <c r="U20" i="9"/>
  <c r="N32" i="9"/>
  <c r="E33" i="10" s="1"/>
  <c r="U8" i="9"/>
  <c r="E59" i="10" s="1"/>
  <c r="AB20" i="9"/>
  <c r="N20" i="9"/>
  <c r="AP98" i="9" s="1"/>
  <c r="AI38" i="9"/>
  <c r="U38" i="9"/>
  <c r="E64" i="10" s="1"/>
  <c r="F75" i="8"/>
  <c r="F76" i="8" s="1"/>
  <c r="F77" i="8" s="1"/>
  <c r="F78" i="8" s="1"/>
  <c r="F79" i="8" s="1"/>
  <c r="F80" i="8" s="1"/>
  <c r="F81" i="8" s="1"/>
  <c r="F82" i="8" s="1"/>
  <c r="AI8" i="9"/>
  <c r="E119" i="10" s="1"/>
  <c r="AB26" i="9"/>
  <c r="N26" i="9"/>
  <c r="AB14" i="9"/>
  <c r="E90" i="10" s="1"/>
  <c r="AI14" i="9"/>
  <c r="E120" i="10" s="1"/>
  <c r="AG8" i="9"/>
  <c r="Z14" i="9"/>
  <c r="B90" i="10" s="1"/>
  <c r="L26" i="9"/>
  <c r="L8" i="9"/>
  <c r="L14" i="9"/>
  <c r="B30" i="10" s="1"/>
  <c r="Z8" i="9"/>
  <c r="AG14" i="9"/>
  <c r="B120" i="10" s="1"/>
  <c r="Z32" i="9"/>
  <c r="B93" i="10" s="1"/>
  <c r="S14" i="9"/>
  <c r="B60" i="10" s="1"/>
  <c r="Z26" i="9"/>
  <c r="B92" i="10" s="1"/>
  <c r="AG38" i="9"/>
  <c r="B124" i="10" s="1"/>
  <c r="S32" i="9"/>
  <c r="AG32" i="9"/>
  <c r="B123" i="10" s="1"/>
  <c r="AG26" i="9"/>
  <c r="B122" i="10" s="1"/>
  <c r="Z38" i="9"/>
  <c r="B94" i="10" s="1"/>
  <c r="L20" i="9"/>
  <c r="B31" i="10" s="1"/>
  <c r="D75" i="8"/>
  <c r="D76" i="8" s="1"/>
  <c r="D77" i="8" s="1"/>
  <c r="D78" i="8" s="1"/>
  <c r="D79" i="8" s="1"/>
  <c r="D80" i="8" s="1"/>
  <c r="D81" i="8" s="1"/>
  <c r="D82" i="8" s="1"/>
  <c r="S26" i="9"/>
  <c r="B62" i="10" s="1"/>
  <c r="S38" i="9"/>
  <c r="B64" i="10" s="1"/>
  <c r="S8" i="9"/>
  <c r="L32" i="9"/>
  <c r="B33" i="10" s="1"/>
  <c r="AG20" i="9"/>
  <c r="B121" i="10" s="1"/>
  <c r="Z20" i="9"/>
  <c r="B91" i="10" s="1"/>
  <c r="L38" i="9"/>
  <c r="S20" i="9"/>
  <c r="B61" i="10" s="1"/>
  <c r="AM213" i="9" l="1"/>
  <c r="AM214" i="9"/>
  <c r="AM208" i="9"/>
  <c r="AM210" i="9"/>
  <c r="AM209" i="9"/>
  <c r="AM212" i="9"/>
  <c r="AM211" i="9"/>
  <c r="AM205" i="9"/>
  <c r="AM207" i="9"/>
  <c r="AM206" i="9"/>
  <c r="AV208" i="9"/>
  <c r="AV214" i="9"/>
  <c r="AV209" i="9"/>
  <c r="AV212" i="9"/>
  <c r="AV205" i="9"/>
  <c r="AV211" i="9"/>
  <c r="AV206" i="9"/>
  <c r="AV213" i="9"/>
  <c r="AV210" i="9"/>
  <c r="AV207" i="9"/>
  <c r="AO156" i="9"/>
  <c r="AO153" i="9"/>
  <c r="AO160" i="9"/>
  <c r="AO161" i="9"/>
  <c r="AO155" i="9"/>
  <c r="AO157" i="9"/>
  <c r="AO154" i="9"/>
  <c r="AO159" i="9"/>
  <c r="AO158" i="9"/>
  <c r="AO152" i="9"/>
  <c r="AP161" i="9"/>
  <c r="AP158" i="9"/>
  <c r="AP159" i="9"/>
  <c r="AP152" i="9"/>
  <c r="AP160" i="9"/>
  <c r="AP153" i="9"/>
  <c r="AP155" i="9"/>
  <c r="AP154" i="9"/>
  <c r="AP156" i="9"/>
  <c r="AP157" i="9"/>
  <c r="AP207" i="9"/>
  <c r="AP208" i="9"/>
  <c r="AP209" i="9"/>
  <c r="AP205" i="9"/>
  <c r="AP210" i="9"/>
  <c r="AP211" i="9"/>
  <c r="AP212" i="9"/>
  <c r="AP214" i="9"/>
  <c r="AP213" i="9"/>
  <c r="AP206" i="9"/>
  <c r="AO210" i="9"/>
  <c r="AO209" i="9"/>
  <c r="AO213" i="9"/>
  <c r="AO208" i="9"/>
  <c r="AO205" i="9"/>
  <c r="AO206" i="9"/>
  <c r="AO207" i="9"/>
  <c r="AO211" i="9"/>
  <c r="AO214" i="9"/>
  <c r="AO212" i="9"/>
  <c r="AR155" i="9"/>
  <c r="AR152" i="9"/>
  <c r="AR161" i="9"/>
  <c r="AR156" i="9"/>
  <c r="AR158" i="9"/>
  <c r="AR154" i="9"/>
  <c r="AR160" i="9"/>
  <c r="AR153" i="9"/>
  <c r="AR157" i="9"/>
  <c r="AR159" i="9"/>
  <c r="AS156" i="9"/>
  <c r="AS155" i="9"/>
  <c r="AS154" i="9"/>
  <c r="AS160" i="9"/>
  <c r="AS158" i="9"/>
  <c r="AS161" i="9"/>
  <c r="AS157" i="9"/>
  <c r="AS153" i="9"/>
  <c r="AS159" i="9"/>
  <c r="AS152" i="9"/>
  <c r="AM102" i="9"/>
  <c r="AM99" i="9"/>
  <c r="AM107" i="9"/>
  <c r="AM104" i="9"/>
  <c r="AM101" i="9"/>
  <c r="AM98" i="9"/>
  <c r="AM100" i="9"/>
  <c r="AM105" i="9"/>
  <c r="AM103" i="9"/>
  <c r="AM106" i="9"/>
  <c r="AS209" i="9"/>
  <c r="AS212" i="9"/>
  <c r="AS211" i="9"/>
  <c r="AS208" i="9"/>
  <c r="AS214" i="9"/>
  <c r="AS210" i="9"/>
  <c r="AS207" i="9"/>
  <c r="AS206" i="9"/>
  <c r="AS213" i="9"/>
  <c r="AS205" i="9"/>
  <c r="AT206" i="9"/>
  <c r="AT211" i="9"/>
  <c r="AT210" i="9"/>
  <c r="AT213" i="9"/>
  <c r="AT208" i="9"/>
  <c r="AT214" i="9"/>
  <c r="AT205" i="9"/>
  <c r="AT212" i="9"/>
  <c r="AT209" i="9"/>
  <c r="AT207" i="9"/>
  <c r="AN205" i="9"/>
  <c r="AN211" i="9"/>
  <c r="AN208" i="9"/>
  <c r="AN213" i="9"/>
  <c r="AN207" i="9"/>
  <c r="AN212" i="9"/>
  <c r="AN214" i="9"/>
  <c r="AN209" i="9"/>
  <c r="AN210" i="9"/>
  <c r="AN206" i="9"/>
  <c r="AM157" i="9"/>
  <c r="AM156" i="9"/>
  <c r="AM159" i="9"/>
  <c r="AM153" i="9"/>
  <c r="AM161" i="9"/>
  <c r="AM152" i="9"/>
  <c r="AM160" i="9"/>
  <c r="AM155" i="9"/>
  <c r="AM158" i="9"/>
  <c r="AM154" i="9"/>
  <c r="AR208" i="9"/>
  <c r="AR214" i="9"/>
  <c r="AR209" i="9"/>
  <c r="AR206" i="9"/>
  <c r="AR207" i="9"/>
  <c r="AR213" i="9"/>
  <c r="AR205" i="9"/>
  <c r="AR212" i="9"/>
  <c r="AR211" i="9"/>
  <c r="AR210" i="9"/>
  <c r="AU207" i="9"/>
  <c r="AU213" i="9"/>
  <c r="AU208" i="9"/>
  <c r="AU205" i="9"/>
  <c r="AU206" i="9"/>
  <c r="AU212" i="9"/>
  <c r="AU214" i="9"/>
  <c r="AU211" i="9"/>
  <c r="AU210" i="9"/>
  <c r="AU209" i="9"/>
  <c r="AN154" i="9"/>
  <c r="AN155" i="9"/>
  <c r="AN152" i="9"/>
  <c r="AN158" i="9"/>
  <c r="AN160" i="9"/>
  <c r="AN157" i="9"/>
  <c r="AN153" i="9"/>
  <c r="AN156" i="9"/>
  <c r="AN159" i="9"/>
  <c r="AN161" i="9"/>
  <c r="AU158" i="9"/>
  <c r="AU153" i="9"/>
  <c r="AU159" i="9"/>
  <c r="AU107" i="9"/>
  <c r="AU101" i="9"/>
  <c r="AU154" i="9"/>
  <c r="AU160" i="9"/>
  <c r="AU155" i="9"/>
  <c r="AU100" i="9"/>
  <c r="AU105" i="9"/>
  <c r="AU161" i="9"/>
  <c r="AU156" i="9"/>
  <c r="AU99" i="9"/>
  <c r="AU104" i="9"/>
  <c r="AU102" i="9"/>
  <c r="AU98" i="9"/>
  <c r="AU103" i="9"/>
  <c r="AU157" i="9"/>
  <c r="AU106" i="9"/>
  <c r="AU152" i="9"/>
  <c r="AO99" i="9"/>
  <c r="AO101" i="9"/>
  <c r="AO104" i="9"/>
  <c r="AO107" i="9"/>
  <c r="AO102" i="9"/>
  <c r="AO100" i="9"/>
  <c r="AO103" i="9"/>
  <c r="AO105" i="9"/>
  <c r="AO98" i="9"/>
  <c r="AO106" i="9"/>
  <c r="AQ105" i="9"/>
  <c r="AQ101" i="9"/>
  <c r="AQ99" i="9"/>
  <c r="AQ100" i="9"/>
  <c r="AQ106" i="9"/>
  <c r="AQ107" i="9"/>
  <c r="AQ103" i="9"/>
  <c r="AQ104" i="9"/>
  <c r="AQ98" i="9"/>
  <c r="AQ102" i="9"/>
  <c r="AT101" i="9"/>
  <c r="AT102" i="9"/>
  <c r="AT99" i="9"/>
  <c r="AT107" i="9"/>
  <c r="AT105" i="9"/>
  <c r="AT106" i="9"/>
  <c r="AT104" i="9"/>
  <c r="AT100" i="9"/>
  <c r="AT103" i="9"/>
  <c r="AT98" i="9"/>
  <c r="AP99" i="9"/>
  <c r="AP105" i="9"/>
  <c r="AP103" i="9"/>
  <c r="AP101" i="9"/>
  <c r="AP104" i="9"/>
  <c r="AP107" i="9"/>
  <c r="AP106" i="9"/>
  <c r="AP100" i="9"/>
  <c r="AP102" i="9"/>
  <c r="AR101" i="9"/>
  <c r="AR106" i="9"/>
  <c r="AR102" i="9"/>
  <c r="AR107" i="9"/>
  <c r="AR105" i="9"/>
  <c r="AR99" i="9"/>
  <c r="AR100" i="9"/>
  <c r="AR98" i="9"/>
  <c r="AR103" i="9"/>
  <c r="AR104" i="9"/>
  <c r="AS100" i="9"/>
  <c r="AS101" i="9"/>
  <c r="AS107" i="9"/>
  <c r="AS99" i="9"/>
  <c r="AS104" i="9"/>
  <c r="AS105" i="9"/>
  <c r="AS106" i="9"/>
  <c r="AS103" i="9"/>
  <c r="AS98" i="9"/>
  <c r="AS102" i="9"/>
  <c r="AN101" i="9"/>
  <c r="AN106" i="9"/>
  <c r="AN107" i="9"/>
  <c r="AN105" i="9"/>
  <c r="AN104" i="9"/>
  <c r="AN100" i="9"/>
  <c r="AN98" i="9"/>
  <c r="AN99" i="9"/>
  <c r="AN103" i="9"/>
  <c r="AN102" i="9"/>
  <c r="AV153" i="9"/>
  <c r="AV159" i="9"/>
  <c r="AV100" i="9"/>
  <c r="AV102" i="9"/>
  <c r="AV99" i="9"/>
  <c r="AV160" i="9"/>
  <c r="AV155" i="9"/>
  <c r="AV104" i="9"/>
  <c r="AV106" i="9"/>
  <c r="AV103" i="9"/>
  <c r="AV161" i="9"/>
  <c r="AV156" i="9"/>
  <c r="AV154" i="9"/>
  <c r="AV101" i="9"/>
  <c r="AV107" i="9"/>
  <c r="AV105" i="9"/>
  <c r="AV157" i="9"/>
  <c r="AV158" i="9"/>
  <c r="AV152" i="9"/>
  <c r="AV98" i="9"/>
  <c r="AU48" i="9"/>
  <c r="AU53" i="9"/>
  <c r="AU44" i="9"/>
  <c r="AU46" i="9"/>
  <c r="AU52" i="9"/>
  <c r="AU50" i="9"/>
  <c r="AU47" i="9"/>
  <c r="AU49" i="9"/>
  <c r="AU45" i="9"/>
  <c r="AU51" i="9"/>
  <c r="AV45" i="9"/>
  <c r="AV50" i="9"/>
  <c r="AV44" i="9"/>
  <c r="AV49" i="9"/>
  <c r="AV47" i="9"/>
  <c r="AV48" i="9"/>
  <c r="AV53" i="9"/>
  <c r="AV51" i="9"/>
  <c r="AV46" i="9"/>
  <c r="AV52" i="9"/>
  <c r="AR45" i="9"/>
  <c r="AR50" i="9"/>
  <c r="AR52" i="9"/>
  <c r="AR44" i="9"/>
  <c r="AR49" i="9"/>
  <c r="AR51" i="9"/>
  <c r="AR48" i="9"/>
  <c r="AR53" i="9"/>
  <c r="AR47" i="9"/>
  <c r="AR46" i="9"/>
  <c r="AQ45" i="9"/>
  <c r="AQ44" i="9"/>
  <c r="AQ49" i="9"/>
  <c r="AQ47" i="9"/>
  <c r="AQ46" i="9"/>
  <c r="AQ48" i="9"/>
  <c r="AQ53" i="9"/>
  <c r="AQ51" i="9"/>
  <c r="AQ52" i="9"/>
  <c r="AQ50" i="9"/>
  <c r="AS45" i="9"/>
  <c r="AS44" i="9"/>
  <c r="AS50" i="9"/>
  <c r="AS49" i="9"/>
  <c r="AS51" i="9"/>
  <c r="AS46" i="9"/>
  <c r="AS48" i="9"/>
  <c r="AS53" i="9"/>
  <c r="AS47" i="9"/>
  <c r="AS52" i="9"/>
  <c r="AT53" i="9"/>
  <c r="AT48" i="9"/>
  <c r="AT49" i="9"/>
  <c r="AT46" i="9"/>
  <c r="AT51" i="9"/>
  <c r="AT52" i="9"/>
  <c r="AT45" i="9"/>
  <c r="AT50" i="9"/>
  <c r="AT44" i="9"/>
  <c r="AT47" i="9"/>
  <c r="AN49" i="9"/>
  <c r="AN48" i="9"/>
  <c r="AN44" i="9"/>
  <c r="AN52" i="9"/>
  <c r="AN51" i="9"/>
  <c r="AN50" i="9"/>
  <c r="AN47" i="9"/>
  <c r="AN45" i="9"/>
  <c r="AN53" i="9"/>
  <c r="AN46" i="9"/>
  <c r="AM51" i="9"/>
  <c r="AM46" i="9"/>
  <c r="AM45" i="9"/>
  <c r="AM53" i="9"/>
  <c r="AM50" i="9"/>
  <c r="AM52" i="9"/>
  <c r="AM47" i="9"/>
  <c r="AM48" i="9"/>
  <c r="AM44" i="9"/>
  <c r="AM49" i="9"/>
  <c r="AO51" i="9"/>
  <c r="AO46" i="9"/>
  <c r="AO53" i="9"/>
  <c r="AO52" i="9"/>
  <c r="AO50" i="9"/>
  <c r="AO44" i="9"/>
  <c r="AO49" i="9"/>
  <c r="AO48" i="9"/>
  <c r="AO45" i="9"/>
  <c r="AO47" i="9"/>
  <c r="AP50" i="9"/>
  <c r="AP51" i="9"/>
  <c r="AP49" i="9"/>
  <c r="AP52" i="9"/>
  <c r="AP44" i="9"/>
  <c r="AP45" i="9"/>
  <c r="AP46" i="9"/>
  <c r="AP53" i="9"/>
  <c r="AP48" i="9"/>
  <c r="AP47" i="9"/>
  <c r="E92" i="10"/>
  <c r="E98" i="14"/>
  <c r="F93" i="10"/>
  <c r="F104" i="14"/>
  <c r="F120" i="10"/>
  <c r="F194" i="14"/>
  <c r="F122" i="14"/>
  <c r="F30" i="10"/>
  <c r="F64" i="10"/>
  <c r="F182" i="14"/>
  <c r="F60" i="10"/>
  <c r="F158" i="14"/>
  <c r="C116" i="14"/>
  <c r="C29" i="10"/>
  <c r="C170" i="14"/>
  <c r="C62" i="10"/>
  <c r="B146" i="14"/>
  <c r="B34" i="10"/>
  <c r="B116" i="14"/>
  <c r="B29" i="10"/>
  <c r="E32" i="10"/>
  <c r="E134" i="14"/>
  <c r="E218" i="14"/>
  <c r="E124" i="10"/>
  <c r="E92" i="14"/>
  <c r="E91" i="10"/>
  <c r="E200" i="14"/>
  <c r="E121" i="10"/>
  <c r="E110" i="14"/>
  <c r="E94" i="10"/>
  <c r="F63" i="10"/>
  <c r="F176" i="14"/>
  <c r="F218" i="14"/>
  <c r="F124" i="10"/>
  <c r="C33" i="10"/>
  <c r="C140" i="14"/>
  <c r="B80" i="14"/>
  <c r="B89" i="10"/>
  <c r="F140" i="14"/>
  <c r="F33" i="10"/>
  <c r="C212" i="14"/>
  <c r="C123" i="10"/>
  <c r="C188" i="14"/>
  <c r="C119" i="10"/>
  <c r="B176" i="14"/>
  <c r="B63" i="10"/>
  <c r="B32" i="10"/>
  <c r="B134" i="14"/>
  <c r="E164" i="14"/>
  <c r="E61" i="10"/>
  <c r="F212" i="14"/>
  <c r="F123" i="10"/>
  <c r="F146" i="14"/>
  <c r="F34" i="10"/>
  <c r="C152" i="14"/>
  <c r="C59" i="10"/>
  <c r="B152" i="14"/>
  <c r="B59" i="10"/>
  <c r="B188" i="14"/>
  <c r="B119" i="10"/>
  <c r="E128" i="14"/>
  <c r="E31" i="10"/>
  <c r="E122" i="10"/>
  <c r="E206" i="14"/>
  <c r="E170" i="14"/>
  <c r="E62" i="10"/>
  <c r="F86" i="14"/>
  <c r="F90" i="10"/>
  <c r="F94" i="10"/>
  <c r="F110" i="14"/>
  <c r="C182" i="14"/>
  <c r="C64" i="10"/>
  <c r="C89" i="10"/>
  <c r="C80" i="14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<sst xmlns="http://schemas.openxmlformats.org/spreadsheetml/2006/main" count="1483" uniqueCount="529">
  <si>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</si>
  <si>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</si>
  <si>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</si>
  <si>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</si>
  <si>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</si>
  <si>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</si>
  <si>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</si>
  <si>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</si>
  <si>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</si>
  <si>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</si>
  <si>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</si>
  <si>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</si>
  <si>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</si>
  <si>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</si>
  <si>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</si>
  <si>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</si>
  <si>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</si>
  <si>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</si>
  <si>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</si>
  <si>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</si>
  <si>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</si>
  <si>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</si>
  <si>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</si>
  <si>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</si>
  <si>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</si>
  <si>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</si>
  <si>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</si>
  <si>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</si>
  <si>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</si>
  <si>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</si>
  <si>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</si>
  <si>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</si>
  <si>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</si>
  <si>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</si>
  <si>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</si>
  <si>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</si>
  <si>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</si>
  <si>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</si>
  <si>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</si>
  <si>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</si>
  <si>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</si>
  <si>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</si>
  <si>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</si>
  <si>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</si>
  <si>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</si>
  <si>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</si>
  <si>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</si>
  <si>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</si>
  <si>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</si>
  <si>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</si>
  <si>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</si>
  <si>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</si>
  <si>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</si>
  <si>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</si>
  <si>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</si>
  <si>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</si>
  <si>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</si>
  <si>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</si>
  <si>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</si>
  <si>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</si>
  <si>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</si>
  <si>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</si>
  <si>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</si>
  <si>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</si>
  <si>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</si>
  <si>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</si>
  <si>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</si>
  <si>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</si>
  <si>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</si>
  <si>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</si>
  <si>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</si>
  <si>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</si>
  <si>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</si>
  <si>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</si>
  <si>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</si>
  <si>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</si>
  <si>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</si>
  <si>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</si>
  <si>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</si>
  <si>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</si>
  <si>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</si>
  <si>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</si>
  <si>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</si>
  <si>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</si>
  <si>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</si>
  <si>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</si>
  <si>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</si>
  <si>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</si>
  <si>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</si>
  <si>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</si>
  <si>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</si>
  <si>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</si>
  <si>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</si>
  <si>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</si>
  <si>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</si>
  <si>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</si>
  <si>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</si>
  <si>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</si>
  <si>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</si>
  <si>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</si>
  <si>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</si>
  <si>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</si>
  <si>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</si>
  <si>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</si>
  <si>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</si>
  <si>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</si>
  <si>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</si>
  <si>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</si>
  <si>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</si>
  <si>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</si>
  <si>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</si>
  <si>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</si>
  <si>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</si>
  <si>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</si>
  <si>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</si>
  <si>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</si>
  <si>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</si>
  <si>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</si>
  <si>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</si>
  <si>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</si>
  <si>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</si>
  <si>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</si>
  <si>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</si>
  <si>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</si>
  <si>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</si>
  <si>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</si>
  <si>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</si>
  <si>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</si>
  <si>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</si>
  <si>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</si>
  <si>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</si>
  <si>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</si>
  <si>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</si>
  <si>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</si>
  <si>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</si>
  <si>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</si>
  <si>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</si>
  <si>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</si>
  <si>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</si>
  <si>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</si>
  <si>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</si>
  <si>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</si>
  <si>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</si>
  <si>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</si>
  <si>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</si>
  <si>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</si>
  <si>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</si>
  <si>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</si>
  <si>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</si>
  <si>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</si>
  <si>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</si>
  <si>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</si>
  <si>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</si>
  <si>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</si>
  <si>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</si>
  <si>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</si>
  <si>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</si>
  <si>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</si>
  <si>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</si>
  <si>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</si>
  <si>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</si>
  <si>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</si>
  <si>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</si>
  <si>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</si>
  <si>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</si>
  <si>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</si>
  <si>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</si>
  <si>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</si>
  <si>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</si>
  <si>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</si>
  <si>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</si>
  <si>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</si>
  <si>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</si>
  <si>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</si>
  <si>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</si>
  <si>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</si>
  <si>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</si>
  <si>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</si>
  <si>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</si>
  <si>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</si>
  <si>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</si>
  <si>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</si>
  <si>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</si>
  <si>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</si>
  <si>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</si>
  <si>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</si>
  <si>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</si>
  <si>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</si>
  <si>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</si>
  <si>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</si>
  <si>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</si>
  <si>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</si>
  <si>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</si>
  <si>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</si>
  <si>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</si>
  <si>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</si>
  <si>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</si>
  <si>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</si>
  <si>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</si>
  <si>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</si>
  <si>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</si>
  <si>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</si>
  <si>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</si>
  <si>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</si>
  <si>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</si>
  <si>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</si>
  <si>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</si>
  <si>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</si>
  <si>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</si>
  <si>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</si>
  <si>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</si>
  <si>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</si>
  <si>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</si>
  <si>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</si>
  <si>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</si>
  <si>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</si>
  <si>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</si>
  <si>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</si>
  <si>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</si>
  <si>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</si>
  <si>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</si>
  <si>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</si>
  <si>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</si>
  <si>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</si>
  <si>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</si>
  <si>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</si>
  <si>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</si>
  <si>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</si>
  <si>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</si>
  <si>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</si>
  <si>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</si>
  <si>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</si>
  <si>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</si>
  <si>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</si>
  <si>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</si>
  <si>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</si>
  <si>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</si>
  <si>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</si>
  <si>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</si>
  <si>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</si>
  <si>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</si>
  <si>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</si>
  <si>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</si>
  <si>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</si>
  <si>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</si>
  <si>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</si>
  <si>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</si>
  <si>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</si>
  <si>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</si>
  <si>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</si>
  <si>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</si>
  <si>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</si>
  <si>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</si>
  <si>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</si>
  <si>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</si>
  <si>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</si>
  <si>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</si>
  <si>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</si>
  <si>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</si>
  <si>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</si>
  <si>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</si>
  <si>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</si>
  <si>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</si>
  <si>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</si>
  <si>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</si>
  <si>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</si>
  <si>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</si>
  <si>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</si>
  <si>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</si>
  <si>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</si>
  <si>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</si>
  <si>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</si>
  <si>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</si>
  <si>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</si>
  <si>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</si>
  <si>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</si>
  <si>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</si>
  <si>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</si>
  <si>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</si>
  <si>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</si>
  <si>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</si>
  <si>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</si>
  <si>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</si>
  <si>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</si>
  <si>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</si>
  <si>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</si>
  <si>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</si>
  <si>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</si>
  <si>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</si>
  <si>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</si>
  <si>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</si>
  <si>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</si>
  <si>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</si>
  <si>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</si>
  <si>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</si>
  <si>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</si>
  <si>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</si>
  <si>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</si>
  <si>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</si>
  <si>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</si>
  <si>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</si>
  <si>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</si>
  <si>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</si>
  <si>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</si>
  <si>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</si>
  <si>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</si>
  <si>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</si>
  <si>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</si>
  <si>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</si>
  <si>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</si>
  <si>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</si>
  <si>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</si>
  <si>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</si>
  <si>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</si>
  <si>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</si>
  <si>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</si>
  <si>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</si>
  <si>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</si>
  <si>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</si>
  <si>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</si>
  <si>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</si>
  <si>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</si>
  <si>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</si>
  <si>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</si>
  <si>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</si>
  <si>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</si>
  <si>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</si>
  <si>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</si>
  <si>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</si>
  <si>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</si>
  <si>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</si>
  <si>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</si>
  <si>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</si>
  <si>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</si>
  <si>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</si>
  <si>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</si>
  <si>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</si>
  <si>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</si>
  <si>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</si>
  <si>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</si>
  <si>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</si>
  <si>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</si>
  <si>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</si>
  <si>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</si>
  <si>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</si>
  <si>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</si>
  <si>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</si>
  <si>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</si>
  <si>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</si>
  <si>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</si>
  <si>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</si>
  <si>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</si>
  <si>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</si>
  <si>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</si>
  <si>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</si>
  <si>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</si>
  <si>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</si>
  <si>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</si>
  <si>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</si>
  <si>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</si>
  <si>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</si>
  <si>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</si>
  <si>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</si>
  <si>
    <t>FLOAT</t>
  </si>
  <si>
    <t>energy</t>
  </si>
  <si>
    <t>healRatio</t>
  </si>
  <si>
    <t>criticalRatio</t>
  </si>
  <si>
    <t>criticalDmg</t>
  </si>
  <si>
    <t>初始能量</t>
  </si>
  <si>
    <t>被治疗加成</t>
  </si>
  <si>
    <t>暴击率</t>
  </si>
  <si>
    <t>暴击伤害</t>
  </si>
  <si>
    <t>1-1</t>
    <phoneticPr fontId="1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</si>
  <si>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</si>
  <si>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</si>
  <si>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</si>
  <si>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</si>
  <si>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</si>
  <si>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</si>
  <si>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</si>
  <si>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" type="noConversion"/>
  </si>
  <si>
    <t>2-2</t>
  </si>
  <si>
    <t>2-3</t>
  </si>
  <si>
    <t>2-4</t>
  </si>
  <si>
    <t>2-5</t>
  </si>
  <si>
    <t>2-6</t>
  </si>
  <si>
    <t>2-7</t>
  </si>
  <si>
    <t>2-8</t>
  </si>
  <si>
    <t>H1-1</t>
    <phoneticPr fontId="1" type="noConversion"/>
  </si>
  <si>
    <t>H1-2</t>
  </si>
  <si>
    <t>H1-3</t>
  </si>
  <si>
    <t>宠物情况</t>
    <phoneticPr fontId="1" type="noConversion"/>
  </si>
  <si>
    <t>装备情况</t>
    <phoneticPr fontId="1" type="noConversion"/>
  </si>
  <si>
    <t>拳套</t>
    <phoneticPr fontId="1" type="noConversion"/>
  </si>
  <si>
    <t>曼陀罗</t>
    <phoneticPr fontId="1" type="noConversion"/>
  </si>
  <si>
    <t>宠物等级</t>
    <phoneticPr fontId="1" type="noConversion"/>
  </si>
  <si>
    <t>宠物进阶</t>
    <phoneticPr fontId="1" type="noConversion"/>
  </si>
  <si>
    <t>当前能力</t>
    <phoneticPr fontId="1" type="noConversion"/>
  </si>
  <si>
    <t>体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</si>
  <si>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</si>
  <si>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</si>
  <si>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</si>
  <si>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</si>
  <si>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1-5完成领取S武器,T武器 T衣服</t>
    <phoneticPr fontId="1" type="noConversion"/>
  </si>
  <si>
    <t>装备备注</t>
    <phoneticPr fontId="1" type="noConversion"/>
  </si>
  <si>
    <t>装备能力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</si>
  <si>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</si>
  <si>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</si>
  <si>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</si>
  <si>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进阶级别</t>
    <phoneticPr fontId="1" type="noConversion"/>
  </si>
  <si>
    <t>1-6可以随机掉落装备</t>
    <phoneticPr fontId="1" type="noConversion"/>
  </si>
  <si>
    <t>装备刷满</t>
    <phoneticPr fontId="1" type="noConversion"/>
  </si>
  <si>
    <t>法D系数</t>
    <phoneticPr fontId="1" type="noConversion"/>
  </si>
  <si>
    <t>T系数</t>
    <phoneticPr fontId="1" type="noConversion"/>
  </si>
  <si>
    <t>S系数</t>
    <phoneticPr fontId="1" type="noConversion"/>
  </si>
  <si>
    <t>体</t>
    <phoneticPr fontId="1" type="noConversion"/>
  </si>
  <si>
    <t>力</t>
    <phoneticPr fontId="1" type="noConversion"/>
  </si>
  <si>
    <t>智</t>
    <phoneticPr fontId="1" type="noConversion"/>
  </si>
  <si>
    <t>防</t>
    <phoneticPr fontId="1" type="noConversion"/>
  </si>
  <si>
    <t>总能力</t>
    <phoneticPr fontId="1" type="noConversion"/>
  </si>
  <si>
    <t>强化生成</t>
    <phoneticPr fontId="1" type="noConversion"/>
  </si>
  <si>
    <t>7_self_1_1</t>
  </si>
  <si>
    <t>7_self_3_1</t>
    <phoneticPr fontId="1" type="noConversion"/>
  </si>
  <si>
    <t>7_self_6_1</t>
    <phoneticPr fontId="1" type="noConversion"/>
  </si>
  <si>
    <t>7_self_10_1</t>
    <phoneticPr fontId="1" type="noConversion"/>
  </si>
  <si>
    <t>小丑</t>
    <phoneticPr fontId="1" type="noConversion"/>
  </si>
  <si>
    <t>花魄</t>
    <phoneticPr fontId="1" type="noConversion"/>
  </si>
  <si>
    <t>狼人</t>
    <phoneticPr fontId="1" type="noConversion"/>
  </si>
  <si>
    <t>冰雪女王</t>
  </si>
  <si>
    <t>冰雪女王</t>
    <phoneticPr fontId="1" type="noConversion"/>
  </si>
  <si>
    <t>小丑</t>
    <phoneticPr fontId="1" type="noConversion"/>
  </si>
  <si>
    <t>衣服</t>
    <phoneticPr fontId="1" type="noConversion"/>
  </si>
  <si>
    <t>头盔</t>
    <phoneticPr fontId="1" type="noConversion"/>
  </si>
  <si>
    <t>基础属性表</t>
    <phoneticPr fontId="1" type="noConversion"/>
  </si>
  <si>
    <t>等级</t>
    <phoneticPr fontId="1" type="noConversion"/>
  </si>
  <si>
    <t>戒指</t>
    <phoneticPr fontId="1" type="noConversion"/>
  </si>
  <si>
    <t>3-1</t>
    <phoneticPr fontId="1" type="noConversion"/>
  </si>
  <si>
    <t>3-2</t>
    <phoneticPr fontId="1" type="noConversion"/>
  </si>
  <si>
    <t>3-3</t>
  </si>
  <si>
    <t>3-4</t>
  </si>
  <si>
    <t>3-5</t>
  </si>
  <si>
    <t>3-6</t>
  </si>
  <si>
    <t>3-7</t>
  </si>
  <si>
    <t>3-8</t>
  </si>
  <si>
    <t>H1-4</t>
    <phoneticPr fontId="1" type="noConversion"/>
  </si>
  <si>
    <t>H1-5</t>
    <phoneticPr fontId="1" type="noConversion"/>
  </si>
  <si>
    <t>H1-6</t>
    <phoneticPr fontId="1" type="noConversion"/>
  </si>
  <si>
    <t>H1-7</t>
  </si>
  <si>
    <t>H1-8</t>
  </si>
  <si>
    <t>进阶系数</t>
    <phoneticPr fontId="1" type="noConversion"/>
  </si>
  <si>
    <t>1号</t>
    <phoneticPr fontId="1" type="noConversion"/>
  </si>
  <si>
    <t>白1</t>
    <phoneticPr fontId="1" type="noConversion"/>
  </si>
  <si>
    <t>白7</t>
  </si>
  <si>
    <t>白8</t>
  </si>
  <si>
    <t>白9</t>
  </si>
  <si>
    <t>绿</t>
    <phoneticPr fontId="1" type="noConversion"/>
  </si>
  <si>
    <t>白</t>
    <phoneticPr fontId="1" type="noConversion"/>
  </si>
  <si>
    <t>绿1</t>
    <phoneticPr fontId="1" type="noConversion"/>
  </si>
  <si>
    <t>绿7</t>
  </si>
  <si>
    <t>绿8</t>
  </si>
  <si>
    <t>绿9</t>
  </si>
  <si>
    <t>物攻</t>
    <phoneticPr fontId="1" type="noConversion"/>
  </si>
  <si>
    <t>蓝</t>
    <phoneticPr fontId="1" type="noConversion"/>
  </si>
  <si>
    <t>力量</t>
    <phoneticPr fontId="1" type="noConversion"/>
  </si>
  <si>
    <t>智力</t>
    <phoneticPr fontId="1" type="noConversion"/>
  </si>
  <si>
    <t>2号</t>
    <phoneticPr fontId="1" type="noConversion"/>
  </si>
  <si>
    <t>体力</t>
    <phoneticPr fontId="1" type="noConversion"/>
  </si>
  <si>
    <t>3号</t>
    <phoneticPr fontId="1" type="noConversion"/>
  </si>
  <si>
    <t>防御</t>
    <phoneticPr fontId="1" type="noConversion"/>
  </si>
  <si>
    <t>4号</t>
    <phoneticPr fontId="1" type="noConversion"/>
  </si>
  <si>
    <t>蓝1</t>
    <phoneticPr fontId="1" type="noConversion"/>
  </si>
  <si>
    <t>蓝7</t>
  </si>
  <si>
    <t>蓝8</t>
  </si>
  <si>
    <t>蓝9</t>
  </si>
  <si>
    <t>紫</t>
    <phoneticPr fontId="1" type="noConversion"/>
  </si>
  <si>
    <t>紫1</t>
    <phoneticPr fontId="1" type="noConversion"/>
  </si>
  <si>
    <t>紫7</t>
  </si>
  <si>
    <t>紫8</t>
  </si>
  <si>
    <t>紫9</t>
  </si>
  <si>
    <t>橙</t>
    <phoneticPr fontId="1" type="noConversion"/>
  </si>
  <si>
    <t>橙1</t>
    <phoneticPr fontId="1" type="noConversion"/>
  </si>
  <si>
    <t>橙7</t>
  </si>
  <si>
    <t>橙8</t>
  </si>
  <si>
    <t>橙9</t>
  </si>
  <si>
    <t>力量</t>
    <phoneticPr fontId="1" type="noConversion"/>
  </si>
  <si>
    <t>防御</t>
    <phoneticPr fontId="1" type="noConversion"/>
  </si>
  <si>
    <t>5号</t>
    <phoneticPr fontId="1" type="noConversion"/>
  </si>
  <si>
    <t>6号</t>
    <phoneticPr fontId="1" type="noConversion"/>
  </si>
  <si>
    <t>智力</t>
    <phoneticPr fontId="1" type="noConversion"/>
  </si>
  <si>
    <t>坦</t>
    <phoneticPr fontId="1" type="noConversion"/>
  </si>
  <si>
    <t>法攻</t>
    <phoneticPr fontId="1" type="noConversion"/>
  </si>
  <si>
    <t>无</t>
    <phoneticPr fontId="1" type="noConversion"/>
  </si>
  <si>
    <t>辅助</t>
    <phoneticPr fontId="1" type="noConversion"/>
  </si>
  <si>
    <t>*使用第二套规则</t>
    <phoneticPr fontId="1" type="noConversion"/>
  </si>
  <si>
    <t>进阶等级</t>
    <phoneticPr fontId="1" type="noConversion"/>
  </si>
  <si>
    <t>4-1</t>
    <phoneticPr fontId="1" type="noConversion"/>
  </si>
  <si>
    <t>4-2</t>
  </si>
  <si>
    <t>4-3</t>
  </si>
  <si>
    <t>4-4</t>
  </si>
  <si>
    <t>4-5</t>
  </si>
  <si>
    <t>4-6</t>
  </si>
  <si>
    <t>4-7</t>
  </si>
  <si>
    <t>4-8</t>
  </si>
  <si>
    <t>H2-1</t>
    <phoneticPr fontId="1" type="noConversion"/>
  </si>
  <si>
    <t>H2-2</t>
  </si>
  <si>
    <t>H2-3</t>
  </si>
  <si>
    <t>H2-4</t>
  </si>
  <si>
    <t>H2-5</t>
  </si>
  <si>
    <t>H2-7</t>
  </si>
  <si>
    <t>H2-8</t>
  </si>
  <si>
    <t>H2-6</t>
    <phoneticPr fontId="1" type="noConversion"/>
  </si>
  <si>
    <t>H3-1</t>
    <phoneticPr fontId="1" type="noConversion"/>
  </si>
  <si>
    <t>H3-2</t>
  </si>
  <si>
    <t>H3-3</t>
  </si>
  <si>
    <t>H3-4</t>
  </si>
  <si>
    <t>H3-5</t>
  </si>
  <si>
    <t>H3-6</t>
  </si>
  <si>
    <t>H3-7</t>
  </si>
  <si>
    <t>H3-8</t>
  </si>
  <si>
    <t>H4-1</t>
    <phoneticPr fontId="1" type="noConversion"/>
  </si>
  <si>
    <t>H4-2</t>
  </si>
  <si>
    <t>H4-3</t>
  </si>
  <si>
    <t>H4-4</t>
  </si>
  <si>
    <t>H4-5</t>
  </si>
  <si>
    <t>H4-6</t>
  </si>
  <si>
    <t>H4-7</t>
  </si>
  <si>
    <t>H4-8</t>
  </si>
  <si>
    <t>护腕</t>
    <phoneticPr fontId="1" type="noConversion"/>
  </si>
  <si>
    <t>护身符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</si>
</sst>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_ "/>
    <numFmt numFmtId="177" formatCode="0.000%"/>
    <numFmt numFmtId="178" formatCode="0.00_ "/>
    <numFmt numFmtId="179" formatCode="0.00_);[Red]\(0.00\)"/>
    <numFmt numFmtId="180" formatCode="0_ "/>
    <numFmt numFmtId="181" formatCode="0.0%"/>
    <numFmt numFmtId="182" formatCode="0_);[Red]\(0\)"/>
  </numFmts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FFC000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181" fontId="0" fillId="0" borderId="0" xfId="0" applyNumberFormat="1">
      <alignment vertical="center"/>
    </xf>
    <xf numFmtId="0" fontId="8" fillId="0" borderId="0" xfId="0" applyFont="1">
      <alignment vertical="center"/>
    </xf>
    <xf numFmtId="180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8" fillId="0" borderId="6" xfId="0" applyFont="1" applyBorder="1">
      <alignment vertical="center"/>
    </xf>
    <xf numFmtId="180" fontId="8" fillId="0" borderId="6" xfId="0" applyNumberFormat="1" applyFont="1" applyBorder="1">
      <alignment vertical="center"/>
    </xf>
    <xf numFmtId="0" fontId="9" fillId="0" borderId="6" xfId="0" applyFont="1" applyBorder="1">
      <alignment vertical="center"/>
    </xf>
    <xf numFmtId="180" fontId="8" fillId="0" borderId="7" xfId="0" applyNumberFormat="1" applyFont="1" applyBorder="1">
      <alignment vertical="center"/>
    </xf>
    <xf numFmtId="0" fontId="8" fillId="0" borderId="0" xfId="0" applyFont="1" applyBorder="1">
      <alignment vertical="center"/>
    </xf>
    <xf numFmtId="180" fontId="8" fillId="0" borderId="0" xfId="0" applyNumberFormat="1" applyFont="1" applyBorder="1">
      <alignment vertical="center"/>
    </xf>
    <xf numFmtId="0" fontId="9" fillId="0" borderId="0" xfId="0" applyFont="1" applyBorder="1">
      <alignment vertical="center"/>
    </xf>
    <xf numFmtId="180" fontId="8" fillId="0" borderId="9" xfId="0" applyNumberFormat="1" applyFont="1" applyBorder="1">
      <alignment vertical="center"/>
    </xf>
    <xf numFmtId="0" fontId="8" fillId="0" borderId="11" xfId="0" applyFont="1" applyBorder="1">
      <alignment vertical="center"/>
    </xf>
    <xf numFmtId="180" fontId="8" fillId="0" borderId="11" xfId="0" applyNumberFormat="1" applyFont="1" applyBorder="1">
      <alignment vertical="center"/>
    </xf>
    <xf numFmtId="0" fontId="9" fillId="0" borderId="11" xfId="0" applyFont="1" applyBorder="1">
      <alignment vertical="center"/>
    </xf>
    <xf numFmtId="180" fontId="8" fillId="0" borderId="12" xfId="0" applyNumberFormat="1" applyFont="1" applyBorder="1">
      <alignment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8" fillId="0" borderId="12" xfId="0" applyFont="1" applyBorder="1">
      <alignment vertical="center"/>
    </xf>
    <xf numFmtId="182" fontId="8" fillId="0" borderId="0" xfId="0" applyNumberFormat="1" applyFont="1" applyBorder="1">
      <alignment vertical="center"/>
    </xf>
    <xf numFmtId="182" fontId="8" fillId="0" borderId="0" xfId="0" applyNumberFormat="1" applyFont="1">
      <alignment vertical="center"/>
    </xf>
    <xf numFmtId="0" fontId="10" fillId="0" borderId="11" xfId="0" applyFont="1" applyBorder="1">
      <alignment vertical="center"/>
    </xf>
    <xf numFmtId="180" fontId="10" fillId="0" borderId="11" xfId="0" applyNumberFormat="1" applyFont="1" applyBorder="1">
      <alignment vertical="center"/>
    </xf>
    <xf numFmtId="0" fontId="8" fillId="0" borderId="5" xfId="0" applyFont="1" applyBorder="1">
      <alignment vertical="center"/>
    </xf>
    <xf numFmtId="0" fontId="8" fillId="0" borderId="7" xfId="0" applyFont="1" applyBorder="1">
      <alignment vertical="center"/>
    </xf>
    <xf numFmtId="0" fontId="8" fillId="0" borderId="8" xfId="0" applyFont="1" applyBorder="1">
      <alignment vertical="center"/>
    </xf>
    <xf numFmtId="0" fontId="8" fillId="0" borderId="10" xfId="0" applyFont="1" applyBorder="1">
      <alignment vertical="center"/>
    </xf>
    <xf numFmtId="178" fontId="0" fillId="0" borderId="0" xfId="0" applyNumberFormat="1" applyFill="1">
      <alignment vertical="center"/>
    </xf>
    <xf numFmtId="0" fontId="8" fillId="8" borderId="0" xfId="0" applyFont="1" applyFill="1" applyBorder="1">
      <alignment vertical="center"/>
    </xf>
    <xf numFmtId="0" fontId="8" fillId="8" borderId="6" xfId="0" applyFont="1" applyFill="1" applyBorder="1">
      <alignment vertical="center"/>
    </xf>
    <xf numFmtId="0" fontId="8" fillId="9" borderId="0" xfId="0" applyFont="1" applyFill="1">
      <alignment vertical="center"/>
    </xf>
    <xf numFmtId="0" fontId="8" fillId="9" borderId="6" xfId="0" applyFont="1" applyFill="1" applyBorder="1">
      <alignment vertical="center"/>
    </xf>
    <xf numFmtId="0" fontId="8" fillId="9" borderId="0" xfId="0" applyFont="1" applyFill="1" applyBorder="1">
      <alignment vertical="center"/>
    </xf>
    <xf numFmtId="0" fontId="8" fillId="9" borderId="1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8" fillId="0" borderId="5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4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4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73</xdr:row>
      <xdr:rowOff>0</xdr:rowOff>
    </xdr:from>
    <xdr:to>
      <xdr:col>19</xdr:col>
      <xdr:colOff>523381</xdr:colOff>
      <xdr:row>82</xdr:row>
      <xdr:rowOff>28379</xdr:rowOff>
    </xdr:to>
    <xdr:pic>
      <xdr:nvPicPr>
        <xdr:cNvPr id="9" name="图片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01200" y="12515850"/>
          <a:ext cx="3952381" cy="157142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184</xdr:row>
      <xdr:rowOff>0</xdr:rowOff>
    </xdr:from>
    <xdr:to>
      <xdr:col>20</xdr:col>
      <xdr:colOff>523381</xdr:colOff>
      <xdr:row>193</xdr:row>
      <xdr:rowOff>28379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7000" y="31546800"/>
          <a:ext cx="3952381" cy="1571429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327</xdr:row>
      <xdr:rowOff>0</xdr:rowOff>
    </xdr:from>
    <xdr:to>
      <xdr:col>18</xdr:col>
      <xdr:colOff>56656</xdr:colOff>
      <xdr:row>336</xdr:row>
      <xdr:rowOff>18854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48675" y="56064150"/>
          <a:ext cx="3952381" cy="157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542925</xdr:colOff>
      <xdr:row>87</xdr:row>
      <xdr:rowOff>38100</xdr:rowOff>
    </xdr:from>
    <xdr:to>
      <xdr:col>22</xdr:col>
      <xdr:colOff>161925</xdr:colOff>
      <xdr:row>88</xdr:row>
      <xdr:rowOff>133350</xdr:rowOff>
    </xdr:to>
    <xdr:sp macro="" textlink="">
      <xdr:nvSpPr>
        <xdr:cNvPr id="14337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92</xdr:row>
      <xdr:rowOff>38100</xdr:rowOff>
    </xdr:from>
    <xdr:to>
      <xdr:col>22</xdr:col>
      <xdr:colOff>161925</xdr:colOff>
      <xdr:row>93</xdr:row>
      <xdr:rowOff>133350</xdr:rowOff>
    </xdr:to>
    <xdr:sp macro="" textlink="">
      <xdr:nvSpPr>
        <xdr:cNvPr id="4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97</xdr:row>
      <xdr:rowOff>38100</xdr:rowOff>
    </xdr:from>
    <xdr:to>
      <xdr:col>22</xdr:col>
      <xdr:colOff>161925</xdr:colOff>
      <xdr:row>98</xdr:row>
      <xdr:rowOff>133350</xdr:rowOff>
    </xdr:to>
    <xdr:sp macro="" textlink="">
      <xdr:nvSpPr>
        <xdr:cNvPr id="5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102</xdr:row>
      <xdr:rowOff>38100</xdr:rowOff>
    </xdr:from>
    <xdr:to>
      <xdr:col>22</xdr:col>
      <xdr:colOff>161925</xdr:colOff>
      <xdr:row>103</xdr:row>
      <xdr:rowOff>133350</xdr:rowOff>
    </xdr:to>
    <xdr:sp macro="" textlink="">
      <xdr:nvSpPr>
        <xdr:cNvPr id="6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107</xdr:row>
      <xdr:rowOff>38100</xdr:rowOff>
    </xdr:from>
    <xdr:to>
      <xdr:col>22</xdr:col>
      <xdr:colOff>161925</xdr:colOff>
      <xdr:row>108</xdr:row>
      <xdr:rowOff>133350</xdr:rowOff>
    </xdr:to>
    <xdr:sp macro="" textlink="">
      <xdr:nvSpPr>
        <xdr:cNvPr id="7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112</xdr:row>
      <xdr:rowOff>38100</xdr:rowOff>
    </xdr:from>
    <xdr:to>
      <xdr:col>22</xdr:col>
      <xdr:colOff>161925</xdr:colOff>
      <xdr:row>113</xdr:row>
      <xdr:rowOff>133350</xdr:rowOff>
    </xdr:to>
    <xdr:sp macro="" textlink="">
      <xdr:nvSpPr>
        <xdr:cNvPr id="8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117</xdr:row>
      <xdr:rowOff>38100</xdr:rowOff>
    </xdr:from>
    <xdr:to>
      <xdr:col>22</xdr:col>
      <xdr:colOff>161925</xdr:colOff>
      <xdr:row>118</xdr:row>
      <xdr:rowOff>133350</xdr:rowOff>
    </xdr:to>
    <xdr:sp macro="" textlink="">
      <xdr:nvSpPr>
        <xdr:cNvPr id="9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122</xdr:row>
      <xdr:rowOff>38100</xdr:rowOff>
    </xdr:from>
    <xdr:to>
      <xdr:col>22</xdr:col>
      <xdr:colOff>161925</xdr:colOff>
      <xdr:row>123</xdr:row>
      <xdr:rowOff>133350</xdr:rowOff>
    </xdr:to>
    <xdr:sp macro="" textlink="">
      <xdr:nvSpPr>
        <xdr:cNvPr id="10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127</xdr:row>
      <xdr:rowOff>38100</xdr:rowOff>
    </xdr:from>
    <xdr:to>
      <xdr:col>22</xdr:col>
      <xdr:colOff>161925</xdr:colOff>
      <xdr:row>128</xdr:row>
      <xdr:rowOff>133350</xdr:rowOff>
    </xdr:to>
    <xdr:sp macro="" textlink="">
      <xdr:nvSpPr>
        <xdr:cNvPr id="11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132</xdr:row>
      <xdr:rowOff>38100</xdr:rowOff>
    </xdr:from>
    <xdr:to>
      <xdr:col>22</xdr:col>
      <xdr:colOff>161925</xdr:colOff>
      <xdr:row>133</xdr:row>
      <xdr:rowOff>133350</xdr:rowOff>
    </xdr:to>
    <xdr:sp macro="" textlink="">
      <xdr:nvSpPr>
        <xdr:cNvPr id="12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137</xdr:row>
      <xdr:rowOff>38100</xdr:rowOff>
    </xdr:from>
    <xdr:to>
      <xdr:col>22</xdr:col>
      <xdr:colOff>161925</xdr:colOff>
      <xdr:row>138</xdr:row>
      <xdr:rowOff>133350</xdr:rowOff>
    </xdr:to>
    <xdr:sp macro="" textlink="">
      <xdr:nvSpPr>
        <xdr:cNvPr id="13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142</xdr:row>
      <xdr:rowOff>38100</xdr:rowOff>
    </xdr:from>
    <xdr:to>
      <xdr:col>22</xdr:col>
      <xdr:colOff>161925</xdr:colOff>
      <xdr:row>143</xdr:row>
      <xdr:rowOff>133350</xdr:rowOff>
    </xdr:to>
    <xdr:sp macro="" textlink="">
      <xdr:nvSpPr>
        <xdr:cNvPr id="14" name="AutoShape 1" descr="\\"/>
        <xdr:cNvSpPr>
          <a:spLocks noChangeAspect="1" noChangeArrowheads="1"/>
        </xdr:cNvSpPr>
      </xdr:nvSpPr>
      <xdr:spPr bwMode="auto">
        <a:xfrm>
          <a:off x="186690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147</xdr:row>
      <xdr:rowOff>38100</xdr:rowOff>
    </xdr:from>
    <xdr:to>
      <xdr:col>22</xdr:col>
      <xdr:colOff>161925</xdr:colOff>
      <xdr:row>148</xdr:row>
      <xdr:rowOff>133350</xdr:rowOff>
    </xdr:to>
    <xdr:sp macro="" textlink="">
      <xdr:nvSpPr>
        <xdr:cNvPr id="15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152</xdr:row>
      <xdr:rowOff>38100</xdr:rowOff>
    </xdr:from>
    <xdr:to>
      <xdr:col>22</xdr:col>
      <xdr:colOff>161925</xdr:colOff>
      <xdr:row>153</xdr:row>
      <xdr:rowOff>133350</xdr:rowOff>
    </xdr:to>
    <xdr:sp macro="" textlink="">
      <xdr:nvSpPr>
        <xdr:cNvPr id="16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157</xdr:row>
      <xdr:rowOff>38100</xdr:rowOff>
    </xdr:from>
    <xdr:to>
      <xdr:col>22</xdr:col>
      <xdr:colOff>161925</xdr:colOff>
      <xdr:row>158</xdr:row>
      <xdr:rowOff>133350</xdr:rowOff>
    </xdr:to>
    <xdr:sp macro="" textlink="">
      <xdr:nvSpPr>
        <xdr:cNvPr id="17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162</xdr:row>
      <xdr:rowOff>38100</xdr:rowOff>
    </xdr:from>
    <xdr:to>
      <xdr:col>22</xdr:col>
      <xdr:colOff>161925</xdr:colOff>
      <xdr:row>163</xdr:row>
      <xdr:rowOff>133350</xdr:rowOff>
    </xdr:to>
    <xdr:sp macro="" textlink="">
      <xdr:nvSpPr>
        <xdr:cNvPr id="18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19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167</xdr:row>
      <xdr:rowOff>38100</xdr:rowOff>
    </xdr:from>
    <xdr:to>
      <xdr:col>22</xdr:col>
      <xdr:colOff>161925</xdr:colOff>
      <xdr:row>168</xdr:row>
      <xdr:rowOff>133350</xdr:rowOff>
    </xdr:to>
    <xdr:sp macro="" textlink="">
      <xdr:nvSpPr>
        <xdr:cNvPr id="36" name="AutoShape 1" descr="\\"/>
        <xdr:cNvSpPr>
          <a:spLocks noChangeAspect="1" noChangeArrowheads="1"/>
        </xdr:cNvSpPr>
      </xdr:nvSpPr>
      <xdr:spPr bwMode="auto">
        <a:xfrm>
          <a:off x="18669000" y="2797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172</xdr:row>
      <xdr:rowOff>38100</xdr:rowOff>
    </xdr:from>
    <xdr:to>
      <xdr:col>22</xdr:col>
      <xdr:colOff>161925</xdr:colOff>
      <xdr:row>173</xdr:row>
      <xdr:rowOff>133350</xdr:rowOff>
    </xdr:to>
    <xdr:sp macro="" textlink="">
      <xdr:nvSpPr>
        <xdr:cNvPr id="37" name="AutoShape 1" descr="\\"/>
        <xdr:cNvSpPr>
          <a:spLocks noChangeAspect="1" noChangeArrowheads="1"/>
        </xdr:cNvSpPr>
      </xdr:nvSpPr>
      <xdr:spPr bwMode="auto">
        <a:xfrm>
          <a:off x="18669000" y="290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177</xdr:row>
      <xdr:rowOff>38100</xdr:rowOff>
    </xdr:from>
    <xdr:to>
      <xdr:col>22</xdr:col>
      <xdr:colOff>161925</xdr:colOff>
      <xdr:row>178</xdr:row>
      <xdr:rowOff>133350</xdr:rowOff>
    </xdr:to>
    <xdr:sp macro="" textlink="">
      <xdr:nvSpPr>
        <xdr:cNvPr id="38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182</xdr:row>
      <xdr:rowOff>38100</xdr:rowOff>
    </xdr:from>
    <xdr:to>
      <xdr:col>22</xdr:col>
      <xdr:colOff>161925</xdr:colOff>
      <xdr:row>183</xdr:row>
      <xdr:rowOff>133350</xdr:rowOff>
    </xdr:to>
    <xdr:sp macro="" textlink="">
      <xdr:nvSpPr>
        <xdr:cNvPr id="39" name="AutoShape 1" descr="\\"/>
        <xdr:cNvSpPr>
          <a:spLocks noChangeAspect="1" noChangeArrowheads="1"/>
        </xdr:cNvSpPr>
      </xdr:nvSpPr>
      <xdr:spPr bwMode="auto">
        <a:xfrm>
          <a:off x="18669000" y="3114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187</xdr:row>
      <xdr:rowOff>38100</xdr:rowOff>
    </xdr:from>
    <xdr:to>
      <xdr:col>22</xdr:col>
      <xdr:colOff>161925</xdr:colOff>
      <xdr:row>188</xdr:row>
      <xdr:rowOff>133350</xdr:rowOff>
    </xdr:to>
    <xdr:sp macro="" textlink="">
      <xdr:nvSpPr>
        <xdr:cNvPr id="40" name="AutoShape 1" descr="\\"/>
        <xdr:cNvSpPr>
          <a:spLocks noChangeAspect="1" noChangeArrowheads="1"/>
        </xdr:cNvSpPr>
      </xdr:nvSpPr>
      <xdr:spPr bwMode="auto">
        <a:xfrm>
          <a:off x="18669000" y="322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41" name="AutoShape 1" descr="\\"/>
        <xdr:cNvSpPr>
          <a:spLocks noChangeAspect="1" noChangeArrowheads="1"/>
        </xdr:cNvSpPr>
      </xdr:nvSpPr>
      <xdr:spPr bwMode="auto">
        <a:xfrm>
          <a:off x="18669000" y="3326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197</xdr:row>
      <xdr:rowOff>38100</xdr:rowOff>
    </xdr:from>
    <xdr:to>
      <xdr:col>22</xdr:col>
      <xdr:colOff>161925</xdr:colOff>
      <xdr:row>198</xdr:row>
      <xdr:rowOff>133350</xdr:rowOff>
    </xdr:to>
    <xdr:sp macro="" textlink="">
      <xdr:nvSpPr>
        <xdr:cNvPr id="42" name="AutoShape 1" descr="\\"/>
        <xdr:cNvSpPr>
          <a:spLocks noChangeAspect="1" noChangeArrowheads="1"/>
        </xdr:cNvSpPr>
      </xdr:nvSpPr>
      <xdr:spPr bwMode="auto">
        <a:xfrm>
          <a:off x="18669000" y="343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202</xdr:row>
      <xdr:rowOff>38100</xdr:rowOff>
    </xdr:from>
    <xdr:to>
      <xdr:col>22</xdr:col>
      <xdr:colOff>161925</xdr:colOff>
      <xdr:row>203</xdr:row>
      <xdr:rowOff>133350</xdr:rowOff>
    </xdr:to>
    <xdr:sp macro="" textlink="">
      <xdr:nvSpPr>
        <xdr:cNvPr id="43" name="AutoShape 1" descr="\\"/>
        <xdr:cNvSpPr>
          <a:spLocks noChangeAspect="1" noChangeArrowheads="1"/>
        </xdr:cNvSpPr>
      </xdr:nvSpPr>
      <xdr:spPr bwMode="auto">
        <a:xfrm>
          <a:off x="18669000" y="2797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207</xdr:row>
      <xdr:rowOff>38100</xdr:rowOff>
    </xdr:from>
    <xdr:to>
      <xdr:col>22</xdr:col>
      <xdr:colOff>161925</xdr:colOff>
      <xdr:row>208</xdr:row>
      <xdr:rowOff>133350</xdr:rowOff>
    </xdr:to>
    <xdr:sp macro="" textlink="">
      <xdr:nvSpPr>
        <xdr:cNvPr id="44" name="AutoShape 1" descr="\\"/>
        <xdr:cNvSpPr>
          <a:spLocks noChangeAspect="1" noChangeArrowheads="1"/>
        </xdr:cNvSpPr>
      </xdr:nvSpPr>
      <xdr:spPr bwMode="auto">
        <a:xfrm>
          <a:off x="18669000" y="290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212</xdr:row>
      <xdr:rowOff>38100</xdr:rowOff>
    </xdr:from>
    <xdr:to>
      <xdr:col>22</xdr:col>
      <xdr:colOff>161925</xdr:colOff>
      <xdr:row>213</xdr:row>
      <xdr:rowOff>133350</xdr:rowOff>
    </xdr:to>
    <xdr:sp macro="" textlink="">
      <xdr:nvSpPr>
        <xdr:cNvPr id="45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217</xdr:row>
      <xdr:rowOff>38100</xdr:rowOff>
    </xdr:from>
    <xdr:to>
      <xdr:col>22</xdr:col>
      <xdr:colOff>161925</xdr:colOff>
      <xdr:row>218</xdr:row>
      <xdr:rowOff>133350</xdr:rowOff>
    </xdr:to>
    <xdr:sp macro="" textlink="">
      <xdr:nvSpPr>
        <xdr:cNvPr id="46" name="AutoShape 1" descr="\\"/>
        <xdr:cNvSpPr>
          <a:spLocks noChangeAspect="1" noChangeArrowheads="1"/>
        </xdr:cNvSpPr>
      </xdr:nvSpPr>
      <xdr:spPr bwMode="auto">
        <a:xfrm>
          <a:off x="18669000" y="3114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222</xdr:row>
      <xdr:rowOff>38100</xdr:rowOff>
    </xdr:from>
    <xdr:to>
      <xdr:col>22</xdr:col>
      <xdr:colOff>161925</xdr:colOff>
      <xdr:row>223</xdr:row>
      <xdr:rowOff>133350</xdr:rowOff>
    </xdr:to>
    <xdr:sp macro="" textlink="">
      <xdr:nvSpPr>
        <xdr:cNvPr id="47" name="AutoShape 1" descr="\\"/>
        <xdr:cNvSpPr>
          <a:spLocks noChangeAspect="1" noChangeArrowheads="1"/>
        </xdr:cNvSpPr>
      </xdr:nvSpPr>
      <xdr:spPr bwMode="auto">
        <a:xfrm>
          <a:off x="18669000" y="322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227</xdr:row>
      <xdr:rowOff>38100</xdr:rowOff>
    </xdr:from>
    <xdr:to>
      <xdr:col>22</xdr:col>
      <xdr:colOff>161925</xdr:colOff>
      <xdr:row>228</xdr:row>
      <xdr:rowOff>133350</xdr:rowOff>
    </xdr:to>
    <xdr:sp macro="" textlink="">
      <xdr:nvSpPr>
        <xdr:cNvPr id="48" name="AutoShape 1" descr="\\"/>
        <xdr:cNvSpPr>
          <a:spLocks noChangeAspect="1" noChangeArrowheads="1"/>
        </xdr:cNvSpPr>
      </xdr:nvSpPr>
      <xdr:spPr bwMode="auto">
        <a:xfrm>
          <a:off x="18669000" y="3326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232</xdr:row>
      <xdr:rowOff>38100</xdr:rowOff>
    </xdr:from>
    <xdr:to>
      <xdr:col>22</xdr:col>
      <xdr:colOff>161925</xdr:colOff>
      <xdr:row>233</xdr:row>
      <xdr:rowOff>133350</xdr:rowOff>
    </xdr:to>
    <xdr:sp macro="" textlink="">
      <xdr:nvSpPr>
        <xdr:cNvPr id="49" name="AutoShape 1" descr="\\"/>
        <xdr:cNvSpPr>
          <a:spLocks noChangeAspect="1" noChangeArrowheads="1"/>
        </xdr:cNvSpPr>
      </xdr:nvSpPr>
      <xdr:spPr bwMode="auto">
        <a:xfrm>
          <a:off x="18669000" y="343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237</xdr:row>
      <xdr:rowOff>38100</xdr:rowOff>
    </xdr:from>
    <xdr:to>
      <xdr:col>22</xdr:col>
      <xdr:colOff>161925</xdr:colOff>
      <xdr:row>238</xdr:row>
      <xdr:rowOff>133350</xdr:rowOff>
    </xdr:to>
    <xdr:sp macro="" textlink="">
      <xdr:nvSpPr>
        <xdr:cNvPr id="50" name="AutoShape 1" descr="\\"/>
        <xdr:cNvSpPr>
          <a:spLocks noChangeAspect="1" noChangeArrowheads="1"/>
        </xdr:cNvSpPr>
      </xdr:nvSpPr>
      <xdr:spPr bwMode="auto">
        <a:xfrm>
          <a:off x="18669000" y="2797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242</xdr:row>
      <xdr:rowOff>38100</xdr:rowOff>
    </xdr:from>
    <xdr:to>
      <xdr:col>22</xdr:col>
      <xdr:colOff>161925</xdr:colOff>
      <xdr:row>243</xdr:row>
      <xdr:rowOff>133350</xdr:rowOff>
    </xdr:to>
    <xdr:sp macro="" textlink="">
      <xdr:nvSpPr>
        <xdr:cNvPr id="51" name="AutoShape 1" descr="\\"/>
        <xdr:cNvSpPr>
          <a:spLocks noChangeAspect="1" noChangeArrowheads="1"/>
        </xdr:cNvSpPr>
      </xdr:nvSpPr>
      <xdr:spPr bwMode="auto">
        <a:xfrm>
          <a:off x="18669000" y="290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247</xdr:row>
      <xdr:rowOff>38100</xdr:rowOff>
    </xdr:from>
    <xdr:to>
      <xdr:col>22</xdr:col>
      <xdr:colOff>161925</xdr:colOff>
      <xdr:row>248</xdr:row>
      <xdr:rowOff>133350</xdr:rowOff>
    </xdr:to>
    <xdr:sp macro="" textlink="">
      <xdr:nvSpPr>
        <xdr:cNvPr id="52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252</xdr:row>
      <xdr:rowOff>38100</xdr:rowOff>
    </xdr:from>
    <xdr:to>
      <xdr:col>22</xdr:col>
      <xdr:colOff>161925</xdr:colOff>
      <xdr:row>253</xdr:row>
      <xdr:rowOff>133350</xdr:rowOff>
    </xdr:to>
    <xdr:sp macro="" textlink="">
      <xdr:nvSpPr>
        <xdr:cNvPr id="53" name="AutoShape 1" descr="\\"/>
        <xdr:cNvSpPr>
          <a:spLocks noChangeAspect="1" noChangeArrowheads="1"/>
        </xdr:cNvSpPr>
      </xdr:nvSpPr>
      <xdr:spPr bwMode="auto">
        <a:xfrm>
          <a:off x="18669000" y="3114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257</xdr:row>
      <xdr:rowOff>38100</xdr:rowOff>
    </xdr:from>
    <xdr:to>
      <xdr:col>22</xdr:col>
      <xdr:colOff>161925</xdr:colOff>
      <xdr:row>258</xdr:row>
      <xdr:rowOff>133350</xdr:rowOff>
    </xdr:to>
    <xdr:sp macro="" textlink="">
      <xdr:nvSpPr>
        <xdr:cNvPr id="54" name="AutoShape 1" descr="\\"/>
        <xdr:cNvSpPr>
          <a:spLocks noChangeAspect="1" noChangeArrowheads="1"/>
        </xdr:cNvSpPr>
      </xdr:nvSpPr>
      <xdr:spPr bwMode="auto">
        <a:xfrm>
          <a:off x="18669000" y="322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262</xdr:row>
      <xdr:rowOff>38100</xdr:rowOff>
    </xdr:from>
    <xdr:to>
      <xdr:col>22</xdr:col>
      <xdr:colOff>161925</xdr:colOff>
      <xdr:row>263</xdr:row>
      <xdr:rowOff>133350</xdr:rowOff>
    </xdr:to>
    <xdr:sp macro="" textlink="">
      <xdr:nvSpPr>
        <xdr:cNvPr id="55" name="AutoShape 1" descr="\\"/>
        <xdr:cNvSpPr>
          <a:spLocks noChangeAspect="1" noChangeArrowheads="1"/>
        </xdr:cNvSpPr>
      </xdr:nvSpPr>
      <xdr:spPr bwMode="auto">
        <a:xfrm>
          <a:off x="18669000" y="3326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267</xdr:row>
      <xdr:rowOff>38100</xdr:rowOff>
    </xdr:from>
    <xdr:to>
      <xdr:col>22</xdr:col>
      <xdr:colOff>161925</xdr:colOff>
      <xdr:row>268</xdr:row>
      <xdr:rowOff>133350</xdr:rowOff>
    </xdr:to>
    <xdr:sp macro="" textlink="">
      <xdr:nvSpPr>
        <xdr:cNvPr id="56" name="AutoShape 1" descr="\\"/>
        <xdr:cNvSpPr>
          <a:spLocks noChangeAspect="1" noChangeArrowheads="1"/>
        </xdr:cNvSpPr>
      </xdr:nvSpPr>
      <xdr:spPr bwMode="auto">
        <a:xfrm>
          <a:off x="18669000" y="343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272</xdr:row>
      <xdr:rowOff>38100</xdr:rowOff>
    </xdr:from>
    <xdr:to>
      <xdr:col>22</xdr:col>
      <xdr:colOff>161925</xdr:colOff>
      <xdr:row>273</xdr:row>
      <xdr:rowOff>133350</xdr:rowOff>
    </xdr:to>
    <xdr:sp macro="" textlink="">
      <xdr:nvSpPr>
        <xdr:cNvPr id="57" name="AutoShape 1" descr="\\"/>
        <xdr:cNvSpPr>
          <a:spLocks noChangeAspect="1" noChangeArrowheads="1"/>
        </xdr:cNvSpPr>
      </xdr:nvSpPr>
      <xdr:spPr bwMode="auto">
        <a:xfrm>
          <a:off x="18669000" y="2797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277</xdr:row>
      <xdr:rowOff>38100</xdr:rowOff>
    </xdr:from>
    <xdr:to>
      <xdr:col>22</xdr:col>
      <xdr:colOff>161925</xdr:colOff>
      <xdr:row>278</xdr:row>
      <xdr:rowOff>133350</xdr:rowOff>
    </xdr:to>
    <xdr:sp macro="" textlink="">
      <xdr:nvSpPr>
        <xdr:cNvPr id="58" name="AutoShape 1" descr="\\"/>
        <xdr:cNvSpPr>
          <a:spLocks noChangeAspect="1" noChangeArrowheads="1"/>
        </xdr:cNvSpPr>
      </xdr:nvSpPr>
      <xdr:spPr bwMode="auto">
        <a:xfrm>
          <a:off x="18669000" y="2903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282</xdr:row>
      <xdr:rowOff>38100</xdr:rowOff>
    </xdr:from>
    <xdr:to>
      <xdr:col>22</xdr:col>
      <xdr:colOff>161925</xdr:colOff>
      <xdr:row>283</xdr:row>
      <xdr:rowOff>133350</xdr:rowOff>
    </xdr:to>
    <xdr:sp macro="" textlink="">
      <xdr:nvSpPr>
        <xdr:cNvPr id="59" name="AutoShape 1" descr="\\"/>
        <xdr:cNvSpPr>
          <a:spLocks noChangeAspect="1" noChangeArrowheads="1"/>
        </xdr:cNvSpPr>
      </xdr:nvSpPr>
      <xdr:spPr bwMode="auto">
        <a:xfrm>
          <a:off x="18669000" y="3008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287</xdr:row>
      <xdr:rowOff>38100</xdr:rowOff>
    </xdr:from>
    <xdr:to>
      <xdr:col>22</xdr:col>
      <xdr:colOff>161925</xdr:colOff>
      <xdr:row>288</xdr:row>
      <xdr:rowOff>133350</xdr:rowOff>
    </xdr:to>
    <xdr:sp macro="" textlink="">
      <xdr:nvSpPr>
        <xdr:cNvPr id="60" name="AutoShape 1" descr="\\"/>
        <xdr:cNvSpPr>
          <a:spLocks noChangeAspect="1" noChangeArrowheads="1"/>
        </xdr:cNvSpPr>
      </xdr:nvSpPr>
      <xdr:spPr bwMode="auto">
        <a:xfrm>
          <a:off x="18669000" y="3114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292</xdr:row>
      <xdr:rowOff>38100</xdr:rowOff>
    </xdr:from>
    <xdr:to>
      <xdr:col>22</xdr:col>
      <xdr:colOff>161925</xdr:colOff>
      <xdr:row>293</xdr:row>
      <xdr:rowOff>133350</xdr:rowOff>
    </xdr:to>
    <xdr:sp macro="" textlink="">
      <xdr:nvSpPr>
        <xdr:cNvPr id="61" name="AutoShape 1" descr="\\"/>
        <xdr:cNvSpPr>
          <a:spLocks noChangeAspect="1" noChangeArrowheads="1"/>
        </xdr:cNvSpPr>
      </xdr:nvSpPr>
      <xdr:spPr bwMode="auto">
        <a:xfrm>
          <a:off x="18669000" y="322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297</xdr:row>
      <xdr:rowOff>38100</xdr:rowOff>
    </xdr:from>
    <xdr:to>
      <xdr:col>22</xdr:col>
      <xdr:colOff>161925</xdr:colOff>
      <xdr:row>298</xdr:row>
      <xdr:rowOff>133350</xdr:rowOff>
    </xdr:to>
    <xdr:sp macro="" textlink="">
      <xdr:nvSpPr>
        <xdr:cNvPr id="62" name="AutoShape 1" descr="\\"/>
        <xdr:cNvSpPr>
          <a:spLocks noChangeAspect="1" noChangeArrowheads="1"/>
        </xdr:cNvSpPr>
      </xdr:nvSpPr>
      <xdr:spPr bwMode="auto">
        <a:xfrm>
          <a:off x="18669000" y="3326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302</xdr:row>
      <xdr:rowOff>38100</xdr:rowOff>
    </xdr:from>
    <xdr:to>
      <xdr:col>22</xdr:col>
      <xdr:colOff>161925</xdr:colOff>
      <xdr:row>303</xdr:row>
      <xdr:rowOff>133350</xdr:rowOff>
    </xdr:to>
    <xdr:sp macro="" textlink="">
      <xdr:nvSpPr>
        <xdr:cNvPr id="63" name="AutoShape 1" descr="\\"/>
        <xdr:cNvSpPr>
          <a:spLocks noChangeAspect="1" noChangeArrowheads="1"/>
        </xdr:cNvSpPr>
      </xdr:nvSpPr>
      <xdr:spPr bwMode="auto">
        <a:xfrm>
          <a:off x="18669000" y="343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122</xdr:row>
      <xdr:rowOff>38100</xdr:rowOff>
    </xdr:from>
    <xdr:to>
      <xdr:col>22</xdr:col>
      <xdr:colOff>161925</xdr:colOff>
      <xdr:row>123</xdr:row>
      <xdr:rowOff>133350</xdr:rowOff>
    </xdr:to>
    <xdr:sp macro="" textlink="">
      <xdr:nvSpPr>
        <xdr:cNvPr id="65" name="AutoShape 1" descr="\\"/>
        <xdr:cNvSpPr>
          <a:spLocks noChangeAspect="1" noChangeArrowheads="1"/>
        </xdr:cNvSpPr>
      </xdr:nvSpPr>
      <xdr:spPr bwMode="auto">
        <a:xfrm>
          <a:off x="18669000" y="2277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167</xdr:row>
      <xdr:rowOff>38100</xdr:rowOff>
    </xdr:from>
    <xdr:to>
      <xdr:col>22</xdr:col>
      <xdr:colOff>161925</xdr:colOff>
      <xdr:row>168</xdr:row>
      <xdr:rowOff>133350</xdr:rowOff>
    </xdr:to>
    <xdr:sp macro="" textlink="">
      <xdr:nvSpPr>
        <xdr:cNvPr id="66" name="AutoShape 1" descr="\\"/>
        <xdr:cNvSpPr>
          <a:spLocks noChangeAspect="1" noChangeArrowheads="1"/>
        </xdr:cNvSpPr>
      </xdr:nvSpPr>
      <xdr:spPr bwMode="auto">
        <a:xfrm>
          <a:off x="18669000" y="2383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172</xdr:row>
      <xdr:rowOff>38100</xdr:rowOff>
    </xdr:from>
    <xdr:to>
      <xdr:col>22</xdr:col>
      <xdr:colOff>161925</xdr:colOff>
      <xdr:row>173</xdr:row>
      <xdr:rowOff>133350</xdr:rowOff>
    </xdr:to>
    <xdr:sp macro="" textlink="">
      <xdr:nvSpPr>
        <xdr:cNvPr id="67" name="AutoShape 1" descr="\\"/>
        <xdr:cNvSpPr>
          <a:spLocks noChangeAspect="1" noChangeArrowheads="1"/>
        </xdr:cNvSpPr>
      </xdr:nvSpPr>
      <xdr:spPr bwMode="auto">
        <a:xfrm>
          <a:off x="18669000" y="2383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177</xdr:row>
      <xdr:rowOff>38100</xdr:rowOff>
    </xdr:from>
    <xdr:to>
      <xdr:col>22</xdr:col>
      <xdr:colOff>161925</xdr:colOff>
      <xdr:row>178</xdr:row>
      <xdr:rowOff>133350</xdr:rowOff>
    </xdr:to>
    <xdr:sp macro="" textlink="">
      <xdr:nvSpPr>
        <xdr:cNvPr id="68" name="AutoShape 1" descr="\\"/>
        <xdr:cNvSpPr>
          <a:spLocks noChangeAspect="1" noChangeArrowheads="1"/>
        </xdr:cNvSpPr>
      </xdr:nvSpPr>
      <xdr:spPr bwMode="auto">
        <a:xfrm>
          <a:off x="18669000" y="3651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177</xdr:row>
      <xdr:rowOff>38100</xdr:rowOff>
    </xdr:from>
    <xdr:to>
      <xdr:col>22</xdr:col>
      <xdr:colOff>161925</xdr:colOff>
      <xdr:row>178</xdr:row>
      <xdr:rowOff>133350</xdr:rowOff>
    </xdr:to>
    <xdr:sp macro="" textlink="">
      <xdr:nvSpPr>
        <xdr:cNvPr id="69" name="AutoShape 1" descr="\\"/>
        <xdr:cNvSpPr>
          <a:spLocks noChangeAspect="1" noChangeArrowheads="1"/>
        </xdr:cNvSpPr>
      </xdr:nvSpPr>
      <xdr:spPr bwMode="auto">
        <a:xfrm>
          <a:off x="18669000" y="3651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177</xdr:row>
      <xdr:rowOff>38100</xdr:rowOff>
    </xdr:from>
    <xdr:to>
      <xdr:col>22</xdr:col>
      <xdr:colOff>161925</xdr:colOff>
      <xdr:row>178</xdr:row>
      <xdr:rowOff>133350</xdr:rowOff>
    </xdr:to>
    <xdr:sp macro="" textlink="">
      <xdr:nvSpPr>
        <xdr:cNvPr id="70" name="AutoShape 1" descr="\\"/>
        <xdr:cNvSpPr>
          <a:spLocks noChangeAspect="1" noChangeArrowheads="1"/>
        </xdr:cNvSpPr>
      </xdr:nvSpPr>
      <xdr:spPr bwMode="auto">
        <a:xfrm>
          <a:off x="18669000" y="3651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177</xdr:row>
      <xdr:rowOff>38100</xdr:rowOff>
    </xdr:from>
    <xdr:to>
      <xdr:col>22</xdr:col>
      <xdr:colOff>161925</xdr:colOff>
      <xdr:row>178</xdr:row>
      <xdr:rowOff>133350</xdr:rowOff>
    </xdr:to>
    <xdr:sp macro="" textlink="">
      <xdr:nvSpPr>
        <xdr:cNvPr id="71" name="AutoShape 1" descr="\\"/>
        <xdr:cNvSpPr>
          <a:spLocks noChangeAspect="1" noChangeArrowheads="1"/>
        </xdr:cNvSpPr>
      </xdr:nvSpPr>
      <xdr:spPr bwMode="auto">
        <a:xfrm>
          <a:off x="18669000" y="3651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182</xdr:row>
      <xdr:rowOff>38100</xdr:rowOff>
    </xdr:from>
    <xdr:to>
      <xdr:col>22</xdr:col>
      <xdr:colOff>161925</xdr:colOff>
      <xdr:row>183</xdr:row>
      <xdr:rowOff>133350</xdr:rowOff>
    </xdr:to>
    <xdr:sp macro="" textlink="">
      <xdr:nvSpPr>
        <xdr:cNvPr id="72" name="AutoShape 1" descr="\\"/>
        <xdr:cNvSpPr>
          <a:spLocks noChangeAspect="1" noChangeArrowheads="1"/>
        </xdr:cNvSpPr>
      </xdr:nvSpPr>
      <xdr:spPr bwMode="auto">
        <a:xfrm>
          <a:off x="18669000" y="3757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182</xdr:row>
      <xdr:rowOff>38100</xdr:rowOff>
    </xdr:from>
    <xdr:to>
      <xdr:col>22</xdr:col>
      <xdr:colOff>161925</xdr:colOff>
      <xdr:row>183</xdr:row>
      <xdr:rowOff>133350</xdr:rowOff>
    </xdr:to>
    <xdr:sp macro="" textlink="">
      <xdr:nvSpPr>
        <xdr:cNvPr id="73" name="AutoShape 1" descr="\\"/>
        <xdr:cNvSpPr>
          <a:spLocks noChangeAspect="1" noChangeArrowheads="1"/>
        </xdr:cNvSpPr>
      </xdr:nvSpPr>
      <xdr:spPr bwMode="auto">
        <a:xfrm>
          <a:off x="18669000" y="3757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182</xdr:row>
      <xdr:rowOff>38100</xdr:rowOff>
    </xdr:from>
    <xdr:to>
      <xdr:col>22</xdr:col>
      <xdr:colOff>161925</xdr:colOff>
      <xdr:row>183</xdr:row>
      <xdr:rowOff>133350</xdr:rowOff>
    </xdr:to>
    <xdr:sp macro="" textlink="">
      <xdr:nvSpPr>
        <xdr:cNvPr id="74" name="AutoShape 1" descr="\\"/>
        <xdr:cNvSpPr>
          <a:spLocks noChangeAspect="1" noChangeArrowheads="1"/>
        </xdr:cNvSpPr>
      </xdr:nvSpPr>
      <xdr:spPr bwMode="auto">
        <a:xfrm>
          <a:off x="18669000" y="3757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182</xdr:row>
      <xdr:rowOff>38100</xdr:rowOff>
    </xdr:from>
    <xdr:to>
      <xdr:col>22</xdr:col>
      <xdr:colOff>161925</xdr:colOff>
      <xdr:row>183</xdr:row>
      <xdr:rowOff>133350</xdr:rowOff>
    </xdr:to>
    <xdr:sp macro="" textlink="">
      <xdr:nvSpPr>
        <xdr:cNvPr id="75" name="AutoShape 1" descr="\\"/>
        <xdr:cNvSpPr>
          <a:spLocks noChangeAspect="1" noChangeArrowheads="1"/>
        </xdr:cNvSpPr>
      </xdr:nvSpPr>
      <xdr:spPr bwMode="auto">
        <a:xfrm>
          <a:off x="18669000" y="3757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182</xdr:row>
      <xdr:rowOff>38100</xdr:rowOff>
    </xdr:from>
    <xdr:to>
      <xdr:col>22</xdr:col>
      <xdr:colOff>161925</xdr:colOff>
      <xdr:row>183</xdr:row>
      <xdr:rowOff>133350</xdr:rowOff>
    </xdr:to>
    <xdr:sp macro="" textlink="">
      <xdr:nvSpPr>
        <xdr:cNvPr id="76" name="AutoShape 1" descr="\\"/>
        <xdr:cNvSpPr>
          <a:spLocks noChangeAspect="1" noChangeArrowheads="1"/>
        </xdr:cNvSpPr>
      </xdr:nvSpPr>
      <xdr:spPr bwMode="auto">
        <a:xfrm>
          <a:off x="18669000" y="3757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77" name="AutoShape 1" descr="\\"/>
        <xdr:cNvSpPr>
          <a:spLocks noChangeAspect="1" noChangeArrowheads="1"/>
        </xdr:cNvSpPr>
      </xdr:nvSpPr>
      <xdr:spPr bwMode="auto">
        <a:xfrm>
          <a:off x="18669000" y="3863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78" name="AutoShape 1" descr="\\"/>
        <xdr:cNvSpPr>
          <a:spLocks noChangeAspect="1" noChangeArrowheads="1"/>
        </xdr:cNvSpPr>
      </xdr:nvSpPr>
      <xdr:spPr bwMode="auto">
        <a:xfrm>
          <a:off x="18669000" y="3863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79" name="AutoShape 1" descr="\\"/>
        <xdr:cNvSpPr>
          <a:spLocks noChangeAspect="1" noChangeArrowheads="1"/>
        </xdr:cNvSpPr>
      </xdr:nvSpPr>
      <xdr:spPr bwMode="auto">
        <a:xfrm>
          <a:off x="18669000" y="3863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80" name="AutoShape 1" descr="\\"/>
        <xdr:cNvSpPr>
          <a:spLocks noChangeAspect="1" noChangeArrowheads="1"/>
        </xdr:cNvSpPr>
      </xdr:nvSpPr>
      <xdr:spPr bwMode="auto">
        <a:xfrm>
          <a:off x="18669000" y="3863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81" name="AutoShape 1" descr="\\"/>
        <xdr:cNvSpPr>
          <a:spLocks noChangeAspect="1" noChangeArrowheads="1"/>
        </xdr:cNvSpPr>
      </xdr:nvSpPr>
      <xdr:spPr bwMode="auto">
        <a:xfrm>
          <a:off x="18669000" y="3863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21</xdr:col>
      <xdr:colOff>542925</xdr:colOff>
      <xdr:row>192</xdr:row>
      <xdr:rowOff>38100</xdr:rowOff>
    </xdr:from>
    <xdr:to>
      <xdr:col>22</xdr:col>
      <xdr:colOff>161925</xdr:colOff>
      <xdr:row>193</xdr:row>
      <xdr:rowOff>133350</xdr:rowOff>
    </xdr:to>
    <xdr:sp macro="" textlink="">
      <xdr:nvSpPr>
        <xdr:cNvPr id="82" name="AutoShape 1" descr="\\"/>
        <xdr:cNvSpPr>
          <a:spLocks noChangeAspect="1" noChangeArrowheads="1"/>
        </xdr:cNvSpPr>
      </xdr:nvSpPr>
      <xdr:spPr bwMode="auto">
        <a:xfrm>
          <a:off x="18669000" y="3863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32463;&#39564;&#19982;&#25237;&#25918;&#35774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04;&#38271;&#25968;&#20540;&#30456;&#20851;/&#20135;&#20986;&#25972;&#2151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0.52500000000000002</v>
          </cell>
          <cell r="F29">
            <v>0.72500000000000009</v>
          </cell>
          <cell r="G29">
            <v>0.80475000000000019</v>
          </cell>
          <cell r="H29">
            <v>1.0047500000000003</v>
          </cell>
          <cell r="I29">
            <v>1.2047500000000002</v>
          </cell>
          <cell r="J29">
            <v>1.4216050000000002</v>
          </cell>
          <cell r="K29">
            <v>1.6216050000000002</v>
          </cell>
          <cell r="L29">
            <v>1.8216050000000001</v>
          </cell>
          <cell r="M29">
            <v>2.0216050000000001</v>
          </cell>
          <cell r="N29">
            <v>2.5876544000000004</v>
          </cell>
          <cell r="O29">
            <v>2.7876544000000005</v>
          </cell>
          <cell r="P29">
            <v>2.9876544000000007</v>
          </cell>
          <cell r="Q29">
            <v>3.1876544000000009</v>
          </cell>
          <cell r="R29">
            <v>3.3876544000000011</v>
          </cell>
          <cell r="S29">
            <v>4.7427161600000014</v>
          </cell>
        </row>
        <row r="32">
          <cell r="E32">
            <v>0.2</v>
          </cell>
          <cell r="F32">
            <v>0.2</v>
          </cell>
          <cell r="G32">
            <v>0.2</v>
          </cell>
          <cell r="H32">
            <v>0.2</v>
          </cell>
        </row>
        <row r="35">
          <cell r="E35">
            <v>0.05</v>
          </cell>
          <cell r="F35">
            <v>0.11</v>
          </cell>
          <cell r="G35">
            <v>0.18</v>
          </cell>
          <cell r="H35">
            <v>0.28000000000000003</v>
          </cell>
          <cell r="I35">
            <v>0.4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经验产出方式"/>
      <sheetName val="宠物计算经验表!"/>
      <sheetName val="宠物经验(副本关联表)"/>
    </sheetNames>
    <sheetDataSet>
      <sheetData sheetId="0"/>
      <sheetData sheetId="1"/>
      <sheetData sheetId="2"/>
      <sheetData sheetId="3">
        <row r="18">
          <cell r="A18">
            <v>1</v>
          </cell>
          <cell r="I18">
            <v>60</v>
          </cell>
        </row>
        <row r="19">
          <cell r="I19">
            <v>90</v>
          </cell>
        </row>
        <row r="20">
          <cell r="I20">
            <v>120</v>
          </cell>
        </row>
        <row r="21">
          <cell r="I21">
            <v>150</v>
          </cell>
        </row>
        <row r="22">
          <cell r="I22">
            <v>190</v>
          </cell>
        </row>
        <row r="23">
          <cell r="I23">
            <v>220</v>
          </cell>
        </row>
        <row r="24">
          <cell r="I24">
            <v>260</v>
          </cell>
        </row>
        <row r="25">
          <cell r="I25">
            <v>290</v>
          </cell>
        </row>
        <row r="26">
          <cell r="I26">
            <v>330</v>
          </cell>
        </row>
        <row r="27">
          <cell r="I27">
            <v>370</v>
          </cell>
        </row>
        <row r="28">
          <cell r="I28">
            <v>400</v>
          </cell>
        </row>
        <row r="29">
          <cell r="I29">
            <v>520</v>
          </cell>
        </row>
        <row r="30">
          <cell r="I30">
            <v>640</v>
          </cell>
        </row>
        <row r="31">
          <cell r="I31">
            <v>760</v>
          </cell>
        </row>
        <row r="32">
          <cell r="I32">
            <v>890</v>
          </cell>
        </row>
        <row r="33">
          <cell r="I33">
            <v>1010</v>
          </cell>
        </row>
        <row r="34">
          <cell r="I34">
            <v>1140</v>
          </cell>
        </row>
        <row r="35">
          <cell r="I35">
            <v>1270</v>
          </cell>
        </row>
        <row r="36">
          <cell r="I36">
            <v>1400</v>
          </cell>
        </row>
        <row r="37">
          <cell r="I37">
            <v>1540</v>
          </cell>
        </row>
        <row r="38">
          <cell r="I38">
            <v>1670</v>
          </cell>
        </row>
        <row r="39">
          <cell r="I39">
            <v>1810</v>
          </cell>
        </row>
        <row r="40">
          <cell r="I40">
            <v>1960</v>
          </cell>
        </row>
        <row r="41">
          <cell r="I41">
            <v>2100</v>
          </cell>
        </row>
        <row r="42">
          <cell r="I42">
            <v>2250</v>
          </cell>
        </row>
        <row r="43">
          <cell r="I43">
            <v>2400</v>
          </cell>
        </row>
        <row r="44">
          <cell r="I44">
            <v>2550</v>
          </cell>
        </row>
        <row r="45">
          <cell r="I45">
            <v>2710</v>
          </cell>
        </row>
        <row r="46">
          <cell r="I46">
            <v>2860</v>
          </cell>
        </row>
        <row r="47">
          <cell r="I47">
            <v>3030</v>
          </cell>
        </row>
        <row r="48">
          <cell r="I48">
            <v>3190</v>
          </cell>
        </row>
        <row r="49">
          <cell r="I49">
            <v>3360</v>
          </cell>
        </row>
        <row r="50">
          <cell r="I50">
            <v>3530</v>
          </cell>
        </row>
        <row r="51">
          <cell r="I51">
            <v>3700</v>
          </cell>
        </row>
        <row r="52">
          <cell r="I52">
            <v>3880</v>
          </cell>
        </row>
        <row r="53">
          <cell r="I53">
            <v>4060</v>
          </cell>
        </row>
        <row r="54">
          <cell r="I54">
            <v>4240</v>
          </cell>
        </row>
        <row r="55">
          <cell r="I55">
            <v>4430</v>
          </cell>
        </row>
        <row r="56">
          <cell r="I56">
            <v>4620</v>
          </cell>
        </row>
        <row r="57">
          <cell r="I57">
            <v>4810</v>
          </cell>
        </row>
        <row r="58">
          <cell r="I58">
            <v>5000</v>
          </cell>
        </row>
        <row r="59">
          <cell r="I59">
            <v>5630</v>
          </cell>
        </row>
        <row r="60">
          <cell r="I60">
            <v>6330</v>
          </cell>
        </row>
        <row r="61">
          <cell r="I61">
            <v>7100</v>
          </cell>
        </row>
        <row r="62">
          <cell r="I62">
            <v>7940</v>
          </cell>
        </row>
        <row r="63">
          <cell r="I63">
            <v>8840</v>
          </cell>
        </row>
        <row r="64">
          <cell r="I64">
            <v>9830</v>
          </cell>
        </row>
        <row r="65">
          <cell r="I65">
            <v>10880</v>
          </cell>
        </row>
        <row r="66">
          <cell r="I66">
            <v>12030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产出消耗流图"/>
      <sheetName val="产出投放规划"/>
      <sheetName val="剧情副本产出分析"/>
      <sheetName val="通天塔_BOSS"/>
      <sheetName val="试炼"/>
      <sheetName val="困难本"/>
      <sheetName val="大冒险"/>
      <sheetName val="公会_贡献值内部算法"/>
      <sheetName val="公会商店"/>
      <sheetName val="公会科技"/>
      <sheetName val="草稿"/>
      <sheetName val="公会任务"/>
      <sheetName val="商店列表"/>
      <sheetName val="宠物进阶石通用价格对应"/>
      <sheetName val="大冒险reward  reseach"/>
      <sheetName val="签到系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8">
          <cell r="L18">
            <v>10</v>
          </cell>
        </row>
        <row r="19">
          <cell r="K19">
            <v>25</v>
          </cell>
        </row>
        <row r="20">
          <cell r="L20">
            <v>25</v>
          </cell>
        </row>
        <row r="21">
          <cell r="K21">
            <v>55</v>
          </cell>
        </row>
        <row r="22">
          <cell r="K22">
            <v>150</v>
          </cell>
        </row>
        <row r="23">
          <cell r="L23">
            <v>90</v>
          </cell>
        </row>
        <row r="24">
          <cell r="K24">
            <v>170</v>
          </cell>
        </row>
        <row r="25">
          <cell r="K25">
            <v>350</v>
          </cell>
        </row>
        <row r="26">
          <cell r="K26">
            <v>600</v>
          </cell>
        </row>
        <row r="27">
          <cell r="L27">
            <v>350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94" t="s">
        <v>93</v>
      </c>
      <c r="D4" s="95"/>
      <c r="E4" s="95"/>
      <c r="F4" s="95"/>
      <c r="G4" s="95"/>
      <c r="H4" s="95"/>
      <c r="I4" s="95"/>
      <c r="J4" s="95"/>
      <c r="K4" s="96"/>
      <c r="L4" s="94" t="s">
        <v>95</v>
      </c>
      <c r="M4" s="95"/>
      <c r="N4" s="95"/>
      <c r="O4" s="95"/>
      <c r="P4" s="96"/>
    </row>
    <row r="5" spans="2:16">
      <c r="B5" s="25" t="s">
        <v>92</v>
      </c>
      <c r="C5" s="94" t="s">
        <v>94</v>
      </c>
      <c r="D5" s="95"/>
      <c r="E5" s="95"/>
      <c r="F5" s="95"/>
      <c r="G5" s="95"/>
      <c r="H5" s="95"/>
      <c r="I5" s="95"/>
      <c r="J5" s="95"/>
      <c r="K5" s="96"/>
      <c r="L5" s="94" t="s">
        <v>96</v>
      </c>
      <c r="M5" s="95"/>
      <c r="N5" s="95"/>
      <c r="O5" s="95"/>
      <c r="P5" s="96"/>
    </row>
    <row r="6" spans="2:16">
      <c r="B6" s="25"/>
      <c r="C6" s="94"/>
      <c r="D6" s="95"/>
      <c r="E6" s="95"/>
      <c r="F6" s="95"/>
      <c r="G6" s="95"/>
      <c r="H6" s="95"/>
      <c r="I6" s="95"/>
      <c r="J6" s="95"/>
      <c r="K6" s="96"/>
      <c r="L6" s="94"/>
      <c r="M6" s="95"/>
      <c r="N6" s="95"/>
      <c r="O6" s="95"/>
      <c r="P6" s="96"/>
    </row>
    <row r="7" spans="2:16">
      <c r="B7" s="25"/>
      <c r="C7" s="94"/>
      <c r="D7" s="95"/>
      <c r="E7" s="95"/>
      <c r="F7" s="95"/>
      <c r="G7" s="95"/>
      <c r="H7" s="95"/>
      <c r="I7" s="95"/>
      <c r="J7" s="95"/>
      <c r="K7" s="96"/>
      <c r="L7" s="94"/>
      <c r="M7" s="95"/>
      <c r="N7" s="95"/>
      <c r="O7" s="95"/>
      <c r="P7" s="96"/>
    </row>
    <row r="8" spans="2:16">
      <c r="B8" s="25"/>
      <c r="C8" s="94"/>
      <c r="D8" s="95"/>
      <c r="E8" s="95"/>
      <c r="F8" s="95"/>
      <c r="G8" s="95"/>
      <c r="H8" s="95"/>
      <c r="I8" s="95"/>
      <c r="J8" s="95"/>
      <c r="K8" s="96"/>
      <c r="L8" s="94"/>
      <c r="M8" s="95"/>
      <c r="N8" s="95"/>
      <c r="O8" s="95"/>
      <c r="P8" s="96"/>
    </row>
    <row r="9" spans="2:16">
      <c r="B9" s="25"/>
      <c r="C9" s="94"/>
      <c r="D9" s="95"/>
      <c r="E9" s="95"/>
      <c r="F9" s="95"/>
      <c r="G9" s="95"/>
      <c r="H9" s="95"/>
      <c r="I9" s="95"/>
      <c r="J9" s="95"/>
      <c r="K9" s="96"/>
      <c r="L9" s="94"/>
      <c r="M9" s="95"/>
      <c r="N9" s="95"/>
      <c r="O9" s="95"/>
      <c r="P9" s="96"/>
    </row>
    <row r="10" spans="2:16">
      <c r="B10" s="25"/>
      <c r="C10" s="94"/>
      <c r="D10" s="95"/>
      <c r="E10" s="95"/>
      <c r="F10" s="95"/>
      <c r="G10" s="95"/>
      <c r="H10" s="95"/>
      <c r="I10" s="95"/>
      <c r="J10" s="95"/>
      <c r="K10" s="96"/>
      <c r="L10" s="94"/>
      <c r="M10" s="95"/>
      <c r="N10" s="95"/>
      <c r="O10" s="95"/>
      <c r="P10" s="96"/>
    </row>
    <row r="11" spans="2:16">
      <c r="B11" s="25"/>
      <c r="C11" s="94"/>
      <c r="D11" s="95"/>
      <c r="E11" s="95"/>
      <c r="F11" s="95"/>
      <c r="G11" s="95"/>
      <c r="H11" s="95"/>
      <c r="I11" s="95"/>
      <c r="J11" s="95"/>
      <c r="K11" s="96"/>
      <c r="L11" s="94"/>
      <c r="M11" s="95"/>
      <c r="N11" s="95"/>
      <c r="O11" s="95"/>
      <c r="P11" s="96"/>
    </row>
    <row r="12" spans="2:16">
      <c r="B12" s="25"/>
      <c r="C12" s="94"/>
      <c r="D12" s="95"/>
      <c r="E12" s="95"/>
      <c r="F12" s="95"/>
      <c r="G12" s="95"/>
      <c r="H12" s="95"/>
      <c r="I12" s="95"/>
      <c r="J12" s="95"/>
      <c r="K12" s="96"/>
      <c r="L12" s="94"/>
      <c r="M12" s="95"/>
      <c r="N12" s="95"/>
      <c r="O12" s="95"/>
      <c r="P12" s="96"/>
    </row>
    <row r="13" spans="2:16">
      <c r="B13" s="25"/>
      <c r="C13" s="94"/>
      <c r="D13" s="95"/>
      <c r="E13" s="95"/>
      <c r="F13" s="95"/>
      <c r="G13" s="95"/>
      <c r="H13" s="95"/>
      <c r="I13" s="95"/>
      <c r="J13" s="95"/>
      <c r="K13" s="96"/>
      <c r="L13" s="94"/>
      <c r="M13" s="95"/>
      <c r="N13" s="95"/>
      <c r="O13" s="95"/>
      <c r="P13" s="96"/>
    </row>
    <row r="14" spans="2:16">
      <c r="B14" s="25"/>
      <c r="C14" s="94"/>
      <c r="D14" s="95"/>
      <c r="E14" s="95"/>
      <c r="F14" s="95"/>
      <c r="G14" s="95"/>
      <c r="H14" s="95"/>
      <c r="I14" s="95"/>
      <c r="J14" s="95"/>
      <c r="K14" s="96"/>
      <c r="L14" s="94"/>
      <c r="M14" s="95"/>
      <c r="N14" s="95"/>
      <c r="O14" s="95"/>
      <c r="P14" s="96"/>
    </row>
    <row r="15" spans="2:16">
      <c r="B15" s="25"/>
      <c r="C15" s="94"/>
      <c r="D15" s="95"/>
      <c r="E15" s="95"/>
      <c r="F15" s="95"/>
      <c r="G15" s="95"/>
      <c r="H15" s="95"/>
      <c r="I15" s="95"/>
      <c r="J15" s="95"/>
      <c r="K15" s="96"/>
      <c r="L15" s="94"/>
      <c r="M15" s="95"/>
      <c r="N15" s="95"/>
      <c r="O15" s="95"/>
      <c r="P15" s="96"/>
    </row>
    <row r="16" spans="2:16">
      <c r="B16" s="25"/>
      <c r="C16" s="94"/>
      <c r="D16" s="95"/>
      <c r="E16" s="95"/>
      <c r="F16" s="95"/>
      <c r="G16" s="95"/>
      <c r="H16" s="95"/>
      <c r="I16" s="95"/>
      <c r="J16" s="95"/>
      <c r="K16" s="96"/>
      <c r="L16" s="94"/>
      <c r="M16" s="95"/>
      <c r="N16" s="95"/>
      <c r="O16" s="95"/>
      <c r="P16" s="96"/>
    </row>
    <row r="17" spans="2:16">
      <c r="B17" s="25"/>
      <c r="C17" s="94"/>
      <c r="D17" s="95"/>
      <c r="E17" s="95"/>
      <c r="F17" s="95"/>
      <c r="G17" s="95"/>
      <c r="H17" s="95"/>
      <c r="I17" s="95"/>
      <c r="J17" s="95"/>
      <c r="K17" s="96"/>
      <c r="L17" s="94"/>
      <c r="M17" s="95"/>
      <c r="N17" s="95"/>
      <c r="O17" s="95"/>
      <c r="P17" s="96"/>
    </row>
    <row r="18" spans="2:16">
      <c r="B18" s="25"/>
      <c r="C18" s="94"/>
      <c r="D18" s="95"/>
      <c r="E18" s="95"/>
      <c r="F18" s="95"/>
      <c r="G18" s="95"/>
      <c r="H18" s="95"/>
      <c r="I18" s="95"/>
      <c r="J18" s="95"/>
      <c r="K18" s="96"/>
      <c r="L18" s="94"/>
      <c r="M18" s="95"/>
      <c r="N18" s="95"/>
      <c r="O18" s="95"/>
      <c r="P18" s="96"/>
    </row>
    <row r="19" spans="2:16">
      <c r="B19" s="25"/>
      <c r="C19" s="94"/>
      <c r="D19" s="95"/>
      <c r="E19" s="95"/>
      <c r="F19" s="95"/>
      <c r="G19" s="95"/>
      <c r="H19" s="95"/>
      <c r="I19" s="95"/>
      <c r="J19" s="95"/>
      <c r="K19" s="96"/>
      <c r="L19" s="94"/>
      <c r="M19" s="95"/>
      <c r="N19" s="95"/>
      <c r="O19" s="95"/>
      <c r="P19" s="96"/>
    </row>
    <row r="20" spans="2:16">
      <c r="B20" s="25"/>
      <c r="C20" s="94"/>
      <c r="D20" s="95"/>
      <c r="E20" s="95"/>
      <c r="F20" s="95"/>
      <c r="G20" s="95"/>
      <c r="H20" s="95"/>
      <c r="I20" s="95"/>
      <c r="J20" s="95"/>
      <c r="K20" s="96"/>
      <c r="L20" s="94"/>
      <c r="M20" s="95"/>
      <c r="N20" s="95"/>
      <c r="O20" s="95"/>
      <c r="P20" s="96"/>
    </row>
    <row r="21" spans="2:16">
      <c r="B21" s="25"/>
      <c r="C21" s="94"/>
      <c r="D21" s="95"/>
      <c r="E21" s="95"/>
      <c r="F21" s="95"/>
      <c r="G21" s="95"/>
      <c r="H21" s="95"/>
      <c r="I21" s="95"/>
      <c r="J21" s="95"/>
      <c r="K21" s="96"/>
      <c r="L21" s="94"/>
      <c r="M21" s="95"/>
      <c r="N21" s="95"/>
      <c r="O21" s="95"/>
      <c r="P21" s="96"/>
    </row>
    <row r="22" spans="2:16">
      <c r="B22" s="25"/>
      <c r="C22" s="94"/>
      <c r="D22" s="95"/>
      <c r="E22" s="95"/>
      <c r="F22" s="95"/>
      <c r="G22" s="95"/>
      <c r="H22" s="95"/>
      <c r="I22" s="95"/>
      <c r="J22" s="95"/>
      <c r="K22" s="96"/>
      <c r="L22" s="94"/>
      <c r="M22" s="95"/>
      <c r="N22" s="95"/>
      <c r="O22" s="95"/>
      <c r="P22" s="96"/>
    </row>
    <row r="23" spans="2:16">
      <c r="B23" s="25"/>
      <c r="C23" s="94"/>
      <c r="D23" s="95"/>
      <c r="E23" s="95"/>
      <c r="F23" s="95"/>
      <c r="G23" s="95"/>
      <c r="H23" s="95"/>
      <c r="I23" s="95"/>
      <c r="J23" s="95"/>
      <c r="K23" s="96"/>
      <c r="L23" s="94"/>
      <c r="M23" s="95"/>
      <c r="N23" s="95"/>
      <c r="O23" s="95"/>
      <c r="P23" s="96"/>
    </row>
    <row r="24" spans="2:16">
      <c r="B24" s="25"/>
      <c r="C24" s="94"/>
      <c r="D24" s="95"/>
      <c r="E24" s="95"/>
      <c r="F24" s="95"/>
      <c r="G24" s="95"/>
      <c r="H24" s="95"/>
      <c r="I24" s="95"/>
      <c r="J24" s="95"/>
      <c r="K24" s="96"/>
      <c r="L24" s="94"/>
      <c r="M24" s="95"/>
      <c r="N24" s="95"/>
      <c r="O24" s="95"/>
      <c r="P24" s="96"/>
    </row>
    <row r="25" spans="2:16">
      <c r="B25" s="25"/>
      <c r="C25" s="94"/>
      <c r="D25" s="95"/>
      <c r="E25" s="95"/>
      <c r="F25" s="95"/>
      <c r="G25" s="95"/>
      <c r="H25" s="95"/>
      <c r="I25" s="95"/>
      <c r="J25" s="95"/>
      <c r="K25" s="96"/>
      <c r="L25" s="94"/>
      <c r="M25" s="95"/>
      <c r="N25" s="95"/>
      <c r="O25" s="95"/>
      <c r="P25" s="96"/>
    </row>
    <row r="26" spans="2:16">
      <c r="B26" s="25"/>
      <c r="C26" s="94"/>
      <c r="D26" s="95"/>
      <c r="E26" s="95"/>
      <c r="F26" s="95"/>
      <c r="G26" s="95"/>
      <c r="H26" s="95"/>
      <c r="I26" s="95"/>
      <c r="J26" s="95"/>
      <c r="K26" s="96"/>
      <c r="L26" s="94"/>
      <c r="M26" s="95"/>
      <c r="N26" s="95"/>
      <c r="O26" s="95"/>
      <c r="P26" s="96"/>
    </row>
    <row r="27" spans="2:16">
      <c r="B27" s="25"/>
      <c r="C27" s="94"/>
      <c r="D27" s="95"/>
      <c r="E27" s="95"/>
      <c r="F27" s="95"/>
      <c r="G27" s="95"/>
      <c r="H27" s="95"/>
      <c r="I27" s="95"/>
      <c r="J27" s="95"/>
      <c r="K27" s="96"/>
      <c r="L27" s="94"/>
      <c r="M27" s="95"/>
      <c r="N27" s="95"/>
      <c r="O27" s="95"/>
      <c r="P27" s="96"/>
    </row>
    <row r="28" spans="2:16">
      <c r="B28" s="25"/>
      <c r="C28" s="94"/>
      <c r="D28" s="95"/>
      <c r="E28" s="95"/>
      <c r="F28" s="95"/>
      <c r="G28" s="95"/>
      <c r="H28" s="95"/>
      <c r="I28" s="95"/>
      <c r="J28" s="95"/>
      <c r="K28" s="96"/>
      <c r="L28" s="94"/>
      <c r="M28" s="95"/>
      <c r="N28" s="95"/>
      <c r="O28" s="95"/>
      <c r="P28" s="96"/>
    </row>
    <row r="29" spans="2:16">
      <c r="B29" s="25"/>
      <c r="C29" s="94"/>
      <c r="D29" s="95"/>
      <c r="E29" s="95"/>
      <c r="F29" s="95"/>
      <c r="G29" s="95"/>
      <c r="H29" s="95"/>
      <c r="I29" s="95"/>
      <c r="J29" s="95"/>
      <c r="K29" s="96"/>
      <c r="L29" s="94"/>
      <c r="M29" s="95"/>
      <c r="N29" s="95"/>
      <c r="O29" s="95"/>
      <c r="P29" s="96"/>
    </row>
    <row r="30" spans="2:16">
      <c r="B30" s="25"/>
      <c r="C30" s="94"/>
      <c r="D30" s="95"/>
      <c r="E30" s="95"/>
      <c r="F30" s="95"/>
      <c r="G30" s="95"/>
      <c r="H30" s="95"/>
      <c r="I30" s="95"/>
      <c r="J30" s="95"/>
      <c r="K30" s="96"/>
      <c r="L30" s="94"/>
      <c r="M30" s="95"/>
      <c r="N30" s="95"/>
      <c r="O30" s="95"/>
      <c r="P30" s="96"/>
    </row>
  </sheetData>
  <mergeCells count="54">
    <mergeCell ref="L29:P29"/>
    <mergeCell ref="L30:P30"/>
    <mergeCell ref="L23:P23"/>
    <mergeCell ref="L24:P24"/>
    <mergeCell ref="L25:P25"/>
    <mergeCell ref="L26:P26"/>
    <mergeCell ref="L27:P27"/>
    <mergeCell ref="L28:P28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8:K8"/>
    <mergeCell ref="C4:K4"/>
    <mergeCell ref="L4:P4"/>
    <mergeCell ref="C5:K5"/>
    <mergeCell ref="C6:K6"/>
    <mergeCell ref="C7:K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workbookViewId="0"/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271</v>
      </c>
      <c r="C1" s="58">
        <v>0.02</v>
      </c>
      <c r="D1" t="s">
        <v>273</v>
      </c>
    </row>
    <row r="2" spans="1:35" ht="14.25" thickBot="1">
      <c r="B2" s="9" t="s">
        <v>272</v>
      </c>
      <c r="C2" s="58">
        <v>1.5</v>
      </c>
      <c r="F2" t="s">
        <v>266</v>
      </c>
    </row>
    <row r="3" spans="1:35">
      <c r="R3" s="26"/>
      <c r="S3" s="27"/>
      <c r="T3" s="27"/>
      <c r="U3" s="28"/>
    </row>
    <row r="4" spans="1:35">
      <c r="A4" t="s">
        <v>277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141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-60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40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268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290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289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4189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521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596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3223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1411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1058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9903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264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6702.4000000000005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319173.69</v>
      </c>
      <c r="T19" s="30"/>
      <c r="U19" s="31"/>
    </row>
    <row r="20" spans="1:36" ht="14.25" thickBot="1">
      <c r="B20" s="9" t="s">
        <v>267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278</v>
      </c>
    </row>
    <row r="25" spans="1:36">
      <c r="A25" t="s">
        <v>10</v>
      </c>
      <c r="D25" t="s">
        <v>15</v>
      </c>
      <c r="P25" t="s">
        <v>279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4189</v>
      </c>
      <c r="N60" s="3">
        <f>ROUND(P12*(1-$E$51)/E51,0)</f>
        <v>2256</v>
      </c>
      <c r="Q60" s="3">
        <f>ROUND(P12*(1-$E$51)/E51,0)</f>
        <v>2256</v>
      </c>
      <c r="R60" s="3">
        <f>ROUND(P12,0)</f>
        <v>4189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1.9018059999999999</v>
      </c>
      <c r="N61" s="15">
        <f>N60/1000*N58</f>
        <v>0.34358879999999997</v>
      </c>
      <c r="O61" s="16">
        <f>(M61+N61)*O17</f>
        <v>3.5926316799999998</v>
      </c>
      <c r="P61" s="9"/>
      <c r="Q61" s="15">
        <f>Q60/1000*Q58</f>
        <v>0.34358879999999997</v>
      </c>
      <c r="R61" s="15">
        <f>R60/1000*R58</f>
        <v>1.9018059999999999</v>
      </c>
      <c r="S61" s="16">
        <f>(R61+Q61)*O17</f>
        <v>3.5926316799999998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4189</v>
      </c>
      <c r="N65" s="9"/>
      <c r="O65" s="9"/>
      <c r="P65" t="s">
        <v>45</v>
      </c>
      <c r="Q65" s="17">
        <f>ROUND(Q60,0)</f>
        <v>2256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2256</v>
      </c>
      <c r="N66" s="9"/>
      <c r="O66" s="9"/>
      <c r="P66" t="s">
        <v>46</v>
      </c>
      <c r="Q66" s="17">
        <f>ROUND(R60*M26,0)</f>
        <v>4189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9903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9903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3223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zoomScaleNormal="100" workbookViewId="0">
      <selection activeCell="C3" sqref="C3:L24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134</v>
      </c>
      <c r="F2" t="s">
        <v>135</v>
      </c>
      <c r="H2" t="s">
        <v>87</v>
      </c>
      <c r="J2" t="s">
        <v>133</v>
      </c>
      <c r="K2">
        <v>10</v>
      </c>
      <c r="L2" t="s">
        <v>105</v>
      </c>
      <c r="M2">
        <f>[1]属性分配!$E$29/[1]属性分配!$D$29</f>
        <v>1.05</v>
      </c>
      <c r="N2">
        <v>1.05</v>
      </c>
      <c r="O2" t="s">
        <v>286</v>
      </c>
      <c r="R2" t="s">
        <v>420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1.4500000000000002</v>
      </c>
      <c r="N3">
        <v>1.1499999999999999</v>
      </c>
      <c r="O3" t="s">
        <v>287</v>
      </c>
      <c r="P3">
        <f>[1]属性分配!$E$35</f>
        <v>0.05</v>
      </c>
    </row>
    <row r="4" spans="2:20">
      <c r="C4">
        <v>10</v>
      </c>
      <c r="D4" s="7">
        <v>1.4</v>
      </c>
      <c r="E4" s="7">
        <f>(D4-$D$3)*(P3)</f>
        <v>1.9999999999999997E-2</v>
      </c>
      <c r="F4" s="46"/>
      <c r="G4" s="46"/>
      <c r="H4" s="24">
        <f t="shared" si="0"/>
        <v>1.42</v>
      </c>
      <c r="K4">
        <v>20</v>
      </c>
      <c r="L4" t="s">
        <v>120</v>
      </c>
      <c r="M4">
        <f>[1]属性分配!$G$29/[1]属性分配!$D$29</f>
        <v>1.6095000000000004</v>
      </c>
      <c r="N4">
        <v>1.2</v>
      </c>
      <c r="O4" t="s">
        <v>288</v>
      </c>
      <c r="P4">
        <f>P3+[1]属性分配!$F$35</f>
        <v>0.16</v>
      </c>
    </row>
    <row r="5" spans="2:20">
      <c r="C5">
        <v>15</v>
      </c>
      <c r="D5" s="7">
        <v>1.6</v>
      </c>
      <c r="E5" s="7">
        <f>(D5-$D$3)*(P3)</f>
        <v>3.0000000000000006E-2</v>
      </c>
      <c r="F5" s="46">
        <f>(D5-$D$3)*[1]属性分配!$E$32</f>
        <v>0.12000000000000002</v>
      </c>
      <c r="G5" s="46"/>
      <c r="H5" s="24">
        <f t="shared" si="0"/>
        <v>1.7500000000000002</v>
      </c>
      <c r="K5">
        <v>25</v>
      </c>
      <c r="L5" t="s">
        <v>121</v>
      </c>
      <c r="M5">
        <f>[1]属性分配!$H$29/[1]属性分配!$D$29</f>
        <v>2.0095000000000005</v>
      </c>
      <c r="N5">
        <v>1.2833333333333301</v>
      </c>
      <c r="O5" t="s">
        <v>289</v>
      </c>
      <c r="P5">
        <f>P4+[1]属性分配!$G$35</f>
        <v>0.33999999999999997</v>
      </c>
    </row>
    <row r="6" spans="2:20">
      <c r="C6">
        <v>20</v>
      </c>
      <c r="D6" s="7">
        <v>1.8</v>
      </c>
      <c r="E6" s="7">
        <f>(D6-$D$3)*(P4)</f>
        <v>0.128</v>
      </c>
      <c r="F6" s="4">
        <f>F5</f>
        <v>0.12000000000000002</v>
      </c>
      <c r="G6" s="4"/>
      <c r="H6" s="24">
        <f t="shared" si="0"/>
        <v>2.048</v>
      </c>
      <c r="K6">
        <v>30</v>
      </c>
      <c r="L6" t="s">
        <v>122</v>
      </c>
      <c r="M6">
        <f>[1]属性分配!$I$29/[1]属性分配!$D$29</f>
        <v>2.4095000000000004</v>
      </c>
      <c r="N6">
        <v>1.3583333333333301</v>
      </c>
      <c r="O6" t="s">
        <v>290</v>
      </c>
      <c r="P6">
        <f>P5+[1]属性分配!$H$35</f>
        <v>0.62</v>
      </c>
    </row>
    <row r="7" spans="2:20">
      <c r="C7">
        <v>25</v>
      </c>
      <c r="D7" s="7">
        <v>2</v>
      </c>
      <c r="E7" s="7">
        <f>(D7-$D$3)*(P5)</f>
        <v>0.33999999999999997</v>
      </c>
      <c r="F7" s="46">
        <f>(D7-$D$3)*[1]属性分配!$F$32+F6</f>
        <v>0.32000000000000006</v>
      </c>
      <c r="G7" s="4"/>
      <c r="H7" s="24">
        <f t="shared" si="0"/>
        <v>2.66</v>
      </c>
      <c r="K7">
        <v>35</v>
      </c>
      <c r="L7" t="s">
        <v>123</v>
      </c>
      <c r="M7">
        <f>[1]属性分配!$J$29/[1]属性分配!$D$29</f>
        <v>2.8432100000000005</v>
      </c>
      <c r="N7">
        <v>1.43333333333333</v>
      </c>
      <c r="O7" t="s">
        <v>291</v>
      </c>
      <c r="P7">
        <f>P6+[1]属性分配!$I$35</f>
        <v>1.02</v>
      </c>
    </row>
    <row r="8" spans="2:20">
      <c r="C8">
        <v>30</v>
      </c>
      <c r="D8" s="7">
        <v>2.2000000000000002</v>
      </c>
      <c r="E8" s="7">
        <f>(D8-$D$3)*(P5)</f>
        <v>0.40800000000000003</v>
      </c>
      <c r="F8" s="4">
        <f>(D8-$D$3)*[1]属性分配!$F$32+F7</f>
        <v>0.56000000000000005</v>
      </c>
      <c r="G8" s="4"/>
      <c r="H8" s="24">
        <f t="shared" si="0"/>
        <v>3.1680000000000001</v>
      </c>
      <c r="K8">
        <v>40</v>
      </c>
      <c r="L8" t="s">
        <v>124</v>
      </c>
      <c r="M8">
        <f>[1]属性分配!$K$29/[1]属性分配!$D$29</f>
        <v>3.2432100000000004</v>
      </c>
      <c r="N8">
        <v>1.50833333333333</v>
      </c>
    </row>
    <row r="9" spans="2:20">
      <c r="C9">
        <v>35</v>
      </c>
      <c r="D9" s="7">
        <v>2.4</v>
      </c>
      <c r="E9" s="7">
        <f>(D9-$D$3)*(P5)</f>
        <v>0.47599999999999992</v>
      </c>
      <c r="F9" s="4">
        <f>F8</f>
        <v>0.56000000000000005</v>
      </c>
      <c r="G9" s="4"/>
      <c r="H9" s="24">
        <f t="shared" si="0"/>
        <v>3.4359999999999999</v>
      </c>
      <c r="K9">
        <v>45</v>
      </c>
      <c r="L9" t="s">
        <v>125</v>
      </c>
      <c r="M9">
        <f>[1]属性分配!$L$29/[1]属性分配!$D$29</f>
        <v>3.6432100000000003</v>
      </c>
      <c r="N9">
        <v>1.5833333333333299</v>
      </c>
    </row>
    <row r="10" spans="2:20">
      <c r="C10">
        <v>40</v>
      </c>
      <c r="D10" s="7">
        <v>2.6</v>
      </c>
      <c r="E10" s="7">
        <f>(D10-$D$3)*$P$5</f>
        <v>0.54399999999999993</v>
      </c>
      <c r="F10" s="4">
        <f>(D10-$D$3)*[1]属性分配!$G$32+F8</f>
        <v>0.88000000000000012</v>
      </c>
      <c r="G10" s="4"/>
      <c r="H10" s="24">
        <f t="shared" si="0"/>
        <v>4.024</v>
      </c>
      <c r="K10">
        <v>50</v>
      </c>
      <c r="L10" t="s">
        <v>126</v>
      </c>
      <c r="M10">
        <f>[1]属性分配!$M$29/[1]属性分配!$D$29</f>
        <v>4.0432100000000002</v>
      </c>
      <c r="N10">
        <v>1.6583333333333301</v>
      </c>
    </row>
    <row r="11" spans="2:20">
      <c r="C11">
        <v>45</v>
      </c>
      <c r="D11" s="7">
        <v>2.8</v>
      </c>
      <c r="E11" s="7">
        <f>(D11-$D$3)*$P$5</f>
        <v>0.61199999999999988</v>
      </c>
      <c r="F11" s="4">
        <f>(D11-$D$3)*[1]属性分配!$G$32+F10</f>
        <v>1.2400000000000002</v>
      </c>
      <c r="G11" s="4"/>
      <c r="H11" s="24">
        <f t="shared" si="0"/>
        <v>4.6520000000000001</v>
      </c>
      <c r="K11" s="48">
        <v>55</v>
      </c>
      <c r="L11" s="48" t="s">
        <v>127</v>
      </c>
      <c r="M11">
        <f>[1]属性分配!$N$29/[1]属性分配!$D$29</f>
        <v>5.1753088000000007</v>
      </c>
      <c r="N11">
        <v>1.7333333333333301</v>
      </c>
    </row>
    <row r="12" spans="2:20">
      <c r="C12">
        <v>50</v>
      </c>
      <c r="D12" s="7">
        <v>3</v>
      </c>
      <c r="E12" s="7">
        <f>(D12-$D$3)*$P$5</f>
        <v>0.67999999999999994</v>
      </c>
      <c r="F12" s="4">
        <f>(D12-$D$3)*[1]属性分配!$G$32+F11</f>
        <v>1.6400000000000001</v>
      </c>
      <c r="G12" s="4"/>
      <c r="H12" s="24">
        <f t="shared" si="0"/>
        <v>5.32</v>
      </c>
      <c r="K12" s="48">
        <v>60</v>
      </c>
      <c r="L12" s="48" t="s">
        <v>128</v>
      </c>
      <c r="M12">
        <f>[1]属性分配!$O$29/[1]属性分配!$D$29</f>
        <v>5.5753088000000011</v>
      </c>
      <c r="N12">
        <v>1.80833333333333</v>
      </c>
    </row>
    <row r="13" spans="2:20">
      <c r="C13">
        <v>55</v>
      </c>
      <c r="D13" s="7">
        <v>3.2</v>
      </c>
      <c r="E13" s="7">
        <f>(D13-$D$3)*$P$6</f>
        <v>1.3640000000000001</v>
      </c>
      <c r="F13" s="4">
        <f>F12</f>
        <v>1.6400000000000001</v>
      </c>
      <c r="G13" s="4"/>
      <c r="H13" s="24">
        <f t="shared" si="0"/>
        <v>6.2040000000000006</v>
      </c>
      <c r="K13" s="48">
        <v>65</v>
      </c>
      <c r="L13" s="48" t="s">
        <v>129</v>
      </c>
      <c r="M13">
        <f>[1]属性分配!$P$29/[1]属性分配!$D$29</f>
        <v>5.9753088000000014</v>
      </c>
      <c r="N13">
        <v>1.88333333333332</v>
      </c>
    </row>
    <row r="14" spans="2:20">
      <c r="C14">
        <v>60</v>
      </c>
      <c r="D14" s="7">
        <v>3.4</v>
      </c>
      <c r="E14" s="7">
        <f t="shared" ref="E14:E17" si="1">(D14-$D$3)*$P$6</f>
        <v>1.488</v>
      </c>
      <c r="F14" s="60">
        <f>(D14-$D$3)*[1]属性分配!$H$32+F12</f>
        <v>2.12</v>
      </c>
      <c r="G14" s="4"/>
      <c r="H14" s="24">
        <f t="shared" si="0"/>
        <v>7.008</v>
      </c>
      <c r="K14" s="48">
        <v>70</v>
      </c>
      <c r="L14" s="48" t="s">
        <v>130</v>
      </c>
      <c r="M14">
        <f>[1]属性分配!$Q$29/[1]属性分配!$D$29</f>
        <v>6.3753088000000018</v>
      </c>
      <c r="N14">
        <v>1.9583333333333199</v>
      </c>
    </row>
    <row r="15" spans="2:20">
      <c r="C15">
        <v>65</v>
      </c>
      <c r="D15" s="7">
        <v>3.6</v>
      </c>
      <c r="E15" s="7">
        <f t="shared" si="1"/>
        <v>1.6120000000000001</v>
      </c>
      <c r="F15" s="60">
        <f>(D15-$D$3)*[1]属性分配!$H$32+F13</f>
        <v>2.16</v>
      </c>
      <c r="G15" s="4"/>
      <c r="H15" s="24">
        <f t="shared" si="0"/>
        <v>7.3719999999999999</v>
      </c>
      <c r="K15" s="48">
        <v>75</v>
      </c>
      <c r="L15" s="48" t="s">
        <v>131</v>
      </c>
      <c r="M15">
        <f>[1]属性分配!$R$29/[1]属性分配!$D$29</f>
        <v>6.7753088000000021</v>
      </c>
      <c r="N15">
        <v>2.0333333333333199</v>
      </c>
    </row>
    <row r="16" spans="2:20">
      <c r="C16">
        <v>70</v>
      </c>
      <c r="D16" s="7">
        <v>3.8</v>
      </c>
      <c r="E16" s="7">
        <f>(D16-$D$3)*$P$6</f>
        <v>1.736</v>
      </c>
      <c r="F16" s="60">
        <f>(D16-$D$3)*[1]属性分配!$H$32+F14</f>
        <v>2.68</v>
      </c>
      <c r="G16" s="4"/>
      <c r="H16" s="24">
        <f t="shared" si="0"/>
        <v>8.2159999999999993</v>
      </c>
      <c r="K16" s="48">
        <v>80</v>
      </c>
      <c r="L16" s="48" t="s">
        <v>132</v>
      </c>
      <c r="M16">
        <f>[1]属性分配!$S$29/[1]属性分配!$D$29</f>
        <v>9.4854323200000028</v>
      </c>
      <c r="N16">
        <v>2.1083333333333201</v>
      </c>
    </row>
    <row r="17" spans="1:22">
      <c r="C17">
        <v>75</v>
      </c>
      <c r="D17" s="7">
        <v>4</v>
      </c>
      <c r="E17" s="7">
        <f t="shared" si="1"/>
        <v>1.8599999999999999</v>
      </c>
      <c r="F17" s="60">
        <f>(D17-$D$3)*[1]属性分配!$H$32+F15</f>
        <v>2.7600000000000002</v>
      </c>
      <c r="G17" s="4"/>
      <c r="H17" s="24">
        <f t="shared" si="0"/>
        <v>8.6199999999999992</v>
      </c>
      <c r="L17" s="4"/>
    </row>
    <row r="18" spans="1:22">
      <c r="C18">
        <v>80</v>
      </c>
      <c r="D18" s="7">
        <v>4.2</v>
      </c>
      <c r="E18" s="7">
        <f>(D18-$D$3)*$P$7</f>
        <v>3.2640000000000002</v>
      </c>
      <c r="F18" s="60">
        <f>(D18-$D$3)*[1]属性分配!$H$32+F16</f>
        <v>3.3200000000000003</v>
      </c>
      <c r="G18" s="4"/>
      <c r="H18" s="24">
        <f t="shared" si="0"/>
        <v>10.784000000000001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 t="shared" ref="E19:E22" si="2">(D19-$D$3)*$P$7</f>
        <v>3.4680000000000004</v>
      </c>
      <c r="F19" s="46"/>
      <c r="G19" s="46"/>
      <c r="H19" s="24">
        <f t="shared" si="0"/>
        <v>7.8680000000000003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si="2"/>
        <v>3.6719999999999997</v>
      </c>
      <c r="F20" s="46"/>
      <c r="G20" s="46"/>
      <c r="H20" s="24">
        <f t="shared" si="0"/>
        <v>8.2719999999999985</v>
      </c>
      <c r="J20" s="3">
        <f>职业调整模型!C82</f>
        <v>9903</v>
      </c>
      <c r="K20" s="3">
        <f>ROUND($D$3/$H$22*J20,0)</f>
        <v>1091</v>
      </c>
    </row>
    <row r="21" spans="1:22">
      <c r="C21">
        <v>95</v>
      </c>
      <c r="D21" s="7">
        <v>4.8</v>
      </c>
      <c r="E21" s="7">
        <f t="shared" si="2"/>
        <v>3.8759999999999999</v>
      </c>
      <c r="F21" s="1"/>
      <c r="G21" s="1"/>
      <c r="H21" s="24">
        <f t="shared" si="0"/>
        <v>8.6760000000000002</v>
      </c>
      <c r="J21" s="3">
        <f>职业调整模型!C83</f>
        <v>3381</v>
      </c>
      <c r="K21" s="3">
        <f t="shared" ref="K21:K22" si="3">ROUND($D$3/$H$22*J21,0)</f>
        <v>372</v>
      </c>
    </row>
    <row r="22" spans="1:22">
      <c r="C22">
        <v>100</v>
      </c>
      <c r="D22" s="7">
        <v>5</v>
      </c>
      <c r="E22" s="7">
        <f t="shared" si="2"/>
        <v>4.08</v>
      </c>
      <c r="F22" s="1"/>
      <c r="G22" s="1"/>
      <c r="H22" s="24">
        <f t="shared" si="0"/>
        <v>9.08</v>
      </c>
      <c r="J22" s="3">
        <f>职业调整模型!C84</f>
        <v>3381</v>
      </c>
      <c r="K22" s="3">
        <f t="shared" si="3"/>
        <v>372</v>
      </c>
    </row>
    <row r="23" spans="1:22">
      <c r="D23" s="1"/>
      <c r="E23" s="1"/>
      <c r="F23" s="1"/>
      <c r="G23" s="1"/>
      <c r="J23" s="3">
        <f>职业调整模型!C85</f>
        <v>3223</v>
      </c>
      <c r="K23" s="3">
        <f>ROUND($D$3/$H$22*J23,0)</f>
        <v>355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44.060606060606062</v>
      </c>
      <c r="D25">
        <f t="shared" ref="D25:F25" si="4">(D$127-D$28)/99</f>
        <v>15.05050505050505</v>
      </c>
      <c r="E25">
        <f t="shared" si="4"/>
        <v>15.05050505050505</v>
      </c>
      <c r="F25">
        <f t="shared" si="4"/>
        <v>14.343434343434344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281</v>
      </c>
      <c r="J26" t="s">
        <v>283</v>
      </c>
      <c r="K26" t="s">
        <v>284</v>
      </c>
      <c r="L26" t="s">
        <v>285</v>
      </c>
      <c r="M26" t="s">
        <v>279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262</v>
      </c>
      <c r="I27" t="s">
        <v>282</v>
      </c>
      <c r="P27">
        <v>1</v>
      </c>
      <c r="Q27" s="3">
        <f>ROUNDDOWN($F4*C$28,0)</f>
        <v>0</v>
      </c>
      <c r="R27" s="3">
        <f t="shared" ref="R27:T27" si="5">ROUNDDOWN($F4*D$28,0)</f>
        <v>0</v>
      </c>
      <c r="S27" s="3">
        <f t="shared" si="5"/>
        <v>0</v>
      </c>
      <c r="T27" s="3">
        <f t="shared" si="5"/>
        <v>0</v>
      </c>
      <c r="U27" t="s">
        <v>105</v>
      </c>
      <c r="V27">
        <v>10</v>
      </c>
    </row>
    <row r="28" spans="1:22">
      <c r="B28">
        <v>1</v>
      </c>
      <c r="C28" s="3">
        <f>K20</f>
        <v>1091</v>
      </c>
      <c r="D28" s="3">
        <f>K21</f>
        <v>372</v>
      </c>
      <c r="E28" s="3">
        <f>K22</f>
        <v>372</v>
      </c>
      <c r="F28" s="3">
        <f>K23</f>
        <v>355</v>
      </c>
      <c r="G28" s="3">
        <v>30</v>
      </c>
      <c r="I28">
        <v>1</v>
      </c>
      <c r="P28">
        <v>2</v>
      </c>
      <c r="Q28" s="3">
        <f t="shared" ref="Q28:Q35" si="6">ROUNDDOWN($F5*C$28,0)</f>
        <v>130</v>
      </c>
      <c r="R28" s="3">
        <f t="shared" ref="R28:R35" si="7">ROUNDDOWN($F5*D$28,0)</f>
        <v>44</v>
      </c>
      <c r="S28" s="3">
        <f t="shared" ref="S28:S35" si="8">ROUNDDOWN($F5*E$28,0)</f>
        <v>44</v>
      </c>
      <c r="T28" s="3">
        <f t="shared" ref="T28:T35" si="9">ROUNDDOWN($F5*F$28,0)</f>
        <v>42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1135</v>
      </c>
      <c r="D29" s="3">
        <f t="shared" ref="D29:F44" si="10">ROUND(D$28+D$25*($B29-1),0)</f>
        <v>387</v>
      </c>
      <c r="E29" s="3">
        <f t="shared" si="10"/>
        <v>387</v>
      </c>
      <c r="F29" s="3">
        <f t="shared" si="10"/>
        <v>369</v>
      </c>
      <c r="G29" s="3">
        <f>$G$28+$G$25*($B29-1)</f>
        <v>32</v>
      </c>
      <c r="I29">
        <v>2</v>
      </c>
      <c r="J29">
        <f t="shared" ref="J29:J91" si="11">ROUNDDOWN(J$127*$I28/$I$126,0)</f>
        <v>44</v>
      </c>
      <c r="K29">
        <f t="shared" ref="K29:K91" si="12">ROUNDDOWN(K$127*$I28/$I$126,0)</f>
        <v>15</v>
      </c>
      <c r="L29">
        <f t="shared" ref="L29:L91" si="13">ROUNDDOWN(L$127*$I28/$I$126,0)</f>
        <v>15</v>
      </c>
      <c r="M29">
        <f t="shared" ref="M29:M91" si="14">ROUNDDOWN(M$127*$I28/$I$126,0)</f>
        <v>2</v>
      </c>
      <c r="P29">
        <v>3</v>
      </c>
      <c r="Q29" s="3">
        <f t="shared" si="6"/>
        <v>130</v>
      </c>
      <c r="R29" s="3">
        <f t="shared" si="7"/>
        <v>44</v>
      </c>
      <c r="S29" s="3">
        <f t="shared" si="8"/>
        <v>44</v>
      </c>
      <c r="T29" s="3">
        <f t="shared" si="9"/>
        <v>42</v>
      </c>
      <c r="U29" t="s">
        <v>120</v>
      </c>
      <c r="V29">
        <v>20</v>
      </c>
    </row>
    <row r="30" spans="1:22">
      <c r="B30">
        <v>3</v>
      </c>
      <c r="C30" s="3">
        <f t="shared" ref="C30:F45" si="15">ROUND(C$28+C$25*($B30-1),0)</f>
        <v>1179</v>
      </c>
      <c r="D30" s="3">
        <f t="shared" si="10"/>
        <v>402</v>
      </c>
      <c r="E30" s="3">
        <f t="shared" si="10"/>
        <v>402</v>
      </c>
      <c r="F30" s="3">
        <f t="shared" si="10"/>
        <v>384</v>
      </c>
      <c r="G30" s="3">
        <f t="shared" ref="G30:G93" si="16">$G$28+$G$25*($B30-1)</f>
        <v>34</v>
      </c>
      <c r="I30">
        <v>3</v>
      </c>
      <c r="J30">
        <f t="shared" si="11"/>
        <v>88</v>
      </c>
      <c r="K30">
        <f t="shared" si="12"/>
        <v>30</v>
      </c>
      <c r="L30">
        <f t="shared" si="13"/>
        <v>30</v>
      </c>
      <c r="M30">
        <f t="shared" si="14"/>
        <v>4</v>
      </c>
      <c r="P30">
        <v>4</v>
      </c>
      <c r="Q30" s="3">
        <f t="shared" si="6"/>
        <v>349</v>
      </c>
      <c r="R30" s="3">
        <f t="shared" si="7"/>
        <v>119</v>
      </c>
      <c r="S30" s="3">
        <f t="shared" si="8"/>
        <v>119</v>
      </c>
      <c r="T30" s="3">
        <f t="shared" si="9"/>
        <v>113</v>
      </c>
      <c r="U30" t="s">
        <v>121</v>
      </c>
      <c r="V30">
        <v>25</v>
      </c>
    </row>
    <row r="31" spans="1:22">
      <c r="B31">
        <v>4</v>
      </c>
      <c r="C31" s="3">
        <f t="shared" si="15"/>
        <v>1223</v>
      </c>
      <c r="D31" s="3">
        <f t="shared" si="10"/>
        <v>417</v>
      </c>
      <c r="E31" s="3">
        <f t="shared" si="10"/>
        <v>417</v>
      </c>
      <c r="F31" s="3">
        <f t="shared" si="10"/>
        <v>398</v>
      </c>
      <c r="G31" s="3">
        <f t="shared" si="16"/>
        <v>36</v>
      </c>
      <c r="I31">
        <v>4</v>
      </c>
      <c r="J31">
        <f t="shared" si="11"/>
        <v>132</v>
      </c>
      <c r="K31">
        <f t="shared" si="12"/>
        <v>45</v>
      </c>
      <c r="L31">
        <f t="shared" si="13"/>
        <v>45</v>
      </c>
      <c r="M31">
        <f t="shared" si="14"/>
        <v>6</v>
      </c>
      <c r="P31">
        <v>5</v>
      </c>
      <c r="Q31" s="3">
        <f t="shared" si="6"/>
        <v>610</v>
      </c>
      <c r="R31" s="3">
        <f t="shared" si="7"/>
        <v>208</v>
      </c>
      <c r="S31" s="3">
        <f t="shared" si="8"/>
        <v>208</v>
      </c>
      <c r="T31" s="3">
        <f t="shared" si="9"/>
        <v>198</v>
      </c>
      <c r="U31" t="s">
        <v>122</v>
      </c>
      <c r="V31">
        <v>30</v>
      </c>
    </row>
    <row r="32" spans="1:22">
      <c r="B32">
        <v>5</v>
      </c>
      <c r="C32" s="3">
        <f t="shared" si="15"/>
        <v>1267</v>
      </c>
      <c r="D32" s="3">
        <f t="shared" si="10"/>
        <v>432</v>
      </c>
      <c r="E32" s="3">
        <f t="shared" si="10"/>
        <v>432</v>
      </c>
      <c r="F32" s="3">
        <f t="shared" si="10"/>
        <v>412</v>
      </c>
      <c r="G32" s="3">
        <f t="shared" si="16"/>
        <v>38</v>
      </c>
      <c r="H32" t="s">
        <v>90</v>
      </c>
      <c r="I32">
        <v>5</v>
      </c>
      <c r="J32">
        <f t="shared" si="11"/>
        <v>176</v>
      </c>
      <c r="K32">
        <f t="shared" si="12"/>
        <v>60</v>
      </c>
      <c r="L32">
        <f t="shared" si="13"/>
        <v>60</v>
      </c>
      <c r="M32">
        <f t="shared" si="14"/>
        <v>8</v>
      </c>
      <c r="P32">
        <v>6</v>
      </c>
      <c r="Q32" s="3">
        <f t="shared" si="6"/>
        <v>610</v>
      </c>
      <c r="R32" s="3">
        <f t="shared" si="7"/>
        <v>208</v>
      </c>
      <c r="S32" s="3">
        <f t="shared" si="8"/>
        <v>208</v>
      </c>
      <c r="T32" s="3">
        <f t="shared" si="9"/>
        <v>198</v>
      </c>
      <c r="U32" t="s">
        <v>123</v>
      </c>
      <c r="V32">
        <v>35</v>
      </c>
    </row>
    <row r="33" spans="2:22">
      <c r="B33">
        <v>6</v>
      </c>
      <c r="C33" s="3">
        <f t="shared" si="15"/>
        <v>1311</v>
      </c>
      <c r="D33" s="3">
        <f t="shared" si="10"/>
        <v>447</v>
      </c>
      <c r="E33" s="3">
        <f t="shared" si="10"/>
        <v>447</v>
      </c>
      <c r="F33" s="3">
        <f t="shared" si="10"/>
        <v>427</v>
      </c>
      <c r="G33" s="3">
        <f t="shared" si="16"/>
        <v>40</v>
      </c>
      <c r="I33">
        <v>6</v>
      </c>
      <c r="J33">
        <f t="shared" si="11"/>
        <v>220</v>
      </c>
      <c r="K33">
        <f t="shared" si="12"/>
        <v>75</v>
      </c>
      <c r="L33">
        <f t="shared" si="13"/>
        <v>75</v>
      </c>
      <c r="M33">
        <f t="shared" si="14"/>
        <v>10</v>
      </c>
      <c r="P33">
        <v>7</v>
      </c>
      <c r="Q33" s="3">
        <f t="shared" si="6"/>
        <v>960</v>
      </c>
      <c r="R33" s="3">
        <f t="shared" si="7"/>
        <v>327</v>
      </c>
      <c r="S33" s="3">
        <f t="shared" si="8"/>
        <v>327</v>
      </c>
      <c r="T33" s="3">
        <f t="shared" si="9"/>
        <v>312</v>
      </c>
      <c r="U33" t="s">
        <v>124</v>
      </c>
      <c r="V33">
        <v>40</v>
      </c>
    </row>
    <row r="34" spans="2:22">
      <c r="B34">
        <v>7</v>
      </c>
      <c r="C34" s="3">
        <f t="shared" si="15"/>
        <v>1355</v>
      </c>
      <c r="D34" s="3">
        <f t="shared" si="10"/>
        <v>462</v>
      </c>
      <c r="E34" s="3">
        <f t="shared" si="10"/>
        <v>462</v>
      </c>
      <c r="F34" s="3">
        <f t="shared" si="10"/>
        <v>441</v>
      </c>
      <c r="G34" s="3">
        <f t="shared" si="16"/>
        <v>42</v>
      </c>
      <c r="I34">
        <v>7</v>
      </c>
      <c r="J34">
        <f t="shared" si="11"/>
        <v>264</v>
      </c>
      <c r="K34">
        <f t="shared" si="12"/>
        <v>90</v>
      </c>
      <c r="L34">
        <f t="shared" si="13"/>
        <v>90</v>
      </c>
      <c r="M34">
        <f t="shared" si="14"/>
        <v>12</v>
      </c>
      <c r="P34">
        <v>8</v>
      </c>
      <c r="Q34" s="3">
        <f t="shared" si="6"/>
        <v>1352</v>
      </c>
      <c r="R34" s="3">
        <f t="shared" si="7"/>
        <v>461</v>
      </c>
      <c r="S34" s="3">
        <f t="shared" si="8"/>
        <v>461</v>
      </c>
      <c r="T34" s="3">
        <f t="shared" si="9"/>
        <v>440</v>
      </c>
      <c r="U34" t="s">
        <v>125</v>
      </c>
      <c r="V34">
        <v>45</v>
      </c>
    </row>
    <row r="35" spans="2:22">
      <c r="B35">
        <v>8</v>
      </c>
      <c r="C35" s="3">
        <f t="shared" si="15"/>
        <v>1399</v>
      </c>
      <c r="D35" s="3">
        <f t="shared" si="10"/>
        <v>477</v>
      </c>
      <c r="E35" s="3">
        <f t="shared" si="10"/>
        <v>477</v>
      </c>
      <c r="F35" s="3">
        <f t="shared" si="10"/>
        <v>455</v>
      </c>
      <c r="G35" s="3">
        <f t="shared" si="16"/>
        <v>44</v>
      </c>
      <c r="I35">
        <v>8</v>
      </c>
      <c r="J35">
        <f t="shared" si="11"/>
        <v>308</v>
      </c>
      <c r="K35">
        <f t="shared" si="12"/>
        <v>105</v>
      </c>
      <c r="L35">
        <f t="shared" si="13"/>
        <v>105</v>
      </c>
      <c r="M35">
        <f t="shared" si="14"/>
        <v>14</v>
      </c>
      <c r="P35">
        <v>9</v>
      </c>
      <c r="Q35" s="3">
        <f t="shared" si="6"/>
        <v>1789</v>
      </c>
      <c r="R35" s="3">
        <f t="shared" si="7"/>
        <v>610</v>
      </c>
      <c r="S35" s="3">
        <f t="shared" si="8"/>
        <v>610</v>
      </c>
      <c r="T35" s="3">
        <f t="shared" si="9"/>
        <v>582</v>
      </c>
      <c r="U35" t="s">
        <v>126</v>
      </c>
      <c r="V35">
        <v>50</v>
      </c>
    </row>
    <row r="36" spans="2:22">
      <c r="B36" s="9">
        <v>9</v>
      </c>
      <c r="C36" s="3">
        <f t="shared" si="15"/>
        <v>1443</v>
      </c>
      <c r="D36" s="3">
        <f t="shared" si="10"/>
        <v>492</v>
      </c>
      <c r="E36" s="3">
        <f t="shared" si="10"/>
        <v>492</v>
      </c>
      <c r="F36" s="3">
        <f t="shared" si="10"/>
        <v>470</v>
      </c>
      <c r="G36" s="3">
        <f t="shared" si="16"/>
        <v>46</v>
      </c>
      <c r="I36">
        <v>9</v>
      </c>
      <c r="J36">
        <f t="shared" si="11"/>
        <v>352</v>
      </c>
      <c r="K36">
        <f t="shared" si="12"/>
        <v>120</v>
      </c>
      <c r="L36">
        <f t="shared" si="13"/>
        <v>120</v>
      </c>
      <c r="M36">
        <f t="shared" si="14"/>
        <v>16</v>
      </c>
      <c r="P36" s="48">
        <v>10</v>
      </c>
      <c r="Q36" s="48"/>
      <c r="R36" s="48"/>
      <c r="S36" s="48"/>
      <c r="T36" s="48"/>
      <c r="U36" s="48" t="s">
        <v>127</v>
      </c>
    </row>
    <row r="37" spans="2:22">
      <c r="B37" s="9">
        <v>10</v>
      </c>
      <c r="C37" s="3">
        <f t="shared" si="15"/>
        <v>1488</v>
      </c>
      <c r="D37" s="3">
        <f t="shared" si="10"/>
        <v>507</v>
      </c>
      <c r="E37" s="3">
        <f t="shared" si="10"/>
        <v>507</v>
      </c>
      <c r="F37" s="3">
        <f t="shared" si="10"/>
        <v>484</v>
      </c>
      <c r="G37" s="3">
        <f t="shared" si="16"/>
        <v>48</v>
      </c>
      <c r="I37">
        <v>10</v>
      </c>
      <c r="J37">
        <f t="shared" si="11"/>
        <v>396</v>
      </c>
      <c r="K37">
        <f t="shared" si="12"/>
        <v>135</v>
      </c>
      <c r="L37">
        <f t="shared" si="13"/>
        <v>135</v>
      </c>
      <c r="M37">
        <f t="shared" si="14"/>
        <v>18</v>
      </c>
      <c r="P37" s="48">
        <v>11</v>
      </c>
      <c r="Q37" s="48"/>
      <c r="R37" s="48"/>
      <c r="S37" s="48"/>
      <c r="T37" s="48"/>
      <c r="U37" s="48" t="s">
        <v>128</v>
      </c>
    </row>
    <row r="38" spans="2:22">
      <c r="B38" s="9">
        <v>11</v>
      </c>
      <c r="C38" s="3">
        <f t="shared" si="15"/>
        <v>1532</v>
      </c>
      <c r="D38" s="3">
        <f t="shared" si="10"/>
        <v>523</v>
      </c>
      <c r="E38" s="3">
        <f t="shared" si="10"/>
        <v>523</v>
      </c>
      <c r="F38" s="3">
        <f t="shared" si="10"/>
        <v>498</v>
      </c>
      <c r="G38" s="3">
        <f t="shared" si="16"/>
        <v>50</v>
      </c>
      <c r="I38">
        <v>11</v>
      </c>
      <c r="J38">
        <f t="shared" si="11"/>
        <v>440</v>
      </c>
      <c r="K38">
        <f t="shared" si="12"/>
        <v>150</v>
      </c>
      <c r="L38">
        <f t="shared" si="13"/>
        <v>150</v>
      </c>
      <c r="M38">
        <f t="shared" si="14"/>
        <v>20</v>
      </c>
      <c r="P38" s="48">
        <v>12</v>
      </c>
      <c r="Q38" s="48"/>
      <c r="R38" s="48"/>
      <c r="S38" s="48"/>
      <c r="T38" s="48"/>
      <c r="U38" s="48" t="s">
        <v>129</v>
      </c>
    </row>
    <row r="39" spans="2:22">
      <c r="B39" s="9">
        <v>12</v>
      </c>
      <c r="C39" s="3">
        <f t="shared" si="15"/>
        <v>1576</v>
      </c>
      <c r="D39" s="3">
        <f t="shared" si="10"/>
        <v>538</v>
      </c>
      <c r="E39" s="3">
        <f t="shared" si="10"/>
        <v>538</v>
      </c>
      <c r="F39" s="3">
        <f t="shared" si="10"/>
        <v>513</v>
      </c>
      <c r="G39" s="3">
        <f t="shared" si="16"/>
        <v>52</v>
      </c>
      <c r="I39">
        <v>12</v>
      </c>
      <c r="J39">
        <f t="shared" si="11"/>
        <v>484</v>
      </c>
      <c r="K39">
        <f t="shared" si="12"/>
        <v>165</v>
      </c>
      <c r="L39">
        <f t="shared" si="13"/>
        <v>165</v>
      </c>
      <c r="M39">
        <f t="shared" si="14"/>
        <v>22</v>
      </c>
      <c r="P39" s="48">
        <v>13</v>
      </c>
      <c r="Q39" s="48"/>
      <c r="R39" s="48"/>
      <c r="S39" s="48"/>
      <c r="T39" s="48"/>
      <c r="U39" s="48" t="s">
        <v>130</v>
      </c>
    </row>
    <row r="40" spans="2:22">
      <c r="B40" s="9">
        <v>13</v>
      </c>
      <c r="C40" s="3">
        <f t="shared" si="15"/>
        <v>1620</v>
      </c>
      <c r="D40" s="3">
        <f t="shared" si="10"/>
        <v>553</v>
      </c>
      <c r="E40" s="3">
        <f t="shared" si="10"/>
        <v>553</v>
      </c>
      <c r="F40" s="3">
        <f t="shared" si="10"/>
        <v>527</v>
      </c>
      <c r="G40" s="3">
        <f t="shared" si="16"/>
        <v>54</v>
      </c>
      <c r="I40">
        <v>13</v>
      </c>
      <c r="J40">
        <f t="shared" si="11"/>
        <v>528</v>
      </c>
      <c r="K40">
        <f t="shared" si="12"/>
        <v>180</v>
      </c>
      <c r="L40">
        <f t="shared" si="13"/>
        <v>180</v>
      </c>
      <c r="M40">
        <f t="shared" si="14"/>
        <v>24</v>
      </c>
      <c r="P40" s="48">
        <v>14</v>
      </c>
      <c r="Q40" s="48"/>
      <c r="R40" s="48"/>
      <c r="S40" s="48"/>
      <c r="T40" s="48"/>
      <c r="U40" s="48" t="s">
        <v>131</v>
      </c>
    </row>
    <row r="41" spans="2:22">
      <c r="B41" s="9">
        <v>14</v>
      </c>
      <c r="C41" s="3">
        <f t="shared" si="15"/>
        <v>1664</v>
      </c>
      <c r="D41" s="3">
        <f t="shared" si="10"/>
        <v>568</v>
      </c>
      <c r="E41" s="3">
        <f t="shared" si="10"/>
        <v>568</v>
      </c>
      <c r="F41" s="3">
        <f t="shared" si="10"/>
        <v>541</v>
      </c>
      <c r="G41" s="3">
        <f t="shared" si="16"/>
        <v>56</v>
      </c>
      <c r="I41">
        <v>14</v>
      </c>
      <c r="J41">
        <f t="shared" si="11"/>
        <v>572</v>
      </c>
      <c r="K41">
        <f t="shared" si="12"/>
        <v>195</v>
      </c>
      <c r="L41">
        <f t="shared" si="13"/>
        <v>195</v>
      </c>
      <c r="M41">
        <f t="shared" si="14"/>
        <v>26</v>
      </c>
      <c r="P41" s="48">
        <v>15</v>
      </c>
      <c r="Q41" s="48"/>
      <c r="R41" s="48"/>
      <c r="S41" s="48"/>
      <c r="T41" s="48"/>
      <c r="U41" s="48" t="s">
        <v>132</v>
      </c>
    </row>
    <row r="42" spans="2:22">
      <c r="B42" s="9">
        <v>15</v>
      </c>
      <c r="C42" s="3">
        <f t="shared" si="15"/>
        <v>1708</v>
      </c>
      <c r="D42" s="3">
        <f t="shared" si="10"/>
        <v>583</v>
      </c>
      <c r="E42" s="3">
        <f t="shared" si="10"/>
        <v>583</v>
      </c>
      <c r="F42" s="3">
        <f t="shared" si="10"/>
        <v>556</v>
      </c>
      <c r="G42" s="3">
        <f t="shared" si="16"/>
        <v>58</v>
      </c>
      <c r="I42">
        <v>15</v>
      </c>
      <c r="J42">
        <f t="shared" si="11"/>
        <v>616</v>
      </c>
      <c r="K42">
        <f t="shared" si="12"/>
        <v>210</v>
      </c>
      <c r="L42">
        <f t="shared" si="13"/>
        <v>210</v>
      </c>
      <c r="M42">
        <f t="shared" si="14"/>
        <v>28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15"/>
        <v>1752</v>
      </c>
      <c r="D43" s="3">
        <f t="shared" si="10"/>
        <v>598</v>
      </c>
      <c r="E43" s="3">
        <f t="shared" si="10"/>
        <v>598</v>
      </c>
      <c r="F43" s="3">
        <f t="shared" si="10"/>
        <v>570</v>
      </c>
      <c r="G43" s="3">
        <f t="shared" si="16"/>
        <v>60</v>
      </c>
      <c r="I43">
        <v>16</v>
      </c>
      <c r="J43">
        <f t="shared" si="11"/>
        <v>660</v>
      </c>
      <c r="K43">
        <f t="shared" si="12"/>
        <v>225</v>
      </c>
      <c r="L43">
        <f t="shared" si="13"/>
        <v>225</v>
      </c>
      <c r="M43">
        <f t="shared" si="14"/>
        <v>30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15"/>
        <v>1796</v>
      </c>
      <c r="D44" s="3">
        <f t="shared" si="10"/>
        <v>613</v>
      </c>
      <c r="E44" s="3">
        <f t="shared" si="10"/>
        <v>613</v>
      </c>
      <c r="F44" s="3">
        <f t="shared" si="10"/>
        <v>584</v>
      </c>
      <c r="G44" s="3">
        <f t="shared" si="16"/>
        <v>62</v>
      </c>
      <c r="I44">
        <v>17</v>
      </c>
      <c r="J44">
        <f t="shared" si="11"/>
        <v>704</v>
      </c>
      <c r="K44">
        <f t="shared" si="12"/>
        <v>240</v>
      </c>
      <c r="L44">
        <f t="shared" si="13"/>
        <v>240</v>
      </c>
      <c r="M44">
        <f t="shared" si="14"/>
        <v>32</v>
      </c>
    </row>
    <row r="45" spans="2:22">
      <c r="B45" s="9">
        <v>18</v>
      </c>
      <c r="C45" s="3">
        <f t="shared" si="15"/>
        <v>1840</v>
      </c>
      <c r="D45" s="3">
        <f t="shared" si="15"/>
        <v>628</v>
      </c>
      <c r="E45" s="3">
        <f t="shared" si="15"/>
        <v>628</v>
      </c>
      <c r="F45" s="3">
        <f t="shared" si="15"/>
        <v>599</v>
      </c>
      <c r="G45" s="3">
        <f t="shared" si="16"/>
        <v>64</v>
      </c>
      <c r="I45">
        <v>18</v>
      </c>
      <c r="J45">
        <f t="shared" si="11"/>
        <v>749</v>
      </c>
      <c r="K45">
        <f t="shared" si="12"/>
        <v>255</v>
      </c>
      <c r="L45">
        <f t="shared" si="13"/>
        <v>255</v>
      </c>
      <c r="M45">
        <f t="shared" si="14"/>
        <v>34</v>
      </c>
    </row>
    <row r="46" spans="2:22">
      <c r="B46" s="9">
        <v>19</v>
      </c>
      <c r="C46" s="3">
        <f t="shared" ref="C46:F109" si="17">ROUND(C$28+C$25*($B46-1),0)</f>
        <v>1884</v>
      </c>
      <c r="D46" s="3">
        <f t="shared" si="17"/>
        <v>643</v>
      </c>
      <c r="E46" s="3">
        <f t="shared" si="17"/>
        <v>643</v>
      </c>
      <c r="F46" s="3">
        <f t="shared" si="17"/>
        <v>613</v>
      </c>
      <c r="G46" s="3">
        <f t="shared" si="16"/>
        <v>66</v>
      </c>
      <c r="I46">
        <v>19</v>
      </c>
      <c r="J46">
        <f t="shared" si="11"/>
        <v>793</v>
      </c>
      <c r="K46">
        <f t="shared" si="12"/>
        <v>270</v>
      </c>
      <c r="L46">
        <f t="shared" si="13"/>
        <v>270</v>
      </c>
      <c r="M46">
        <f t="shared" si="14"/>
        <v>36</v>
      </c>
    </row>
    <row r="47" spans="2:22">
      <c r="B47" s="9">
        <v>20</v>
      </c>
      <c r="C47" s="3">
        <f t="shared" si="17"/>
        <v>1928</v>
      </c>
      <c r="D47" s="3">
        <f t="shared" si="17"/>
        <v>658</v>
      </c>
      <c r="E47" s="3">
        <f t="shared" si="17"/>
        <v>658</v>
      </c>
      <c r="F47" s="3">
        <f t="shared" si="17"/>
        <v>628</v>
      </c>
      <c r="G47" s="3">
        <f t="shared" si="16"/>
        <v>68</v>
      </c>
      <c r="I47">
        <v>20</v>
      </c>
      <c r="J47">
        <f t="shared" si="11"/>
        <v>837</v>
      </c>
      <c r="K47">
        <f t="shared" si="12"/>
        <v>285</v>
      </c>
      <c r="L47">
        <f t="shared" si="13"/>
        <v>285</v>
      </c>
      <c r="M47">
        <f t="shared" si="14"/>
        <v>38</v>
      </c>
    </row>
    <row r="48" spans="2:22">
      <c r="B48" s="9">
        <v>21</v>
      </c>
      <c r="C48" s="3">
        <f t="shared" si="17"/>
        <v>1972</v>
      </c>
      <c r="D48" s="3">
        <f t="shared" si="17"/>
        <v>673</v>
      </c>
      <c r="E48" s="3">
        <f t="shared" si="17"/>
        <v>673</v>
      </c>
      <c r="F48" s="3">
        <f t="shared" si="17"/>
        <v>642</v>
      </c>
      <c r="G48" s="3">
        <f t="shared" si="16"/>
        <v>70</v>
      </c>
      <c r="I48">
        <v>21</v>
      </c>
      <c r="J48">
        <f t="shared" si="11"/>
        <v>881</v>
      </c>
      <c r="K48">
        <f t="shared" si="12"/>
        <v>301</v>
      </c>
      <c r="L48">
        <f t="shared" si="13"/>
        <v>301</v>
      </c>
      <c r="M48">
        <f t="shared" si="14"/>
        <v>40</v>
      </c>
    </row>
    <row r="49" spans="2:13">
      <c r="B49">
        <v>22</v>
      </c>
      <c r="C49" s="3">
        <f t="shared" si="17"/>
        <v>2016</v>
      </c>
      <c r="D49" s="3">
        <f t="shared" si="17"/>
        <v>688</v>
      </c>
      <c r="E49" s="3">
        <f t="shared" si="17"/>
        <v>688</v>
      </c>
      <c r="F49" s="3">
        <f t="shared" si="17"/>
        <v>656</v>
      </c>
      <c r="G49" s="3">
        <f t="shared" si="16"/>
        <v>72</v>
      </c>
      <c r="I49">
        <v>22</v>
      </c>
      <c r="J49">
        <f t="shared" si="11"/>
        <v>925</v>
      </c>
      <c r="K49">
        <f t="shared" si="12"/>
        <v>316</v>
      </c>
      <c r="L49">
        <f t="shared" si="13"/>
        <v>316</v>
      </c>
      <c r="M49">
        <f t="shared" si="14"/>
        <v>42</v>
      </c>
    </row>
    <row r="50" spans="2:13">
      <c r="B50">
        <v>23</v>
      </c>
      <c r="C50" s="3">
        <f t="shared" si="17"/>
        <v>2060</v>
      </c>
      <c r="D50" s="3">
        <f t="shared" si="17"/>
        <v>703</v>
      </c>
      <c r="E50" s="3">
        <f t="shared" si="17"/>
        <v>703</v>
      </c>
      <c r="F50" s="3">
        <f t="shared" si="17"/>
        <v>671</v>
      </c>
      <c r="G50" s="3">
        <f t="shared" si="16"/>
        <v>74</v>
      </c>
      <c r="I50">
        <v>23</v>
      </c>
      <c r="J50">
        <f t="shared" si="11"/>
        <v>969</v>
      </c>
      <c r="K50">
        <f t="shared" si="12"/>
        <v>331</v>
      </c>
      <c r="L50">
        <f t="shared" si="13"/>
        <v>331</v>
      </c>
      <c r="M50">
        <f t="shared" si="14"/>
        <v>44</v>
      </c>
    </row>
    <row r="51" spans="2:13">
      <c r="B51">
        <v>24</v>
      </c>
      <c r="C51" s="3">
        <f t="shared" si="17"/>
        <v>2104</v>
      </c>
      <c r="D51" s="3">
        <f t="shared" si="17"/>
        <v>718</v>
      </c>
      <c r="E51" s="3">
        <f t="shared" si="17"/>
        <v>718</v>
      </c>
      <c r="F51" s="3">
        <f t="shared" si="17"/>
        <v>685</v>
      </c>
      <c r="G51" s="3">
        <f t="shared" si="16"/>
        <v>76</v>
      </c>
      <c r="I51">
        <v>24</v>
      </c>
      <c r="J51">
        <f t="shared" si="11"/>
        <v>1013</v>
      </c>
      <c r="K51">
        <f t="shared" si="12"/>
        <v>346</v>
      </c>
      <c r="L51">
        <f t="shared" si="13"/>
        <v>346</v>
      </c>
      <c r="M51">
        <f t="shared" si="14"/>
        <v>46</v>
      </c>
    </row>
    <row r="52" spans="2:13">
      <c r="B52">
        <v>25</v>
      </c>
      <c r="C52" s="3">
        <f t="shared" si="17"/>
        <v>2148</v>
      </c>
      <c r="D52" s="3">
        <f t="shared" si="17"/>
        <v>733</v>
      </c>
      <c r="E52" s="3">
        <f t="shared" si="17"/>
        <v>733</v>
      </c>
      <c r="F52" s="3">
        <f t="shared" si="17"/>
        <v>699</v>
      </c>
      <c r="G52" s="3">
        <f t="shared" si="16"/>
        <v>78</v>
      </c>
      <c r="I52">
        <v>25</v>
      </c>
      <c r="J52">
        <f t="shared" si="11"/>
        <v>1057</v>
      </c>
      <c r="K52">
        <f t="shared" si="12"/>
        <v>361</v>
      </c>
      <c r="L52">
        <f t="shared" si="13"/>
        <v>361</v>
      </c>
      <c r="M52">
        <f t="shared" si="14"/>
        <v>48</v>
      </c>
    </row>
    <row r="53" spans="2:13">
      <c r="B53">
        <v>26</v>
      </c>
      <c r="C53" s="3">
        <f t="shared" si="17"/>
        <v>2193</v>
      </c>
      <c r="D53" s="3">
        <f t="shared" si="17"/>
        <v>748</v>
      </c>
      <c r="E53" s="3">
        <f t="shared" si="17"/>
        <v>748</v>
      </c>
      <c r="F53" s="3">
        <f t="shared" si="17"/>
        <v>714</v>
      </c>
      <c r="G53" s="3">
        <f t="shared" si="16"/>
        <v>80</v>
      </c>
      <c r="I53">
        <v>26</v>
      </c>
      <c r="J53">
        <f t="shared" si="11"/>
        <v>1101</v>
      </c>
      <c r="K53">
        <f t="shared" si="12"/>
        <v>376</v>
      </c>
      <c r="L53">
        <f t="shared" si="13"/>
        <v>376</v>
      </c>
      <c r="M53">
        <f t="shared" si="14"/>
        <v>50</v>
      </c>
    </row>
    <row r="54" spans="2:13">
      <c r="B54">
        <v>27</v>
      </c>
      <c r="C54" s="3">
        <f t="shared" si="17"/>
        <v>2237</v>
      </c>
      <c r="D54" s="3">
        <f t="shared" si="17"/>
        <v>763</v>
      </c>
      <c r="E54" s="3">
        <f t="shared" si="17"/>
        <v>763</v>
      </c>
      <c r="F54" s="3">
        <f t="shared" si="17"/>
        <v>728</v>
      </c>
      <c r="G54" s="3">
        <f t="shared" si="16"/>
        <v>82</v>
      </c>
      <c r="I54">
        <v>27</v>
      </c>
      <c r="J54">
        <f t="shared" si="11"/>
        <v>1145</v>
      </c>
      <c r="K54">
        <f t="shared" si="12"/>
        <v>391</v>
      </c>
      <c r="L54">
        <f t="shared" si="13"/>
        <v>391</v>
      </c>
      <c r="M54">
        <f t="shared" si="14"/>
        <v>52</v>
      </c>
    </row>
    <row r="55" spans="2:13">
      <c r="B55">
        <v>28</v>
      </c>
      <c r="C55" s="3">
        <f t="shared" si="17"/>
        <v>2281</v>
      </c>
      <c r="D55" s="3">
        <f t="shared" si="17"/>
        <v>778</v>
      </c>
      <c r="E55" s="3">
        <f t="shared" si="17"/>
        <v>778</v>
      </c>
      <c r="F55" s="3">
        <f t="shared" si="17"/>
        <v>742</v>
      </c>
      <c r="G55" s="3">
        <f t="shared" si="16"/>
        <v>84</v>
      </c>
      <c r="I55">
        <v>28</v>
      </c>
      <c r="J55">
        <f t="shared" si="11"/>
        <v>1189</v>
      </c>
      <c r="K55">
        <f t="shared" si="12"/>
        <v>406</v>
      </c>
      <c r="L55">
        <f t="shared" si="13"/>
        <v>406</v>
      </c>
      <c r="M55">
        <f t="shared" si="14"/>
        <v>54</v>
      </c>
    </row>
    <row r="56" spans="2:13">
      <c r="B56">
        <v>29</v>
      </c>
      <c r="C56" s="3">
        <f t="shared" si="17"/>
        <v>2325</v>
      </c>
      <c r="D56" s="3">
        <f t="shared" si="17"/>
        <v>793</v>
      </c>
      <c r="E56" s="3">
        <f t="shared" si="17"/>
        <v>793</v>
      </c>
      <c r="F56" s="3">
        <f t="shared" si="17"/>
        <v>757</v>
      </c>
      <c r="G56" s="3">
        <f t="shared" si="16"/>
        <v>86</v>
      </c>
      <c r="I56">
        <v>29</v>
      </c>
      <c r="J56">
        <f t="shared" si="11"/>
        <v>1233</v>
      </c>
      <c r="K56">
        <f t="shared" si="12"/>
        <v>421</v>
      </c>
      <c r="L56">
        <f t="shared" si="13"/>
        <v>421</v>
      </c>
      <c r="M56">
        <f t="shared" si="14"/>
        <v>56</v>
      </c>
    </row>
    <row r="57" spans="2:13">
      <c r="B57">
        <v>30</v>
      </c>
      <c r="C57" s="3">
        <f t="shared" si="17"/>
        <v>2369</v>
      </c>
      <c r="D57" s="3">
        <f t="shared" si="17"/>
        <v>808</v>
      </c>
      <c r="E57" s="3">
        <f t="shared" si="17"/>
        <v>808</v>
      </c>
      <c r="F57" s="3">
        <f t="shared" si="17"/>
        <v>771</v>
      </c>
      <c r="G57" s="3">
        <f t="shared" si="16"/>
        <v>88</v>
      </c>
      <c r="I57">
        <v>30</v>
      </c>
      <c r="J57">
        <f t="shared" si="11"/>
        <v>1277</v>
      </c>
      <c r="K57">
        <f t="shared" si="12"/>
        <v>436</v>
      </c>
      <c r="L57">
        <f t="shared" si="13"/>
        <v>436</v>
      </c>
      <c r="M57">
        <f t="shared" si="14"/>
        <v>58</v>
      </c>
    </row>
    <row r="58" spans="2:13">
      <c r="B58">
        <v>31</v>
      </c>
      <c r="C58" s="3">
        <f t="shared" si="17"/>
        <v>2413</v>
      </c>
      <c r="D58" s="3">
        <f t="shared" si="17"/>
        <v>824</v>
      </c>
      <c r="E58" s="3">
        <f t="shared" si="17"/>
        <v>824</v>
      </c>
      <c r="F58" s="3">
        <f t="shared" si="17"/>
        <v>785</v>
      </c>
      <c r="G58" s="3">
        <f t="shared" si="16"/>
        <v>90</v>
      </c>
      <c r="I58">
        <v>31</v>
      </c>
      <c r="J58">
        <f t="shared" si="11"/>
        <v>1321</v>
      </c>
      <c r="K58">
        <f t="shared" si="12"/>
        <v>451</v>
      </c>
      <c r="L58">
        <f t="shared" si="13"/>
        <v>451</v>
      </c>
      <c r="M58">
        <f t="shared" si="14"/>
        <v>60</v>
      </c>
    </row>
    <row r="59" spans="2:13">
      <c r="B59">
        <v>32</v>
      </c>
      <c r="C59" s="3">
        <f t="shared" si="17"/>
        <v>2457</v>
      </c>
      <c r="D59" s="3">
        <f t="shared" si="17"/>
        <v>839</v>
      </c>
      <c r="E59" s="3">
        <f t="shared" si="17"/>
        <v>839</v>
      </c>
      <c r="F59" s="3">
        <f t="shared" si="17"/>
        <v>800</v>
      </c>
      <c r="G59" s="3">
        <f t="shared" si="16"/>
        <v>92</v>
      </c>
      <c r="I59">
        <v>32</v>
      </c>
      <c r="J59">
        <f t="shared" si="11"/>
        <v>1365</v>
      </c>
      <c r="K59">
        <f t="shared" si="12"/>
        <v>466</v>
      </c>
      <c r="L59">
        <f t="shared" si="13"/>
        <v>466</v>
      </c>
      <c r="M59">
        <f t="shared" si="14"/>
        <v>62</v>
      </c>
    </row>
    <row r="60" spans="2:13">
      <c r="B60">
        <v>33</v>
      </c>
      <c r="C60" s="3">
        <f t="shared" si="17"/>
        <v>2501</v>
      </c>
      <c r="D60" s="3">
        <f t="shared" si="17"/>
        <v>854</v>
      </c>
      <c r="E60" s="3">
        <f t="shared" si="17"/>
        <v>854</v>
      </c>
      <c r="F60" s="3">
        <f t="shared" si="17"/>
        <v>814</v>
      </c>
      <c r="G60" s="3">
        <f t="shared" si="16"/>
        <v>94</v>
      </c>
      <c r="I60">
        <v>33</v>
      </c>
      <c r="J60">
        <f t="shared" si="11"/>
        <v>1409</v>
      </c>
      <c r="K60">
        <f t="shared" si="12"/>
        <v>481</v>
      </c>
      <c r="L60">
        <f t="shared" si="13"/>
        <v>481</v>
      </c>
      <c r="M60">
        <f t="shared" si="14"/>
        <v>64</v>
      </c>
    </row>
    <row r="61" spans="2:13">
      <c r="B61">
        <v>34</v>
      </c>
      <c r="C61" s="3">
        <f t="shared" si="17"/>
        <v>2545</v>
      </c>
      <c r="D61" s="3">
        <f t="shared" si="17"/>
        <v>869</v>
      </c>
      <c r="E61" s="3">
        <f t="shared" si="17"/>
        <v>869</v>
      </c>
      <c r="F61" s="3">
        <f t="shared" si="17"/>
        <v>828</v>
      </c>
      <c r="G61" s="3">
        <f t="shared" si="16"/>
        <v>96</v>
      </c>
      <c r="I61">
        <v>34</v>
      </c>
      <c r="J61">
        <f t="shared" si="11"/>
        <v>1454</v>
      </c>
      <c r="K61">
        <f t="shared" si="12"/>
        <v>496</v>
      </c>
      <c r="L61">
        <f t="shared" si="13"/>
        <v>496</v>
      </c>
      <c r="M61">
        <f t="shared" si="14"/>
        <v>66</v>
      </c>
    </row>
    <row r="62" spans="2:13">
      <c r="B62">
        <v>35</v>
      </c>
      <c r="C62" s="3">
        <f t="shared" si="17"/>
        <v>2589</v>
      </c>
      <c r="D62" s="3">
        <f t="shared" si="17"/>
        <v>884</v>
      </c>
      <c r="E62" s="3">
        <f t="shared" si="17"/>
        <v>884</v>
      </c>
      <c r="F62" s="3">
        <f t="shared" si="17"/>
        <v>843</v>
      </c>
      <c r="G62" s="3">
        <f t="shared" si="16"/>
        <v>98</v>
      </c>
      <c r="I62">
        <v>35</v>
      </c>
      <c r="J62">
        <f t="shared" si="11"/>
        <v>1498</v>
      </c>
      <c r="K62">
        <f t="shared" si="12"/>
        <v>511</v>
      </c>
      <c r="L62">
        <f t="shared" si="13"/>
        <v>511</v>
      </c>
      <c r="M62">
        <f t="shared" si="14"/>
        <v>68</v>
      </c>
    </row>
    <row r="63" spans="2:13">
      <c r="B63">
        <v>36</v>
      </c>
      <c r="C63" s="3">
        <f t="shared" si="17"/>
        <v>2633</v>
      </c>
      <c r="D63" s="3">
        <f t="shared" si="17"/>
        <v>899</v>
      </c>
      <c r="E63" s="3">
        <f t="shared" si="17"/>
        <v>899</v>
      </c>
      <c r="F63" s="3">
        <f t="shared" si="17"/>
        <v>857</v>
      </c>
      <c r="G63" s="3">
        <f t="shared" si="16"/>
        <v>100</v>
      </c>
      <c r="I63">
        <v>36</v>
      </c>
      <c r="J63">
        <f t="shared" si="11"/>
        <v>1542</v>
      </c>
      <c r="K63">
        <f t="shared" si="12"/>
        <v>526</v>
      </c>
      <c r="L63">
        <f t="shared" si="13"/>
        <v>526</v>
      </c>
      <c r="M63">
        <f t="shared" si="14"/>
        <v>70</v>
      </c>
    </row>
    <row r="64" spans="2:13">
      <c r="B64">
        <v>37</v>
      </c>
      <c r="C64" s="3">
        <f t="shared" si="17"/>
        <v>2677</v>
      </c>
      <c r="D64" s="3">
        <f t="shared" si="17"/>
        <v>914</v>
      </c>
      <c r="E64" s="3">
        <f t="shared" si="17"/>
        <v>914</v>
      </c>
      <c r="F64" s="3">
        <f t="shared" si="17"/>
        <v>871</v>
      </c>
      <c r="G64" s="3">
        <f t="shared" si="16"/>
        <v>102</v>
      </c>
      <c r="I64">
        <v>37</v>
      </c>
      <c r="J64">
        <f t="shared" si="11"/>
        <v>1586</v>
      </c>
      <c r="K64">
        <f t="shared" si="12"/>
        <v>541</v>
      </c>
      <c r="L64">
        <f t="shared" si="13"/>
        <v>541</v>
      </c>
      <c r="M64">
        <f t="shared" si="14"/>
        <v>72</v>
      </c>
    </row>
    <row r="65" spans="2:13">
      <c r="B65">
        <v>38</v>
      </c>
      <c r="C65" s="3">
        <f t="shared" si="17"/>
        <v>2721</v>
      </c>
      <c r="D65" s="3">
        <f t="shared" si="17"/>
        <v>929</v>
      </c>
      <c r="E65" s="3">
        <f t="shared" si="17"/>
        <v>929</v>
      </c>
      <c r="F65" s="3">
        <f t="shared" si="17"/>
        <v>886</v>
      </c>
      <c r="G65" s="3">
        <f t="shared" si="16"/>
        <v>104</v>
      </c>
      <c r="I65">
        <v>38</v>
      </c>
      <c r="J65">
        <f t="shared" si="11"/>
        <v>1630</v>
      </c>
      <c r="K65">
        <f t="shared" si="12"/>
        <v>556</v>
      </c>
      <c r="L65">
        <f t="shared" si="13"/>
        <v>556</v>
      </c>
      <c r="M65">
        <f t="shared" si="14"/>
        <v>74</v>
      </c>
    </row>
    <row r="66" spans="2:13">
      <c r="B66">
        <v>39</v>
      </c>
      <c r="C66" s="3">
        <f t="shared" si="17"/>
        <v>2765</v>
      </c>
      <c r="D66" s="3">
        <f t="shared" si="17"/>
        <v>944</v>
      </c>
      <c r="E66" s="3">
        <f t="shared" si="17"/>
        <v>944</v>
      </c>
      <c r="F66" s="3">
        <f t="shared" si="17"/>
        <v>900</v>
      </c>
      <c r="G66" s="3">
        <f t="shared" si="16"/>
        <v>106</v>
      </c>
      <c r="I66">
        <v>39</v>
      </c>
      <c r="J66">
        <f t="shared" si="11"/>
        <v>1674</v>
      </c>
      <c r="K66">
        <f t="shared" si="12"/>
        <v>571</v>
      </c>
      <c r="L66">
        <f t="shared" si="13"/>
        <v>571</v>
      </c>
      <c r="M66">
        <f t="shared" si="14"/>
        <v>76</v>
      </c>
    </row>
    <row r="67" spans="2:13">
      <c r="B67">
        <v>40</v>
      </c>
      <c r="C67" s="3">
        <f t="shared" si="17"/>
        <v>2809</v>
      </c>
      <c r="D67" s="3">
        <f t="shared" si="17"/>
        <v>959</v>
      </c>
      <c r="E67" s="3">
        <f t="shared" si="17"/>
        <v>959</v>
      </c>
      <c r="F67" s="3">
        <f t="shared" si="17"/>
        <v>914</v>
      </c>
      <c r="G67" s="3">
        <f t="shared" si="16"/>
        <v>108</v>
      </c>
      <c r="I67">
        <v>40</v>
      </c>
      <c r="J67">
        <f t="shared" si="11"/>
        <v>1718</v>
      </c>
      <c r="K67">
        <f t="shared" si="12"/>
        <v>586</v>
      </c>
      <c r="L67">
        <f t="shared" si="13"/>
        <v>586</v>
      </c>
      <c r="M67">
        <f t="shared" si="14"/>
        <v>78</v>
      </c>
    </row>
    <row r="68" spans="2:13">
      <c r="B68">
        <v>41</v>
      </c>
      <c r="C68" s="3">
        <f t="shared" si="17"/>
        <v>2853</v>
      </c>
      <c r="D68" s="3">
        <f t="shared" si="17"/>
        <v>974</v>
      </c>
      <c r="E68" s="3">
        <f t="shared" si="17"/>
        <v>974</v>
      </c>
      <c r="F68" s="3">
        <f t="shared" si="17"/>
        <v>929</v>
      </c>
      <c r="G68" s="3">
        <f t="shared" si="16"/>
        <v>110</v>
      </c>
      <c r="I68">
        <v>41</v>
      </c>
      <c r="J68">
        <f t="shared" si="11"/>
        <v>1762</v>
      </c>
      <c r="K68">
        <f t="shared" si="12"/>
        <v>602</v>
      </c>
      <c r="L68">
        <f t="shared" si="13"/>
        <v>602</v>
      </c>
      <c r="M68">
        <f t="shared" si="14"/>
        <v>80</v>
      </c>
    </row>
    <row r="69" spans="2:13">
      <c r="B69">
        <v>42</v>
      </c>
      <c r="C69" s="3">
        <f t="shared" si="17"/>
        <v>2897</v>
      </c>
      <c r="D69" s="3">
        <f t="shared" si="17"/>
        <v>989</v>
      </c>
      <c r="E69" s="3">
        <f t="shared" si="17"/>
        <v>989</v>
      </c>
      <c r="F69" s="3">
        <f t="shared" si="17"/>
        <v>943</v>
      </c>
      <c r="G69" s="3">
        <f t="shared" si="16"/>
        <v>112</v>
      </c>
      <c r="I69">
        <v>42</v>
      </c>
      <c r="J69">
        <f t="shared" si="11"/>
        <v>1806</v>
      </c>
      <c r="K69">
        <f t="shared" si="12"/>
        <v>617</v>
      </c>
      <c r="L69">
        <f t="shared" si="13"/>
        <v>617</v>
      </c>
      <c r="M69">
        <f t="shared" si="14"/>
        <v>82</v>
      </c>
    </row>
    <row r="70" spans="2:13">
      <c r="B70">
        <v>43</v>
      </c>
      <c r="C70" s="3">
        <f t="shared" si="17"/>
        <v>2942</v>
      </c>
      <c r="D70" s="3">
        <f t="shared" si="17"/>
        <v>1004</v>
      </c>
      <c r="E70" s="3">
        <f t="shared" si="17"/>
        <v>1004</v>
      </c>
      <c r="F70" s="3">
        <f t="shared" si="17"/>
        <v>957</v>
      </c>
      <c r="G70" s="3">
        <f t="shared" si="16"/>
        <v>114</v>
      </c>
      <c r="I70">
        <v>43</v>
      </c>
      <c r="J70">
        <f t="shared" si="11"/>
        <v>1850</v>
      </c>
      <c r="K70">
        <f t="shared" si="12"/>
        <v>632</v>
      </c>
      <c r="L70">
        <f t="shared" si="13"/>
        <v>632</v>
      </c>
      <c r="M70">
        <f t="shared" si="14"/>
        <v>84</v>
      </c>
    </row>
    <row r="71" spans="2:13">
      <c r="B71">
        <v>44</v>
      </c>
      <c r="C71" s="3">
        <f t="shared" si="17"/>
        <v>2986</v>
      </c>
      <c r="D71" s="3">
        <f t="shared" si="17"/>
        <v>1019</v>
      </c>
      <c r="E71" s="3">
        <f t="shared" si="17"/>
        <v>1019</v>
      </c>
      <c r="F71" s="3">
        <f t="shared" si="17"/>
        <v>972</v>
      </c>
      <c r="G71" s="3">
        <f t="shared" si="16"/>
        <v>116</v>
      </c>
      <c r="I71">
        <v>44</v>
      </c>
      <c r="J71">
        <f t="shared" si="11"/>
        <v>1894</v>
      </c>
      <c r="K71">
        <f t="shared" si="12"/>
        <v>647</v>
      </c>
      <c r="L71">
        <f t="shared" si="13"/>
        <v>647</v>
      </c>
      <c r="M71">
        <f t="shared" si="14"/>
        <v>86</v>
      </c>
    </row>
    <row r="72" spans="2:13">
      <c r="B72">
        <v>45</v>
      </c>
      <c r="C72" s="3">
        <f t="shared" si="17"/>
        <v>3030</v>
      </c>
      <c r="D72" s="3">
        <f t="shared" si="17"/>
        <v>1034</v>
      </c>
      <c r="E72" s="3">
        <f t="shared" si="17"/>
        <v>1034</v>
      </c>
      <c r="F72" s="3">
        <f t="shared" si="17"/>
        <v>986</v>
      </c>
      <c r="G72" s="3">
        <f t="shared" si="16"/>
        <v>118</v>
      </c>
      <c r="I72">
        <v>45</v>
      </c>
      <c r="J72">
        <f t="shared" si="11"/>
        <v>1938</v>
      </c>
      <c r="K72">
        <f t="shared" si="12"/>
        <v>662</v>
      </c>
      <c r="L72">
        <f t="shared" si="13"/>
        <v>662</v>
      </c>
      <c r="M72">
        <f t="shared" si="14"/>
        <v>88</v>
      </c>
    </row>
    <row r="73" spans="2:13">
      <c r="B73">
        <v>46</v>
      </c>
      <c r="C73" s="3">
        <f t="shared" si="17"/>
        <v>3074</v>
      </c>
      <c r="D73" s="3">
        <f t="shared" si="17"/>
        <v>1049</v>
      </c>
      <c r="E73" s="3">
        <f t="shared" si="17"/>
        <v>1049</v>
      </c>
      <c r="F73" s="3">
        <f t="shared" si="17"/>
        <v>1000</v>
      </c>
      <c r="G73" s="3">
        <f t="shared" si="16"/>
        <v>120</v>
      </c>
      <c r="I73">
        <v>46</v>
      </c>
      <c r="J73">
        <f t="shared" si="11"/>
        <v>1982</v>
      </c>
      <c r="K73">
        <f t="shared" si="12"/>
        <v>677</v>
      </c>
      <c r="L73">
        <f t="shared" si="13"/>
        <v>677</v>
      </c>
      <c r="M73">
        <f t="shared" si="14"/>
        <v>90</v>
      </c>
    </row>
    <row r="74" spans="2:13">
      <c r="B74">
        <v>47</v>
      </c>
      <c r="C74" s="3">
        <f t="shared" si="17"/>
        <v>3118</v>
      </c>
      <c r="D74" s="3">
        <f t="shared" si="17"/>
        <v>1064</v>
      </c>
      <c r="E74" s="3">
        <f t="shared" si="17"/>
        <v>1064</v>
      </c>
      <c r="F74" s="3">
        <f t="shared" si="17"/>
        <v>1015</v>
      </c>
      <c r="G74" s="3">
        <f t="shared" si="16"/>
        <v>122</v>
      </c>
      <c r="I74">
        <v>47</v>
      </c>
      <c r="J74">
        <f t="shared" si="11"/>
        <v>2026</v>
      </c>
      <c r="K74">
        <f t="shared" si="12"/>
        <v>692</v>
      </c>
      <c r="L74">
        <f t="shared" si="13"/>
        <v>692</v>
      </c>
      <c r="M74">
        <f t="shared" si="14"/>
        <v>92</v>
      </c>
    </row>
    <row r="75" spans="2:13">
      <c r="B75">
        <v>48</v>
      </c>
      <c r="C75" s="3">
        <f t="shared" si="17"/>
        <v>3162</v>
      </c>
      <c r="D75" s="3">
        <f t="shared" si="17"/>
        <v>1079</v>
      </c>
      <c r="E75" s="3">
        <f t="shared" si="17"/>
        <v>1079</v>
      </c>
      <c r="F75" s="3">
        <f t="shared" si="17"/>
        <v>1029</v>
      </c>
      <c r="G75" s="3">
        <f t="shared" si="16"/>
        <v>124</v>
      </c>
      <c r="I75">
        <v>48</v>
      </c>
      <c r="J75">
        <f t="shared" si="11"/>
        <v>2070</v>
      </c>
      <c r="K75">
        <f t="shared" si="12"/>
        <v>707</v>
      </c>
      <c r="L75">
        <f t="shared" si="13"/>
        <v>707</v>
      </c>
      <c r="M75">
        <f t="shared" si="14"/>
        <v>94</v>
      </c>
    </row>
    <row r="76" spans="2:13">
      <c r="B76">
        <v>49</v>
      </c>
      <c r="C76" s="3">
        <f t="shared" si="17"/>
        <v>3206</v>
      </c>
      <c r="D76" s="3">
        <f t="shared" si="17"/>
        <v>1094</v>
      </c>
      <c r="E76" s="3">
        <f t="shared" si="17"/>
        <v>1094</v>
      </c>
      <c r="F76" s="3">
        <f t="shared" si="17"/>
        <v>1043</v>
      </c>
      <c r="G76" s="3">
        <f t="shared" si="16"/>
        <v>126</v>
      </c>
      <c r="I76">
        <v>49</v>
      </c>
      <c r="J76">
        <f t="shared" si="11"/>
        <v>2114</v>
      </c>
      <c r="K76">
        <f t="shared" si="12"/>
        <v>722</v>
      </c>
      <c r="L76">
        <f t="shared" si="13"/>
        <v>722</v>
      </c>
      <c r="M76">
        <f t="shared" si="14"/>
        <v>96</v>
      </c>
    </row>
    <row r="77" spans="2:13">
      <c r="B77">
        <v>50</v>
      </c>
      <c r="C77" s="3">
        <f t="shared" si="17"/>
        <v>3250</v>
      </c>
      <c r="D77" s="3">
        <f t="shared" si="17"/>
        <v>1109</v>
      </c>
      <c r="E77" s="3">
        <f t="shared" si="17"/>
        <v>1109</v>
      </c>
      <c r="F77" s="3">
        <f t="shared" si="17"/>
        <v>1058</v>
      </c>
      <c r="G77" s="3">
        <f t="shared" si="16"/>
        <v>128</v>
      </c>
      <c r="I77">
        <v>50</v>
      </c>
      <c r="J77">
        <f t="shared" si="11"/>
        <v>2158</v>
      </c>
      <c r="K77">
        <f t="shared" si="12"/>
        <v>737</v>
      </c>
      <c r="L77">
        <f t="shared" si="13"/>
        <v>737</v>
      </c>
      <c r="M77">
        <f t="shared" si="14"/>
        <v>98</v>
      </c>
    </row>
    <row r="78" spans="2:13">
      <c r="B78">
        <v>51</v>
      </c>
      <c r="C78" s="3">
        <f t="shared" si="17"/>
        <v>3294</v>
      </c>
      <c r="D78" s="3">
        <f t="shared" si="17"/>
        <v>1125</v>
      </c>
      <c r="E78" s="3">
        <f t="shared" si="17"/>
        <v>1125</v>
      </c>
      <c r="F78" s="3">
        <f t="shared" si="17"/>
        <v>1072</v>
      </c>
      <c r="G78" s="3">
        <f t="shared" si="16"/>
        <v>130</v>
      </c>
      <c r="I78">
        <v>51</v>
      </c>
      <c r="J78">
        <f t="shared" si="11"/>
        <v>2203</v>
      </c>
      <c r="K78">
        <f t="shared" si="12"/>
        <v>752</v>
      </c>
      <c r="L78">
        <f t="shared" si="13"/>
        <v>752</v>
      </c>
      <c r="M78">
        <f t="shared" si="14"/>
        <v>100</v>
      </c>
    </row>
    <row r="79" spans="2:13">
      <c r="B79">
        <v>52</v>
      </c>
      <c r="C79" s="3">
        <f t="shared" si="17"/>
        <v>3338</v>
      </c>
      <c r="D79" s="3">
        <f t="shared" si="17"/>
        <v>1140</v>
      </c>
      <c r="E79" s="3">
        <f t="shared" si="17"/>
        <v>1140</v>
      </c>
      <c r="F79" s="3">
        <f t="shared" si="17"/>
        <v>1087</v>
      </c>
      <c r="G79" s="3">
        <f t="shared" si="16"/>
        <v>132</v>
      </c>
      <c r="I79">
        <v>52</v>
      </c>
      <c r="J79">
        <f t="shared" si="11"/>
        <v>2247</v>
      </c>
      <c r="K79">
        <f t="shared" si="12"/>
        <v>767</v>
      </c>
      <c r="L79">
        <f t="shared" si="13"/>
        <v>767</v>
      </c>
      <c r="M79">
        <f t="shared" si="14"/>
        <v>102</v>
      </c>
    </row>
    <row r="80" spans="2:13">
      <c r="B80">
        <v>53</v>
      </c>
      <c r="C80" s="3">
        <f t="shared" si="17"/>
        <v>3382</v>
      </c>
      <c r="D80" s="3">
        <f t="shared" si="17"/>
        <v>1155</v>
      </c>
      <c r="E80" s="3">
        <f t="shared" si="17"/>
        <v>1155</v>
      </c>
      <c r="F80" s="3">
        <f t="shared" si="17"/>
        <v>1101</v>
      </c>
      <c r="G80" s="3">
        <f t="shared" si="16"/>
        <v>134</v>
      </c>
      <c r="I80">
        <v>53</v>
      </c>
      <c r="J80">
        <f t="shared" si="11"/>
        <v>2291</v>
      </c>
      <c r="K80">
        <f t="shared" si="12"/>
        <v>782</v>
      </c>
      <c r="L80">
        <f t="shared" si="13"/>
        <v>782</v>
      </c>
      <c r="M80">
        <f t="shared" si="14"/>
        <v>104</v>
      </c>
    </row>
    <row r="81" spans="2:13">
      <c r="B81">
        <v>54</v>
      </c>
      <c r="C81" s="3">
        <f t="shared" si="17"/>
        <v>3426</v>
      </c>
      <c r="D81" s="3">
        <f t="shared" si="17"/>
        <v>1170</v>
      </c>
      <c r="E81" s="3">
        <f t="shared" si="17"/>
        <v>1170</v>
      </c>
      <c r="F81" s="3">
        <f t="shared" si="17"/>
        <v>1115</v>
      </c>
      <c r="G81" s="3">
        <f t="shared" si="16"/>
        <v>136</v>
      </c>
      <c r="I81">
        <v>54</v>
      </c>
      <c r="J81">
        <f t="shared" si="11"/>
        <v>2335</v>
      </c>
      <c r="K81">
        <f t="shared" si="12"/>
        <v>797</v>
      </c>
      <c r="L81">
        <f t="shared" si="13"/>
        <v>797</v>
      </c>
      <c r="M81">
        <f t="shared" si="14"/>
        <v>106</v>
      </c>
    </row>
    <row r="82" spans="2:13">
      <c r="B82">
        <v>55</v>
      </c>
      <c r="C82" s="3">
        <f t="shared" si="17"/>
        <v>3470</v>
      </c>
      <c r="D82" s="3">
        <f t="shared" si="17"/>
        <v>1185</v>
      </c>
      <c r="E82" s="3">
        <f t="shared" si="17"/>
        <v>1185</v>
      </c>
      <c r="F82" s="3">
        <f t="shared" si="17"/>
        <v>1130</v>
      </c>
      <c r="G82" s="3">
        <f t="shared" si="16"/>
        <v>138</v>
      </c>
      <c r="I82">
        <v>55</v>
      </c>
      <c r="J82">
        <f t="shared" si="11"/>
        <v>2379</v>
      </c>
      <c r="K82">
        <f t="shared" si="12"/>
        <v>812</v>
      </c>
      <c r="L82">
        <f t="shared" si="13"/>
        <v>812</v>
      </c>
      <c r="M82">
        <f t="shared" si="14"/>
        <v>108</v>
      </c>
    </row>
    <row r="83" spans="2:13">
      <c r="B83">
        <v>56</v>
      </c>
      <c r="C83" s="3">
        <f t="shared" si="17"/>
        <v>3514</v>
      </c>
      <c r="D83" s="3">
        <f t="shared" si="17"/>
        <v>1200</v>
      </c>
      <c r="E83" s="3">
        <f t="shared" si="17"/>
        <v>1200</v>
      </c>
      <c r="F83" s="3">
        <f t="shared" si="17"/>
        <v>1144</v>
      </c>
      <c r="G83" s="3">
        <f t="shared" si="16"/>
        <v>140</v>
      </c>
      <c r="I83">
        <v>56</v>
      </c>
      <c r="J83">
        <f t="shared" si="11"/>
        <v>2423</v>
      </c>
      <c r="K83">
        <f t="shared" si="12"/>
        <v>827</v>
      </c>
      <c r="L83">
        <f t="shared" si="13"/>
        <v>827</v>
      </c>
      <c r="M83">
        <f t="shared" si="14"/>
        <v>110</v>
      </c>
    </row>
    <row r="84" spans="2:13">
      <c r="B84">
        <v>57</v>
      </c>
      <c r="C84" s="3">
        <f t="shared" si="17"/>
        <v>3558</v>
      </c>
      <c r="D84" s="3">
        <f t="shared" si="17"/>
        <v>1215</v>
      </c>
      <c r="E84" s="3">
        <f t="shared" si="17"/>
        <v>1215</v>
      </c>
      <c r="F84" s="3">
        <f t="shared" si="17"/>
        <v>1158</v>
      </c>
      <c r="G84" s="3">
        <f t="shared" si="16"/>
        <v>142</v>
      </c>
      <c r="I84">
        <v>57</v>
      </c>
      <c r="J84">
        <f t="shared" si="11"/>
        <v>2467</v>
      </c>
      <c r="K84">
        <f t="shared" si="12"/>
        <v>842</v>
      </c>
      <c r="L84">
        <f t="shared" si="13"/>
        <v>842</v>
      </c>
      <c r="M84">
        <f t="shared" si="14"/>
        <v>112</v>
      </c>
    </row>
    <row r="85" spans="2:13">
      <c r="B85">
        <v>58</v>
      </c>
      <c r="C85" s="3">
        <f t="shared" si="17"/>
        <v>3602</v>
      </c>
      <c r="D85" s="3">
        <f t="shared" si="17"/>
        <v>1230</v>
      </c>
      <c r="E85" s="3">
        <f t="shared" si="17"/>
        <v>1230</v>
      </c>
      <c r="F85" s="3">
        <f t="shared" si="17"/>
        <v>1173</v>
      </c>
      <c r="G85" s="3">
        <f t="shared" si="16"/>
        <v>144</v>
      </c>
      <c r="I85">
        <v>58</v>
      </c>
      <c r="J85">
        <f t="shared" si="11"/>
        <v>2511</v>
      </c>
      <c r="K85">
        <f t="shared" si="12"/>
        <v>857</v>
      </c>
      <c r="L85">
        <f t="shared" si="13"/>
        <v>857</v>
      </c>
      <c r="M85">
        <f t="shared" si="14"/>
        <v>114</v>
      </c>
    </row>
    <row r="86" spans="2:13">
      <c r="B86">
        <v>59</v>
      </c>
      <c r="C86" s="3">
        <f t="shared" si="17"/>
        <v>3647</v>
      </c>
      <c r="D86" s="3">
        <f t="shared" si="17"/>
        <v>1245</v>
      </c>
      <c r="E86" s="3">
        <f t="shared" si="17"/>
        <v>1245</v>
      </c>
      <c r="F86" s="3">
        <f t="shared" si="17"/>
        <v>1187</v>
      </c>
      <c r="G86" s="3">
        <f t="shared" si="16"/>
        <v>146</v>
      </c>
      <c r="I86">
        <v>59</v>
      </c>
      <c r="J86">
        <f t="shared" si="11"/>
        <v>2555</v>
      </c>
      <c r="K86">
        <f t="shared" si="12"/>
        <v>872</v>
      </c>
      <c r="L86">
        <f t="shared" si="13"/>
        <v>872</v>
      </c>
      <c r="M86">
        <f t="shared" si="14"/>
        <v>116</v>
      </c>
    </row>
    <row r="87" spans="2:13">
      <c r="B87">
        <v>60</v>
      </c>
      <c r="C87" s="3">
        <f t="shared" si="17"/>
        <v>3691</v>
      </c>
      <c r="D87" s="3">
        <f t="shared" si="17"/>
        <v>1260</v>
      </c>
      <c r="E87" s="3">
        <f t="shared" si="17"/>
        <v>1260</v>
      </c>
      <c r="F87" s="3">
        <f t="shared" si="17"/>
        <v>1201</v>
      </c>
      <c r="G87" s="3">
        <f t="shared" si="16"/>
        <v>148</v>
      </c>
      <c r="I87">
        <v>60</v>
      </c>
      <c r="J87">
        <f t="shared" si="11"/>
        <v>2599</v>
      </c>
      <c r="K87">
        <f t="shared" si="12"/>
        <v>887</v>
      </c>
      <c r="L87">
        <f t="shared" si="13"/>
        <v>887</v>
      </c>
      <c r="M87">
        <f t="shared" si="14"/>
        <v>118</v>
      </c>
    </row>
    <row r="88" spans="2:13">
      <c r="B88">
        <v>61</v>
      </c>
      <c r="C88" s="3">
        <f t="shared" si="17"/>
        <v>3735</v>
      </c>
      <c r="D88" s="3">
        <f t="shared" si="17"/>
        <v>1275</v>
      </c>
      <c r="E88" s="3">
        <f t="shared" si="17"/>
        <v>1275</v>
      </c>
      <c r="F88" s="3">
        <f t="shared" si="17"/>
        <v>1216</v>
      </c>
      <c r="G88" s="3">
        <f t="shared" si="16"/>
        <v>150</v>
      </c>
      <c r="I88">
        <v>61</v>
      </c>
      <c r="J88">
        <f t="shared" si="11"/>
        <v>2643</v>
      </c>
      <c r="K88">
        <f t="shared" si="12"/>
        <v>903</v>
      </c>
      <c r="L88">
        <f t="shared" si="13"/>
        <v>903</v>
      </c>
      <c r="M88">
        <f t="shared" si="14"/>
        <v>120</v>
      </c>
    </row>
    <row r="89" spans="2:13">
      <c r="B89">
        <v>62</v>
      </c>
      <c r="C89" s="3">
        <f t="shared" si="17"/>
        <v>3779</v>
      </c>
      <c r="D89" s="3">
        <f t="shared" si="17"/>
        <v>1290</v>
      </c>
      <c r="E89" s="3">
        <f t="shared" si="17"/>
        <v>1290</v>
      </c>
      <c r="F89" s="3">
        <f t="shared" si="17"/>
        <v>1230</v>
      </c>
      <c r="G89" s="3">
        <f t="shared" si="16"/>
        <v>152</v>
      </c>
      <c r="I89">
        <v>62</v>
      </c>
      <c r="J89">
        <f t="shared" si="11"/>
        <v>2687</v>
      </c>
      <c r="K89">
        <f t="shared" si="12"/>
        <v>918</v>
      </c>
      <c r="L89">
        <f t="shared" si="13"/>
        <v>918</v>
      </c>
      <c r="M89">
        <f t="shared" si="14"/>
        <v>122</v>
      </c>
    </row>
    <row r="90" spans="2:13">
      <c r="B90">
        <v>63</v>
      </c>
      <c r="C90" s="3">
        <f t="shared" si="17"/>
        <v>3823</v>
      </c>
      <c r="D90" s="3">
        <f t="shared" si="17"/>
        <v>1305</v>
      </c>
      <c r="E90" s="3">
        <f t="shared" si="17"/>
        <v>1305</v>
      </c>
      <c r="F90" s="3">
        <f t="shared" si="17"/>
        <v>1244</v>
      </c>
      <c r="G90" s="3">
        <f t="shared" si="16"/>
        <v>154</v>
      </c>
      <c r="I90">
        <v>63</v>
      </c>
      <c r="J90">
        <f t="shared" si="11"/>
        <v>2731</v>
      </c>
      <c r="K90">
        <f t="shared" si="12"/>
        <v>933</v>
      </c>
      <c r="L90">
        <f t="shared" si="13"/>
        <v>933</v>
      </c>
      <c r="M90">
        <f t="shared" si="14"/>
        <v>124</v>
      </c>
    </row>
    <row r="91" spans="2:13">
      <c r="B91">
        <v>64</v>
      </c>
      <c r="C91" s="3">
        <f t="shared" si="17"/>
        <v>3867</v>
      </c>
      <c r="D91" s="3">
        <f t="shared" si="17"/>
        <v>1320</v>
      </c>
      <c r="E91" s="3">
        <f t="shared" si="17"/>
        <v>1320</v>
      </c>
      <c r="F91" s="3">
        <f t="shared" si="17"/>
        <v>1259</v>
      </c>
      <c r="G91" s="3">
        <f t="shared" si="16"/>
        <v>156</v>
      </c>
      <c r="I91">
        <v>64</v>
      </c>
      <c r="J91">
        <f t="shared" si="11"/>
        <v>2775</v>
      </c>
      <c r="K91">
        <f t="shared" si="12"/>
        <v>948</v>
      </c>
      <c r="L91">
        <f t="shared" si="13"/>
        <v>948</v>
      </c>
      <c r="M91">
        <f t="shared" si="14"/>
        <v>126</v>
      </c>
    </row>
    <row r="92" spans="2:13">
      <c r="B92">
        <v>65</v>
      </c>
      <c r="C92" s="3">
        <f t="shared" si="17"/>
        <v>3911</v>
      </c>
      <c r="D92" s="3">
        <f t="shared" si="17"/>
        <v>1335</v>
      </c>
      <c r="E92" s="3">
        <f t="shared" si="17"/>
        <v>1335</v>
      </c>
      <c r="F92" s="3">
        <f t="shared" si="17"/>
        <v>1273</v>
      </c>
      <c r="G92" s="3">
        <f t="shared" si="16"/>
        <v>158</v>
      </c>
      <c r="I92">
        <v>65</v>
      </c>
      <c r="J92">
        <f t="shared" ref="J92:J125" si="18">ROUNDDOWN(J$127*$I91/$I$126,0)</f>
        <v>2819</v>
      </c>
      <c r="K92">
        <f t="shared" ref="K92:K125" si="19">ROUNDDOWN(K$127*$I91/$I$126,0)</f>
        <v>963</v>
      </c>
      <c r="L92">
        <f t="shared" ref="L92:L125" si="20">ROUNDDOWN(L$127*$I91/$I$126,0)</f>
        <v>963</v>
      </c>
      <c r="M92">
        <f t="shared" ref="M92:M125" si="21">ROUNDDOWN(M$127*$I91/$I$126,0)</f>
        <v>128</v>
      </c>
    </row>
    <row r="93" spans="2:13">
      <c r="B93">
        <v>66</v>
      </c>
      <c r="C93" s="3">
        <f t="shared" si="17"/>
        <v>3955</v>
      </c>
      <c r="D93" s="3">
        <f t="shared" si="17"/>
        <v>1350</v>
      </c>
      <c r="E93" s="3">
        <f t="shared" si="17"/>
        <v>1350</v>
      </c>
      <c r="F93" s="3">
        <f t="shared" si="17"/>
        <v>1287</v>
      </c>
      <c r="G93" s="3">
        <f t="shared" si="16"/>
        <v>160</v>
      </c>
      <c r="I93">
        <v>66</v>
      </c>
      <c r="J93">
        <f t="shared" si="18"/>
        <v>2863</v>
      </c>
      <c r="K93">
        <f t="shared" si="19"/>
        <v>978</v>
      </c>
      <c r="L93">
        <f t="shared" si="20"/>
        <v>978</v>
      </c>
      <c r="M93">
        <f t="shared" si="21"/>
        <v>130</v>
      </c>
    </row>
    <row r="94" spans="2:13">
      <c r="B94">
        <v>67</v>
      </c>
      <c r="C94" s="3">
        <f t="shared" si="17"/>
        <v>3999</v>
      </c>
      <c r="D94" s="3">
        <f t="shared" si="17"/>
        <v>1365</v>
      </c>
      <c r="E94" s="3">
        <f t="shared" si="17"/>
        <v>1365</v>
      </c>
      <c r="F94" s="3">
        <f t="shared" si="17"/>
        <v>1302</v>
      </c>
      <c r="G94" s="3">
        <f t="shared" ref="G94:G127" si="22">$G$28+$G$25*($B94-1)</f>
        <v>162</v>
      </c>
      <c r="I94">
        <v>67</v>
      </c>
      <c r="J94">
        <f t="shared" si="18"/>
        <v>2908</v>
      </c>
      <c r="K94">
        <f t="shared" si="19"/>
        <v>993</v>
      </c>
      <c r="L94">
        <f t="shared" si="20"/>
        <v>993</v>
      </c>
      <c r="M94">
        <f t="shared" si="21"/>
        <v>132</v>
      </c>
    </row>
    <row r="95" spans="2:13">
      <c r="B95">
        <v>68</v>
      </c>
      <c r="C95" s="3">
        <f t="shared" si="17"/>
        <v>4043</v>
      </c>
      <c r="D95" s="3">
        <f t="shared" si="17"/>
        <v>1380</v>
      </c>
      <c r="E95" s="3">
        <f t="shared" si="17"/>
        <v>1380</v>
      </c>
      <c r="F95" s="3">
        <f t="shared" si="17"/>
        <v>1316</v>
      </c>
      <c r="G95" s="3">
        <f t="shared" si="22"/>
        <v>164</v>
      </c>
      <c r="I95">
        <v>68</v>
      </c>
      <c r="J95">
        <f t="shared" si="18"/>
        <v>2952</v>
      </c>
      <c r="K95">
        <f t="shared" si="19"/>
        <v>1008</v>
      </c>
      <c r="L95">
        <f t="shared" si="20"/>
        <v>1008</v>
      </c>
      <c r="M95">
        <f t="shared" si="21"/>
        <v>134</v>
      </c>
    </row>
    <row r="96" spans="2:13">
      <c r="B96">
        <v>69</v>
      </c>
      <c r="C96" s="3">
        <f t="shared" si="17"/>
        <v>4087</v>
      </c>
      <c r="D96" s="3">
        <f t="shared" si="17"/>
        <v>1395</v>
      </c>
      <c r="E96" s="3">
        <f t="shared" si="17"/>
        <v>1395</v>
      </c>
      <c r="F96" s="3">
        <f t="shared" si="17"/>
        <v>1330</v>
      </c>
      <c r="G96" s="3">
        <f t="shared" si="22"/>
        <v>166</v>
      </c>
      <c r="I96">
        <v>69</v>
      </c>
      <c r="J96">
        <f t="shared" si="18"/>
        <v>2996</v>
      </c>
      <c r="K96">
        <f t="shared" si="19"/>
        <v>1023</v>
      </c>
      <c r="L96">
        <f t="shared" si="20"/>
        <v>1023</v>
      </c>
      <c r="M96">
        <f t="shared" si="21"/>
        <v>136</v>
      </c>
    </row>
    <row r="97" spans="2:13">
      <c r="B97">
        <v>70</v>
      </c>
      <c r="C97" s="3">
        <f t="shared" si="17"/>
        <v>4131</v>
      </c>
      <c r="D97" s="3">
        <f t="shared" si="17"/>
        <v>1410</v>
      </c>
      <c r="E97" s="3">
        <f t="shared" si="17"/>
        <v>1410</v>
      </c>
      <c r="F97" s="3">
        <f t="shared" si="17"/>
        <v>1345</v>
      </c>
      <c r="G97" s="3">
        <f t="shared" si="22"/>
        <v>168</v>
      </c>
      <c r="I97">
        <v>70</v>
      </c>
      <c r="J97">
        <f t="shared" si="18"/>
        <v>3040</v>
      </c>
      <c r="K97">
        <f t="shared" si="19"/>
        <v>1038</v>
      </c>
      <c r="L97">
        <f t="shared" si="20"/>
        <v>1038</v>
      </c>
      <c r="M97">
        <f t="shared" si="21"/>
        <v>138</v>
      </c>
    </row>
    <row r="98" spans="2:13">
      <c r="B98">
        <v>71</v>
      </c>
      <c r="C98" s="3">
        <f t="shared" si="17"/>
        <v>4175</v>
      </c>
      <c r="D98" s="3">
        <f t="shared" si="17"/>
        <v>1426</v>
      </c>
      <c r="E98" s="3">
        <f t="shared" si="17"/>
        <v>1426</v>
      </c>
      <c r="F98" s="3">
        <f t="shared" si="17"/>
        <v>1359</v>
      </c>
      <c r="G98" s="3">
        <f t="shared" si="22"/>
        <v>170</v>
      </c>
      <c r="I98">
        <v>71</v>
      </c>
      <c r="J98">
        <f t="shared" si="18"/>
        <v>3084</v>
      </c>
      <c r="K98">
        <f t="shared" si="19"/>
        <v>1053</v>
      </c>
      <c r="L98">
        <f t="shared" si="20"/>
        <v>1053</v>
      </c>
      <c r="M98">
        <f t="shared" si="21"/>
        <v>140</v>
      </c>
    </row>
    <row r="99" spans="2:13">
      <c r="B99">
        <v>72</v>
      </c>
      <c r="C99" s="3">
        <f t="shared" si="17"/>
        <v>4219</v>
      </c>
      <c r="D99" s="3">
        <f t="shared" si="17"/>
        <v>1441</v>
      </c>
      <c r="E99" s="3">
        <f t="shared" si="17"/>
        <v>1441</v>
      </c>
      <c r="F99" s="3">
        <f t="shared" si="17"/>
        <v>1373</v>
      </c>
      <c r="G99" s="3">
        <f t="shared" si="22"/>
        <v>172</v>
      </c>
      <c r="I99">
        <v>72</v>
      </c>
      <c r="J99">
        <f t="shared" si="18"/>
        <v>3128</v>
      </c>
      <c r="K99">
        <f t="shared" si="19"/>
        <v>1068</v>
      </c>
      <c r="L99">
        <f t="shared" si="20"/>
        <v>1068</v>
      </c>
      <c r="M99">
        <f t="shared" si="21"/>
        <v>142</v>
      </c>
    </row>
    <row r="100" spans="2:13">
      <c r="B100">
        <v>73</v>
      </c>
      <c r="C100" s="3">
        <f t="shared" si="17"/>
        <v>4263</v>
      </c>
      <c r="D100" s="3">
        <f t="shared" si="17"/>
        <v>1456</v>
      </c>
      <c r="E100" s="3">
        <f t="shared" si="17"/>
        <v>1456</v>
      </c>
      <c r="F100" s="3">
        <f t="shared" si="17"/>
        <v>1388</v>
      </c>
      <c r="G100" s="3">
        <f t="shared" si="22"/>
        <v>174</v>
      </c>
      <c r="I100">
        <v>73</v>
      </c>
      <c r="J100">
        <f t="shared" si="18"/>
        <v>3172</v>
      </c>
      <c r="K100">
        <f t="shared" si="19"/>
        <v>1083</v>
      </c>
      <c r="L100">
        <f t="shared" si="20"/>
        <v>1083</v>
      </c>
      <c r="M100">
        <f t="shared" si="21"/>
        <v>144</v>
      </c>
    </row>
    <row r="101" spans="2:13">
      <c r="B101">
        <v>74</v>
      </c>
      <c r="C101" s="3">
        <f t="shared" si="17"/>
        <v>4307</v>
      </c>
      <c r="D101" s="3">
        <f t="shared" si="17"/>
        <v>1471</v>
      </c>
      <c r="E101" s="3">
        <f t="shared" si="17"/>
        <v>1471</v>
      </c>
      <c r="F101" s="3">
        <f t="shared" si="17"/>
        <v>1402</v>
      </c>
      <c r="G101" s="3">
        <f t="shared" si="22"/>
        <v>176</v>
      </c>
      <c r="I101">
        <v>74</v>
      </c>
      <c r="J101">
        <f t="shared" si="18"/>
        <v>3216</v>
      </c>
      <c r="K101">
        <f t="shared" si="19"/>
        <v>1098</v>
      </c>
      <c r="L101">
        <f t="shared" si="20"/>
        <v>1098</v>
      </c>
      <c r="M101">
        <f t="shared" si="21"/>
        <v>146</v>
      </c>
    </row>
    <row r="102" spans="2:13">
      <c r="B102">
        <v>75</v>
      </c>
      <c r="C102" s="3">
        <f t="shared" si="17"/>
        <v>4351</v>
      </c>
      <c r="D102" s="3">
        <f t="shared" si="17"/>
        <v>1486</v>
      </c>
      <c r="E102" s="3">
        <f t="shared" si="17"/>
        <v>1486</v>
      </c>
      <c r="F102" s="3">
        <f t="shared" si="17"/>
        <v>1416</v>
      </c>
      <c r="G102" s="3">
        <f t="shared" si="22"/>
        <v>178</v>
      </c>
      <c r="I102">
        <v>75</v>
      </c>
      <c r="J102">
        <f t="shared" si="18"/>
        <v>3260</v>
      </c>
      <c r="K102">
        <f t="shared" si="19"/>
        <v>1113</v>
      </c>
      <c r="L102">
        <f t="shared" si="20"/>
        <v>1113</v>
      </c>
      <c r="M102">
        <f t="shared" si="21"/>
        <v>148</v>
      </c>
    </row>
    <row r="103" spans="2:13">
      <c r="B103">
        <v>76</v>
      </c>
      <c r="C103" s="3">
        <f t="shared" si="17"/>
        <v>4396</v>
      </c>
      <c r="D103" s="3">
        <f t="shared" si="17"/>
        <v>1501</v>
      </c>
      <c r="E103" s="3">
        <f t="shared" si="17"/>
        <v>1501</v>
      </c>
      <c r="F103" s="3">
        <f t="shared" si="17"/>
        <v>1431</v>
      </c>
      <c r="G103" s="3">
        <f t="shared" si="22"/>
        <v>180</v>
      </c>
      <c r="I103">
        <v>76</v>
      </c>
      <c r="J103">
        <f t="shared" si="18"/>
        <v>3304</v>
      </c>
      <c r="K103">
        <f t="shared" si="19"/>
        <v>1128</v>
      </c>
      <c r="L103">
        <f t="shared" si="20"/>
        <v>1128</v>
      </c>
      <c r="M103">
        <f t="shared" si="21"/>
        <v>150</v>
      </c>
    </row>
    <row r="104" spans="2:13">
      <c r="B104">
        <v>77</v>
      </c>
      <c r="C104" s="3">
        <f t="shared" si="17"/>
        <v>4440</v>
      </c>
      <c r="D104" s="3">
        <f t="shared" si="17"/>
        <v>1516</v>
      </c>
      <c r="E104" s="3">
        <f t="shared" si="17"/>
        <v>1516</v>
      </c>
      <c r="F104" s="3">
        <f t="shared" si="17"/>
        <v>1445</v>
      </c>
      <c r="G104" s="3">
        <f t="shared" si="22"/>
        <v>182</v>
      </c>
      <c r="I104">
        <v>77</v>
      </c>
      <c r="J104">
        <f t="shared" si="18"/>
        <v>3348</v>
      </c>
      <c r="K104">
        <f t="shared" si="19"/>
        <v>1143</v>
      </c>
      <c r="L104">
        <f t="shared" si="20"/>
        <v>1143</v>
      </c>
      <c r="M104">
        <f t="shared" si="21"/>
        <v>152</v>
      </c>
    </row>
    <row r="105" spans="2:13">
      <c r="B105">
        <v>78</v>
      </c>
      <c r="C105" s="3">
        <f t="shared" si="17"/>
        <v>4484</v>
      </c>
      <c r="D105" s="3">
        <f t="shared" si="17"/>
        <v>1531</v>
      </c>
      <c r="E105" s="3">
        <f t="shared" si="17"/>
        <v>1531</v>
      </c>
      <c r="F105" s="3">
        <f t="shared" si="17"/>
        <v>1459</v>
      </c>
      <c r="G105" s="3">
        <f t="shared" si="22"/>
        <v>184</v>
      </c>
      <c r="I105">
        <v>78</v>
      </c>
      <c r="J105">
        <f t="shared" si="18"/>
        <v>3392</v>
      </c>
      <c r="K105">
        <f t="shared" si="19"/>
        <v>1158</v>
      </c>
      <c r="L105">
        <f t="shared" si="20"/>
        <v>1158</v>
      </c>
      <c r="M105">
        <f t="shared" si="21"/>
        <v>154</v>
      </c>
    </row>
    <row r="106" spans="2:13">
      <c r="B106">
        <v>79</v>
      </c>
      <c r="C106" s="3">
        <f t="shared" si="17"/>
        <v>4528</v>
      </c>
      <c r="D106" s="3">
        <f t="shared" si="17"/>
        <v>1546</v>
      </c>
      <c r="E106" s="3">
        <f t="shared" si="17"/>
        <v>1546</v>
      </c>
      <c r="F106" s="3">
        <f t="shared" si="17"/>
        <v>1474</v>
      </c>
      <c r="G106" s="3">
        <f t="shared" si="22"/>
        <v>186</v>
      </c>
      <c r="I106">
        <v>79</v>
      </c>
      <c r="J106">
        <f t="shared" si="18"/>
        <v>3436</v>
      </c>
      <c r="K106">
        <f t="shared" si="19"/>
        <v>1173</v>
      </c>
      <c r="L106">
        <f t="shared" si="20"/>
        <v>1173</v>
      </c>
      <c r="M106">
        <f t="shared" si="21"/>
        <v>156</v>
      </c>
    </row>
    <row r="107" spans="2:13">
      <c r="B107">
        <v>80</v>
      </c>
      <c r="C107" s="3">
        <f t="shared" si="17"/>
        <v>4572</v>
      </c>
      <c r="D107" s="3">
        <f t="shared" si="17"/>
        <v>1561</v>
      </c>
      <c r="E107" s="3">
        <f t="shared" si="17"/>
        <v>1561</v>
      </c>
      <c r="F107" s="3">
        <f t="shared" si="17"/>
        <v>1488</v>
      </c>
      <c r="G107" s="3">
        <f t="shared" si="22"/>
        <v>188</v>
      </c>
      <c r="I107">
        <v>80</v>
      </c>
      <c r="J107">
        <f t="shared" si="18"/>
        <v>3480</v>
      </c>
      <c r="K107">
        <f t="shared" si="19"/>
        <v>1188</v>
      </c>
      <c r="L107">
        <f t="shared" si="20"/>
        <v>1188</v>
      </c>
      <c r="M107">
        <f t="shared" si="21"/>
        <v>158</v>
      </c>
    </row>
    <row r="108" spans="2:13">
      <c r="B108">
        <v>81</v>
      </c>
      <c r="C108" s="3">
        <f t="shared" si="17"/>
        <v>4616</v>
      </c>
      <c r="D108" s="3">
        <f t="shared" si="17"/>
        <v>1576</v>
      </c>
      <c r="E108" s="3">
        <f t="shared" si="17"/>
        <v>1576</v>
      </c>
      <c r="F108" s="3">
        <f t="shared" si="17"/>
        <v>1502</v>
      </c>
      <c r="G108" s="3">
        <f t="shared" si="22"/>
        <v>190</v>
      </c>
      <c r="I108">
        <v>81</v>
      </c>
      <c r="J108">
        <f t="shared" si="18"/>
        <v>3524</v>
      </c>
      <c r="K108">
        <f t="shared" si="19"/>
        <v>1204</v>
      </c>
      <c r="L108">
        <f t="shared" si="20"/>
        <v>1204</v>
      </c>
      <c r="M108">
        <f t="shared" si="21"/>
        <v>160</v>
      </c>
    </row>
    <row r="109" spans="2:13">
      <c r="B109">
        <v>82</v>
      </c>
      <c r="C109" s="3">
        <f t="shared" si="17"/>
        <v>4660</v>
      </c>
      <c r="D109" s="3">
        <f t="shared" si="17"/>
        <v>1591</v>
      </c>
      <c r="E109" s="3">
        <f t="shared" si="17"/>
        <v>1591</v>
      </c>
      <c r="F109" s="3">
        <f t="shared" ref="D109:F126" si="23">ROUND(F$28+F$25*($B109-1),0)</f>
        <v>1517</v>
      </c>
      <c r="G109" s="3">
        <f t="shared" si="22"/>
        <v>192</v>
      </c>
      <c r="I109">
        <v>82</v>
      </c>
      <c r="J109">
        <f t="shared" si="18"/>
        <v>3568</v>
      </c>
      <c r="K109">
        <f t="shared" si="19"/>
        <v>1219</v>
      </c>
      <c r="L109">
        <f t="shared" si="20"/>
        <v>1219</v>
      </c>
      <c r="M109">
        <f t="shared" si="21"/>
        <v>162</v>
      </c>
    </row>
    <row r="110" spans="2:13">
      <c r="B110">
        <v>83</v>
      </c>
      <c r="C110" s="3">
        <f t="shared" ref="C110:C126" si="24">ROUND(C$28+C$25*($B110-1),0)</f>
        <v>4704</v>
      </c>
      <c r="D110" s="3">
        <f t="shared" si="23"/>
        <v>1606</v>
      </c>
      <c r="E110" s="3">
        <f t="shared" si="23"/>
        <v>1606</v>
      </c>
      <c r="F110" s="3">
        <f t="shared" si="23"/>
        <v>1531</v>
      </c>
      <c r="G110" s="3">
        <f t="shared" si="22"/>
        <v>194</v>
      </c>
      <c r="I110">
        <v>83</v>
      </c>
      <c r="J110">
        <f t="shared" si="18"/>
        <v>3612</v>
      </c>
      <c r="K110">
        <f t="shared" si="19"/>
        <v>1234</v>
      </c>
      <c r="L110">
        <f t="shared" si="20"/>
        <v>1234</v>
      </c>
      <c r="M110">
        <f t="shared" si="21"/>
        <v>164</v>
      </c>
    </row>
    <row r="111" spans="2:13">
      <c r="B111">
        <v>84</v>
      </c>
      <c r="C111" s="3">
        <f t="shared" si="24"/>
        <v>4748</v>
      </c>
      <c r="D111" s="3">
        <f t="shared" si="23"/>
        <v>1621</v>
      </c>
      <c r="E111" s="3">
        <f t="shared" si="23"/>
        <v>1621</v>
      </c>
      <c r="F111" s="3">
        <f t="shared" si="23"/>
        <v>1546</v>
      </c>
      <c r="G111" s="3">
        <f t="shared" si="22"/>
        <v>196</v>
      </c>
      <c r="I111">
        <v>84</v>
      </c>
      <c r="J111">
        <f t="shared" si="18"/>
        <v>3657</v>
      </c>
      <c r="K111">
        <f t="shared" si="19"/>
        <v>1249</v>
      </c>
      <c r="L111">
        <f t="shared" si="20"/>
        <v>1249</v>
      </c>
      <c r="M111">
        <f t="shared" si="21"/>
        <v>166</v>
      </c>
    </row>
    <row r="112" spans="2:13">
      <c r="B112">
        <v>85</v>
      </c>
      <c r="C112" s="3">
        <f t="shared" si="24"/>
        <v>4792</v>
      </c>
      <c r="D112" s="3">
        <f t="shared" si="23"/>
        <v>1636</v>
      </c>
      <c r="E112" s="3">
        <f t="shared" si="23"/>
        <v>1636</v>
      </c>
      <c r="F112" s="3">
        <f t="shared" si="23"/>
        <v>1560</v>
      </c>
      <c r="G112" s="3">
        <f t="shared" si="22"/>
        <v>198</v>
      </c>
      <c r="I112">
        <v>85</v>
      </c>
      <c r="J112">
        <f t="shared" si="18"/>
        <v>3701</v>
      </c>
      <c r="K112">
        <f t="shared" si="19"/>
        <v>1264</v>
      </c>
      <c r="L112">
        <f t="shared" si="20"/>
        <v>1264</v>
      </c>
      <c r="M112">
        <f t="shared" si="21"/>
        <v>168</v>
      </c>
    </row>
    <row r="113" spans="2:13">
      <c r="B113">
        <v>86</v>
      </c>
      <c r="C113" s="3">
        <f t="shared" si="24"/>
        <v>4836</v>
      </c>
      <c r="D113" s="3">
        <f t="shared" si="23"/>
        <v>1651</v>
      </c>
      <c r="E113" s="3">
        <f t="shared" si="23"/>
        <v>1651</v>
      </c>
      <c r="F113" s="3">
        <f t="shared" si="23"/>
        <v>1574</v>
      </c>
      <c r="G113" s="3">
        <f t="shared" si="22"/>
        <v>200</v>
      </c>
      <c r="I113">
        <v>86</v>
      </c>
      <c r="J113">
        <f t="shared" si="18"/>
        <v>3745</v>
      </c>
      <c r="K113">
        <f t="shared" si="19"/>
        <v>1279</v>
      </c>
      <c r="L113">
        <f t="shared" si="20"/>
        <v>1279</v>
      </c>
      <c r="M113">
        <f t="shared" si="21"/>
        <v>170</v>
      </c>
    </row>
    <row r="114" spans="2:13">
      <c r="B114">
        <v>87</v>
      </c>
      <c r="C114" s="3">
        <f t="shared" si="24"/>
        <v>4880</v>
      </c>
      <c r="D114" s="3">
        <f t="shared" si="23"/>
        <v>1666</v>
      </c>
      <c r="E114" s="3">
        <f t="shared" si="23"/>
        <v>1666</v>
      </c>
      <c r="F114" s="3">
        <f t="shared" si="23"/>
        <v>1589</v>
      </c>
      <c r="G114" s="3">
        <f t="shared" si="22"/>
        <v>202</v>
      </c>
      <c r="I114">
        <v>87</v>
      </c>
      <c r="J114">
        <f t="shared" si="18"/>
        <v>3789</v>
      </c>
      <c r="K114">
        <f t="shared" si="19"/>
        <v>1294</v>
      </c>
      <c r="L114">
        <f t="shared" si="20"/>
        <v>1294</v>
      </c>
      <c r="M114">
        <f t="shared" si="21"/>
        <v>172</v>
      </c>
    </row>
    <row r="115" spans="2:13">
      <c r="B115">
        <v>88</v>
      </c>
      <c r="C115" s="3">
        <f t="shared" si="24"/>
        <v>4924</v>
      </c>
      <c r="D115" s="3">
        <f t="shared" si="23"/>
        <v>1681</v>
      </c>
      <c r="E115" s="3">
        <f t="shared" si="23"/>
        <v>1681</v>
      </c>
      <c r="F115" s="3">
        <f t="shared" si="23"/>
        <v>1603</v>
      </c>
      <c r="G115" s="3">
        <f t="shared" si="22"/>
        <v>204</v>
      </c>
      <c r="I115">
        <v>88</v>
      </c>
      <c r="J115">
        <f t="shared" si="18"/>
        <v>3833</v>
      </c>
      <c r="K115">
        <f t="shared" si="19"/>
        <v>1309</v>
      </c>
      <c r="L115">
        <f t="shared" si="20"/>
        <v>1309</v>
      </c>
      <c r="M115">
        <f t="shared" si="21"/>
        <v>174</v>
      </c>
    </row>
    <row r="116" spans="2:13">
      <c r="B116">
        <v>89</v>
      </c>
      <c r="C116" s="3">
        <f t="shared" si="24"/>
        <v>4968</v>
      </c>
      <c r="D116" s="3">
        <f t="shared" si="23"/>
        <v>1696</v>
      </c>
      <c r="E116" s="3">
        <f t="shared" si="23"/>
        <v>1696</v>
      </c>
      <c r="F116" s="3">
        <f t="shared" si="23"/>
        <v>1617</v>
      </c>
      <c r="G116" s="3">
        <f t="shared" si="22"/>
        <v>206</v>
      </c>
      <c r="I116">
        <v>89</v>
      </c>
      <c r="J116">
        <f t="shared" si="18"/>
        <v>3877</v>
      </c>
      <c r="K116">
        <f t="shared" si="19"/>
        <v>1324</v>
      </c>
      <c r="L116">
        <f t="shared" si="20"/>
        <v>1324</v>
      </c>
      <c r="M116">
        <f t="shared" si="21"/>
        <v>176</v>
      </c>
    </row>
    <row r="117" spans="2:13">
      <c r="B117">
        <v>90</v>
      </c>
      <c r="C117" s="3">
        <f t="shared" si="24"/>
        <v>5012</v>
      </c>
      <c r="D117" s="3">
        <f t="shared" si="23"/>
        <v>1711</v>
      </c>
      <c r="E117" s="3">
        <f t="shared" si="23"/>
        <v>1711</v>
      </c>
      <c r="F117" s="3">
        <f t="shared" si="23"/>
        <v>1632</v>
      </c>
      <c r="G117" s="3">
        <f t="shared" si="22"/>
        <v>208</v>
      </c>
      <c r="I117">
        <v>90</v>
      </c>
      <c r="J117">
        <f t="shared" si="18"/>
        <v>3921</v>
      </c>
      <c r="K117">
        <f t="shared" si="19"/>
        <v>1339</v>
      </c>
      <c r="L117">
        <f t="shared" si="20"/>
        <v>1339</v>
      </c>
      <c r="M117">
        <f t="shared" si="21"/>
        <v>178</v>
      </c>
    </row>
    <row r="118" spans="2:13">
      <c r="B118">
        <v>91</v>
      </c>
      <c r="C118" s="3">
        <f t="shared" si="24"/>
        <v>5056</v>
      </c>
      <c r="D118" s="3">
        <f t="shared" si="23"/>
        <v>1727</v>
      </c>
      <c r="E118" s="3">
        <f t="shared" si="23"/>
        <v>1727</v>
      </c>
      <c r="F118" s="3">
        <f t="shared" si="23"/>
        <v>1646</v>
      </c>
      <c r="G118" s="3">
        <f t="shared" si="22"/>
        <v>210</v>
      </c>
      <c r="I118">
        <v>91</v>
      </c>
      <c r="J118">
        <f t="shared" si="18"/>
        <v>3965</v>
      </c>
      <c r="K118">
        <f t="shared" si="19"/>
        <v>1354</v>
      </c>
      <c r="L118">
        <f t="shared" si="20"/>
        <v>1354</v>
      </c>
      <c r="M118">
        <f t="shared" si="21"/>
        <v>180</v>
      </c>
    </row>
    <row r="119" spans="2:13">
      <c r="B119">
        <v>92</v>
      </c>
      <c r="C119" s="3">
        <f t="shared" si="24"/>
        <v>5101</v>
      </c>
      <c r="D119" s="3">
        <f t="shared" si="23"/>
        <v>1742</v>
      </c>
      <c r="E119" s="3">
        <f t="shared" si="23"/>
        <v>1742</v>
      </c>
      <c r="F119" s="3">
        <f t="shared" si="23"/>
        <v>1660</v>
      </c>
      <c r="G119" s="3">
        <f t="shared" si="22"/>
        <v>212</v>
      </c>
      <c r="I119">
        <v>92</v>
      </c>
      <c r="J119">
        <f t="shared" si="18"/>
        <v>4009</v>
      </c>
      <c r="K119">
        <f t="shared" si="19"/>
        <v>1369</v>
      </c>
      <c r="L119">
        <f t="shared" si="20"/>
        <v>1369</v>
      </c>
      <c r="M119">
        <f t="shared" si="21"/>
        <v>182</v>
      </c>
    </row>
    <row r="120" spans="2:13">
      <c r="B120">
        <v>93</v>
      </c>
      <c r="C120" s="3">
        <f t="shared" si="24"/>
        <v>5145</v>
      </c>
      <c r="D120" s="3">
        <f t="shared" si="23"/>
        <v>1757</v>
      </c>
      <c r="E120" s="3">
        <f t="shared" si="23"/>
        <v>1757</v>
      </c>
      <c r="F120" s="3">
        <f t="shared" si="23"/>
        <v>1675</v>
      </c>
      <c r="G120" s="3">
        <f t="shared" si="22"/>
        <v>214</v>
      </c>
      <c r="I120">
        <v>93</v>
      </c>
      <c r="J120">
        <f t="shared" si="18"/>
        <v>4053</v>
      </c>
      <c r="K120">
        <f t="shared" si="19"/>
        <v>1384</v>
      </c>
      <c r="L120">
        <f t="shared" si="20"/>
        <v>1384</v>
      </c>
      <c r="M120">
        <f t="shared" si="21"/>
        <v>184</v>
      </c>
    </row>
    <row r="121" spans="2:13">
      <c r="B121">
        <v>94</v>
      </c>
      <c r="C121" s="3">
        <f t="shared" si="24"/>
        <v>5189</v>
      </c>
      <c r="D121" s="3">
        <f t="shared" si="23"/>
        <v>1772</v>
      </c>
      <c r="E121" s="3">
        <f t="shared" si="23"/>
        <v>1772</v>
      </c>
      <c r="F121" s="3">
        <f t="shared" si="23"/>
        <v>1689</v>
      </c>
      <c r="G121" s="3">
        <f t="shared" si="22"/>
        <v>216</v>
      </c>
      <c r="I121">
        <v>94</v>
      </c>
      <c r="J121">
        <f t="shared" si="18"/>
        <v>4097</v>
      </c>
      <c r="K121">
        <f t="shared" si="19"/>
        <v>1399</v>
      </c>
      <c r="L121">
        <f t="shared" si="20"/>
        <v>1399</v>
      </c>
      <c r="M121">
        <f t="shared" si="21"/>
        <v>186</v>
      </c>
    </row>
    <row r="122" spans="2:13">
      <c r="B122">
        <v>95</v>
      </c>
      <c r="C122" s="3">
        <f t="shared" si="24"/>
        <v>5233</v>
      </c>
      <c r="D122" s="3">
        <f t="shared" si="23"/>
        <v>1787</v>
      </c>
      <c r="E122" s="3">
        <f t="shared" si="23"/>
        <v>1787</v>
      </c>
      <c r="F122" s="3">
        <f t="shared" si="23"/>
        <v>1703</v>
      </c>
      <c r="G122" s="3">
        <f t="shared" si="22"/>
        <v>218</v>
      </c>
      <c r="I122">
        <v>95</v>
      </c>
      <c r="J122">
        <f t="shared" si="18"/>
        <v>4141</v>
      </c>
      <c r="K122">
        <f t="shared" si="19"/>
        <v>1414</v>
      </c>
      <c r="L122">
        <f t="shared" si="20"/>
        <v>1414</v>
      </c>
      <c r="M122">
        <f t="shared" si="21"/>
        <v>188</v>
      </c>
    </row>
    <row r="123" spans="2:13">
      <c r="B123">
        <v>96</v>
      </c>
      <c r="C123" s="3">
        <f t="shared" si="24"/>
        <v>5277</v>
      </c>
      <c r="D123" s="3">
        <f t="shared" si="23"/>
        <v>1802</v>
      </c>
      <c r="E123" s="3">
        <f t="shared" si="23"/>
        <v>1802</v>
      </c>
      <c r="F123" s="3">
        <f t="shared" si="23"/>
        <v>1718</v>
      </c>
      <c r="G123" s="3">
        <f t="shared" si="22"/>
        <v>220</v>
      </c>
      <c r="I123">
        <v>96</v>
      </c>
      <c r="J123">
        <f t="shared" si="18"/>
        <v>4185</v>
      </c>
      <c r="K123">
        <f t="shared" si="19"/>
        <v>1429</v>
      </c>
      <c r="L123">
        <f t="shared" si="20"/>
        <v>1429</v>
      </c>
      <c r="M123">
        <f t="shared" si="21"/>
        <v>190</v>
      </c>
    </row>
    <row r="124" spans="2:13">
      <c r="B124">
        <v>97</v>
      </c>
      <c r="C124" s="3">
        <f t="shared" si="24"/>
        <v>5321</v>
      </c>
      <c r="D124" s="3">
        <f t="shared" si="23"/>
        <v>1817</v>
      </c>
      <c r="E124" s="3">
        <f t="shared" si="23"/>
        <v>1817</v>
      </c>
      <c r="F124" s="3">
        <f t="shared" si="23"/>
        <v>1732</v>
      </c>
      <c r="G124" s="3">
        <f t="shared" si="22"/>
        <v>222</v>
      </c>
      <c r="I124">
        <v>97</v>
      </c>
      <c r="J124">
        <f t="shared" si="18"/>
        <v>4229</v>
      </c>
      <c r="K124">
        <f t="shared" si="19"/>
        <v>1444</v>
      </c>
      <c r="L124">
        <f t="shared" si="20"/>
        <v>1444</v>
      </c>
      <c r="M124">
        <f t="shared" si="21"/>
        <v>192</v>
      </c>
    </row>
    <row r="125" spans="2:13">
      <c r="B125">
        <v>98</v>
      </c>
      <c r="C125" s="3">
        <f t="shared" si="24"/>
        <v>5365</v>
      </c>
      <c r="D125" s="3">
        <f t="shared" si="23"/>
        <v>1832</v>
      </c>
      <c r="E125" s="3">
        <f t="shared" si="23"/>
        <v>1832</v>
      </c>
      <c r="F125" s="3">
        <f t="shared" si="23"/>
        <v>1746</v>
      </c>
      <c r="G125" s="3">
        <f t="shared" si="22"/>
        <v>224</v>
      </c>
      <c r="I125">
        <v>98</v>
      </c>
      <c r="J125">
        <f t="shared" si="18"/>
        <v>4273</v>
      </c>
      <c r="K125">
        <f t="shared" si="19"/>
        <v>1459</v>
      </c>
      <c r="L125">
        <f t="shared" si="20"/>
        <v>1459</v>
      </c>
      <c r="M125">
        <f t="shared" si="21"/>
        <v>194</v>
      </c>
    </row>
    <row r="126" spans="2:13">
      <c r="B126">
        <v>99</v>
      </c>
      <c r="C126" s="3">
        <f t="shared" si="24"/>
        <v>5409</v>
      </c>
      <c r="D126" s="3">
        <f t="shared" si="23"/>
        <v>1847</v>
      </c>
      <c r="E126" s="3">
        <f t="shared" si="23"/>
        <v>1847</v>
      </c>
      <c r="F126" s="3">
        <f t="shared" si="23"/>
        <v>1761</v>
      </c>
      <c r="G126" s="3">
        <f t="shared" si="22"/>
        <v>226</v>
      </c>
      <c r="I126">
        <v>99</v>
      </c>
      <c r="J126">
        <f>ROUNDDOWN(J$127*$I125/$I$126,0)</f>
        <v>4317</v>
      </c>
      <c r="K126">
        <f t="shared" ref="K126:M126" si="25">ROUNDDOWN(K$127*$I125/$I$126,0)</f>
        <v>1474</v>
      </c>
      <c r="L126">
        <f t="shared" si="25"/>
        <v>1474</v>
      </c>
      <c r="M126">
        <f t="shared" si="25"/>
        <v>196</v>
      </c>
    </row>
    <row r="127" spans="2:13">
      <c r="B127">
        <v>100</v>
      </c>
      <c r="C127" s="20">
        <f>ROUND($D$22/$H$22*J20,0)</f>
        <v>5453</v>
      </c>
      <c r="D127" s="20">
        <f>ROUND($D$22/$H$22*J22,0)</f>
        <v>1862</v>
      </c>
      <c r="E127" s="20">
        <f>ROUND($D$22/$H$22*J22,0)</f>
        <v>1862</v>
      </c>
      <c r="F127" s="20">
        <f>ROUND($D$22/$H$22*J23,0)</f>
        <v>1775</v>
      </c>
      <c r="G127" s="3">
        <f t="shared" si="22"/>
        <v>228</v>
      </c>
      <c r="I127">
        <v>100</v>
      </c>
      <c r="J127">
        <f>C127-C28</f>
        <v>4362</v>
      </c>
      <c r="K127">
        <f>D127-D28</f>
        <v>1490</v>
      </c>
      <c r="L127">
        <f>E127-E28</f>
        <v>1490</v>
      </c>
      <c r="M127">
        <f>G127-G28</f>
        <v>198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workbookViewId="0">
      <selection activeCell="D38" sqref="D38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'[2]宠物经验(副本关联表)'!$I18</f>
        <v>60</v>
      </c>
      <c r="D5">
        <f>属性拆分生成!C28</f>
        <v>1091</v>
      </c>
      <c r="E5">
        <f>属性拆分生成!D28</f>
        <v>372</v>
      </c>
      <c r="F5">
        <f>属性拆分生成!E28</f>
        <v>372</v>
      </c>
      <c r="G5">
        <v>55</v>
      </c>
      <c r="H5">
        <f>属性拆分生成!F28</f>
        <v>355</v>
      </c>
      <c r="I5">
        <v>0</v>
      </c>
      <c r="J5">
        <f>INT(D5*0.15)</f>
        <v>163</v>
      </c>
    </row>
    <row r="6" spans="2:10">
      <c r="B6">
        <v>2</v>
      </c>
      <c r="C6">
        <f>'[2]宠物经验(副本关联表)'!$I19</f>
        <v>90</v>
      </c>
      <c r="D6">
        <f>属性拆分生成!C29</f>
        <v>1135</v>
      </c>
      <c r="E6">
        <f>属性拆分生成!D29</f>
        <v>387</v>
      </c>
      <c r="F6">
        <f>属性拆分生成!E29</f>
        <v>387</v>
      </c>
      <c r="G6">
        <v>56</v>
      </c>
      <c r="H6">
        <f>属性拆分生成!F29</f>
        <v>369</v>
      </c>
      <c r="I6">
        <v>0</v>
      </c>
      <c r="J6">
        <f t="shared" ref="J6:J69" si="0">INT(D6*0.15)</f>
        <v>170</v>
      </c>
    </row>
    <row r="7" spans="2:10">
      <c r="B7">
        <v>3</v>
      </c>
      <c r="C7">
        <f>'[2]宠物经验(副本关联表)'!$I20</f>
        <v>120</v>
      </c>
      <c r="D7">
        <f>属性拆分生成!C30</f>
        <v>1179</v>
      </c>
      <c r="E7">
        <f>属性拆分生成!D30</f>
        <v>402</v>
      </c>
      <c r="F7">
        <f>属性拆分生成!E30</f>
        <v>402</v>
      </c>
      <c r="G7">
        <v>57</v>
      </c>
      <c r="H7">
        <f>属性拆分生成!F30</f>
        <v>384</v>
      </c>
      <c r="I7">
        <v>0</v>
      </c>
      <c r="J7">
        <f t="shared" si="0"/>
        <v>176</v>
      </c>
    </row>
    <row r="8" spans="2:10">
      <c r="B8">
        <v>4</v>
      </c>
      <c r="C8">
        <f>'[2]宠物经验(副本关联表)'!$I21</f>
        <v>150</v>
      </c>
      <c r="D8">
        <f>属性拆分生成!C31</f>
        <v>1223</v>
      </c>
      <c r="E8">
        <f>属性拆分生成!D31</f>
        <v>417</v>
      </c>
      <c r="F8">
        <f>属性拆分生成!E31</f>
        <v>417</v>
      </c>
      <c r="G8">
        <v>58</v>
      </c>
      <c r="H8">
        <f>属性拆分生成!F31</f>
        <v>398</v>
      </c>
      <c r="I8">
        <v>0</v>
      </c>
      <c r="J8">
        <f t="shared" si="0"/>
        <v>183</v>
      </c>
    </row>
    <row r="9" spans="2:10">
      <c r="B9">
        <v>5</v>
      </c>
      <c r="C9">
        <f>'[2]宠物经验(副本关联表)'!$I22</f>
        <v>190</v>
      </c>
      <c r="D9">
        <f>属性拆分生成!C32</f>
        <v>1267</v>
      </c>
      <c r="E9">
        <f>属性拆分生成!D32</f>
        <v>432</v>
      </c>
      <c r="F9">
        <f>属性拆分生成!E32</f>
        <v>432</v>
      </c>
      <c r="G9">
        <v>59</v>
      </c>
      <c r="H9">
        <f>属性拆分生成!F32</f>
        <v>412</v>
      </c>
      <c r="I9">
        <v>0</v>
      </c>
      <c r="J9">
        <f t="shared" si="0"/>
        <v>190</v>
      </c>
    </row>
    <row r="10" spans="2:10">
      <c r="B10">
        <v>6</v>
      </c>
      <c r="C10">
        <f>'[2]宠物经验(副本关联表)'!$I23</f>
        <v>220</v>
      </c>
      <c r="D10">
        <f>属性拆分生成!C33</f>
        <v>1311</v>
      </c>
      <c r="E10">
        <f>属性拆分生成!D33</f>
        <v>447</v>
      </c>
      <c r="F10">
        <f>属性拆分生成!E33</f>
        <v>447</v>
      </c>
      <c r="G10">
        <v>60</v>
      </c>
      <c r="H10">
        <f>属性拆分生成!F33</f>
        <v>427</v>
      </c>
      <c r="I10">
        <v>0</v>
      </c>
      <c r="J10">
        <f t="shared" si="0"/>
        <v>196</v>
      </c>
    </row>
    <row r="11" spans="2:10">
      <c r="B11">
        <v>7</v>
      </c>
      <c r="C11">
        <f>'[2]宠物经验(副本关联表)'!$I24</f>
        <v>260</v>
      </c>
      <c r="D11">
        <f>属性拆分生成!C34</f>
        <v>1355</v>
      </c>
      <c r="E11">
        <f>属性拆分生成!D34</f>
        <v>462</v>
      </c>
      <c r="F11">
        <f>属性拆分生成!E34</f>
        <v>462</v>
      </c>
      <c r="G11">
        <v>61</v>
      </c>
      <c r="H11">
        <f>属性拆分生成!F34</f>
        <v>441</v>
      </c>
      <c r="I11">
        <v>0</v>
      </c>
      <c r="J11">
        <f t="shared" si="0"/>
        <v>203</v>
      </c>
    </row>
    <row r="12" spans="2:10">
      <c r="B12">
        <v>8</v>
      </c>
      <c r="C12">
        <f>'[2]宠物经验(副本关联表)'!$I25</f>
        <v>290</v>
      </c>
      <c r="D12">
        <f>属性拆分生成!C35</f>
        <v>1399</v>
      </c>
      <c r="E12">
        <f>属性拆分生成!D35</f>
        <v>477</v>
      </c>
      <c r="F12">
        <f>属性拆分生成!E35</f>
        <v>477</v>
      </c>
      <c r="G12">
        <v>62</v>
      </c>
      <c r="H12">
        <f>属性拆分生成!F35</f>
        <v>455</v>
      </c>
      <c r="I12">
        <v>0</v>
      </c>
      <c r="J12">
        <f t="shared" si="0"/>
        <v>209</v>
      </c>
    </row>
    <row r="13" spans="2:10">
      <c r="B13">
        <v>9</v>
      </c>
      <c r="C13">
        <f>'[2]宠物经验(副本关联表)'!$I26</f>
        <v>330</v>
      </c>
      <c r="D13">
        <f>属性拆分生成!C36</f>
        <v>1443</v>
      </c>
      <c r="E13">
        <f>属性拆分生成!D36</f>
        <v>492</v>
      </c>
      <c r="F13">
        <f>属性拆分生成!E36</f>
        <v>492</v>
      </c>
      <c r="G13">
        <v>63</v>
      </c>
      <c r="H13">
        <f>属性拆分生成!F36</f>
        <v>470</v>
      </c>
      <c r="I13">
        <v>0</v>
      </c>
      <c r="J13">
        <f t="shared" si="0"/>
        <v>216</v>
      </c>
    </row>
    <row r="14" spans="2:10">
      <c r="B14">
        <v>10</v>
      </c>
      <c r="C14">
        <f>'[2]宠物经验(副本关联表)'!$I27</f>
        <v>370</v>
      </c>
      <c r="D14">
        <f>属性拆分生成!C37</f>
        <v>1488</v>
      </c>
      <c r="E14">
        <f>属性拆分生成!D37</f>
        <v>507</v>
      </c>
      <c r="F14">
        <f>属性拆分生成!E37</f>
        <v>507</v>
      </c>
      <c r="G14">
        <v>64</v>
      </c>
      <c r="H14">
        <f>属性拆分生成!F37</f>
        <v>484</v>
      </c>
      <c r="I14">
        <v>0</v>
      </c>
      <c r="J14">
        <f t="shared" si="0"/>
        <v>223</v>
      </c>
    </row>
    <row r="15" spans="2:10">
      <c r="B15">
        <v>11</v>
      </c>
      <c r="C15">
        <f>'[2]宠物经验(副本关联表)'!$I28</f>
        <v>400</v>
      </c>
      <c r="D15">
        <f>属性拆分生成!C38</f>
        <v>1532</v>
      </c>
      <c r="E15">
        <f>属性拆分生成!D38</f>
        <v>523</v>
      </c>
      <c r="F15">
        <f>属性拆分生成!E38</f>
        <v>523</v>
      </c>
      <c r="G15">
        <v>66</v>
      </c>
      <c r="H15">
        <f>属性拆分生成!F38</f>
        <v>498</v>
      </c>
      <c r="I15">
        <v>0</v>
      </c>
      <c r="J15">
        <f t="shared" si="0"/>
        <v>229</v>
      </c>
    </row>
    <row r="16" spans="2:10">
      <c r="B16">
        <v>12</v>
      </c>
      <c r="C16">
        <f>'[2]宠物经验(副本关联表)'!$I29</f>
        <v>520</v>
      </c>
      <c r="D16">
        <f>属性拆分生成!C39</f>
        <v>1576</v>
      </c>
      <c r="E16">
        <f>属性拆分生成!D39</f>
        <v>538</v>
      </c>
      <c r="F16">
        <f>属性拆分生成!E39</f>
        <v>538</v>
      </c>
      <c r="G16">
        <v>67</v>
      </c>
      <c r="H16">
        <f>属性拆分生成!F39</f>
        <v>513</v>
      </c>
      <c r="I16">
        <v>0</v>
      </c>
      <c r="J16">
        <f t="shared" si="0"/>
        <v>236</v>
      </c>
    </row>
    <row r="17" spans="2:10">
      <c r="B17">
        <v>13</v>
      </c>
      <c r="C17">
        <f>'[2]宠物经验(副本关联表)'!$I30</f>
        <v>640</v>
      </c>
      <c r="D17">
        <f>属性拆分生成!C40</f>
        <v>1620</v>
      </c>
      <c r="E17">
        <f>属性拆分生成!D40</f>
        <v>553</v>
      </c>
      <c r="F17">
        <f>属性拆分生成!E40</f>
        <v>553</v>
      </c>
      <c r="G17">
        <v>68</v>
      </c>
      <c r="H17">
        <f>属性拆分生成!F40</f>
        <v>527</v>
      </c>
      <c r="I17">
        <v>0</v>
      </c>
      <c r="J17">
        <f t="shared" si="0"/>
        <v>243</v>
      </c>
    </row>
    <row r="18" spans="2:10">
      <c r="B18">
        <v>14</v>
      </c>
      <c r="C18">
        <f>'[2]宠物经验(副本关联表)'!$I31</f>
        <v>760</v>
      </c>
      <c r="D18">
        <f>属性拆分生成!C41</f>
        <v>1664</v>
      </c>
      <c r="E18">
        <f>属性拆分生成!D41</f>
        <v>568</v>
      </c>
      <c r="F18">
        <f>属性拆分生成!E41</f>
        <v>568</v>
      </c>
      <c r="G18">
        <v>69</v>
      </c>
      <c r="H18">
        <f>属性拆分生成!F41</f>
        <v>541</v>
      </c>
      <c r="I18">
        <v>0</v>
      </c>
      <c r="J18">
        <f t="shared" si="0"/>
        <v>249</v>
      </c>
    </row>
    <row r="19" spans="2:10">
      <c r="B19">
        <v>15</v>
      </c>
      <c r="C19">
        <f>'[2]宠物经验(副本关联表)'!$I32</f>
        <v>890</v>
      </c>
      <c r="D19">
        <f>属性拆分生成!C42</f>
        <v>1708</v>
      </c>
      <c r="E19">
        <f>属性拆分生成!D42</f>
        <v>583</v>
      </c>
      <c r="F19">
        <f>属性拆分生成!E42</f>
        <v>583</v>
      </c>
      <c r="G19">
        <v>70</v>
      </c>
      <c r="H19">
        <f>属性拆分生成!F42</f>
        <v>556</v>
      </c>
      <c r="I19">
        <v>0</v>
      </c>
      <c r="J19">
        <f t="shared" si="0"/>
        <v>256</v>
      </c>
    </row>
    <row r="20" spans="2:10">
      <c r="B20">
        <v>16</v>
      </c>
      <c r="C20">
        <f>'[2]宠物经验(副本关联表)'!$I33</f>
        <v>1010</v>
      </c>
      <c r="D20">
        <f>属性拆分生成!C43</f>
        <v>1752</v>
      </c>
      <c r="E20">
        <f>属性拆分生成!D43</f>
        <v>598</v>
      </c>
      <c r="F20">
        <f>属性拆分生成!E43</f>
        <v>598</v>
      </c>
      <c r="G20">
        <v>71</v>
      </c>
      <c r="H20">
        <f>属性拆分生成!F43</f>
        <v>570</v>
      </c>
      <c r="I20">
        <v>0</v>
      </c>
      <c r="J20">
        <f t="shared" si="0"/>
        <v>262</v>
      </c>
    </row>
    <row r="21" spans="2:10">
      <c r="B21">
        <v>17</v>
      </c>
      <c r="C21">
        <f>'[2]宠物经验(副本关联表)'!$I34</f>
        <v>1140</v>
      </c>
      <c r="D21">
        <f>属性拆分生成!C44</f>
        <v>1796</v>
      </c>
      <c r="E21">
        <f>属性拆分生成!D44</f>
        <v>613</v>
      </c>
      <c r="F21">
        <f>属性拆分生成!E44</f>
        <v>613</v>
      </c>
      <c r="G21">
        <v>72</v>
      </c>
      <c r="H21">
        <f>属性拆分生成!F44</f>
        <v>584</v>
      </c>
      <c r="I21">
        <v>0</v>
      </c>
      <c r="J21">
        <f t="shared" si="0"/>
        <v>269</v>
      </c>
    </row>
    <row r="22" spans="2:10">
      <c r="B22">
        <v>18</v>
      </c>
      <c r="C22">
        <f>'[2]宠物经验(副本关联表)'!$I35</f>
        <v>1270</v>
      </c>
      <c r="D22">
        <f>属性拆分生成!C45</f>
        <v>1840</v>
      </c>
      <c r="E22">
        <f>属性拆分生成!D45</f>
        <v>628</v>
      </c>
      <c r="F22">
        <f>属性拆分生成!E45</f>
        <v>628</v>
      </c>
      <c r="G22">
        <v>73</v>
      </c>
      <c r="H22">
        <f>属性拆分生成!F45</f>
        <v>599</v>
      </c>
      <c r="I22">
        <v>0</v>
      </c>
      <c r="J22">
        <f t="shared" si="0"/>
        <v>276</v>
      </c>
    </row>
    <row r="23" spans="2:10">
      <c r="B23">
        <v>19</v>
      </c>
      <c r="C23">
        <f>'[2]宠物经验(副本关联表)'!$I36</f>
        <v>1400</v>
      </c>
      <c r="D23">
        <f>属性拆分生成!C46</f>
        <v>1884</v>
      </c>
      <c r="E23">
        <f>属性拆分生成!D46</f>
        <v>643</v>
      </c>
      <c r="F23">
        <f>属性拆分生成!E46</f>
        <v>643</v>
      </c>
      <c r="G23">
        <v>74</v>
      </c>
      <c r="H23">
        <f>属性拆分生成!F46</f>
        <v>613</v>
      </c>
      <c r="I23">
        <v>0</v>
      </c>
      <c r="J23">
        <f t="shared" si="0"/>
        <v>282</v>
      </c>
    </row>
    <row r="24" spans="2:10">
      <c r="B24">
        <v>20</v>
      </c>
      <c r="C24">
        <f>'[2]宠物经验(副本关联表)'!$I37</f>
        <v>1540</v>
      </c>
      <c r="D24">
        <f>属性拆分生成!C47</f>
        <v>1928</v>
      </c>
      <c r="E24">
        <f>属性拆分生成!D47</f>
        <v>658</v>
      </c>
      <c r="F24">
        <f>属性拆分生成!E47</f>
        <v>658</v>
      </c>
      <c r="G24">
        <v>75</v>
      </c>
      <c r="H24">
        <f>属性拆分生成!F47</f>
        <v>628</v>
      </c>
      <c r="I24">
        <v>0</v>
      </c>
      <c r="J24">
        <f t="shared" si="0"/>
        <v>289</v>
      </c>
    </row>
    <row r="25" spans="2:10">
      <c r="B25">
        <v>21</v>
      </c>
      <c r="C25">
        <f>'[2]宠物经验(副本关联表)'!$I38</f>
        <v>1670</v>
      </c>
      <c r="D25">
        <f>属性拆分生成!C48</f>
        <v>1972</v>
      </c>
      <c r="E25">
        <f>属性拆分生成!D48</f>
        <v>673</v>
      </c>
      <c r="F25">
        <f>属性拆分生成!E48</f>
        <v>673</v>
      </c>
      <c r="G25">
        <v>77</v>
      </c>
      <c r="H25">
        <f>属性拆分生成!F48</f>
        <v>642</v>
      </c>
      <c r="I25">
        <v>0</v>
      </c>
      <c r="J25">
        <f t="shared" si="0"/>
        <v>295</v>
      </c>
    </row>
    <row r="26" spans="2:10">
      <c r="B26">
        <v>22</v>
      </c>
      <c r="C26">
        <f>'[2]宠物经验(副本关联表)'!$I39</f>
        <v>1810</v>
      </c>
      <c r="D26">
        <f>属性拆分生成!C49</f>
        <v>2016</v>
      </c>
      <c r="E26">
        <f>属性拆分生成!D49</f>
        <v>688</v>
      </c>
      <c r="F26">
        <f>属性拆分生成!E49</f>
        <v>688</v>
      </c>
      <c r="G26">
        <v>79</v>
      </c>
      <c r="H26">
        <f>属性拆分生成!F49</f>
        <v>656</v>
      </c>
      <c r="I26">
        <v>0</v>
      </c>
      <c r="J26">
        <f t="shared" si="0"/>
        <v>302</v>
      </c>
    </row>
    <row r="27" spans="2:10">
      <c r="B27">
        <v>23</v>
      </c>
      <c r="C27">
        <f>'[2]宠物经验(副本关联表)'!$I40</f>
        <v>1960</v>
      </c>
      <c r="D27">
        <f>属性拆分生成!C50</f>
        <v>2060</v>
      </c>
      <c r="E27">
        <f>属性拆分生成!D50</f>
        <v>703</v>
      </c>
      <c r="F27">
        <f>属性拆分生成!E50</f>
        <v>703</v>
      </c>
      <c r="G27">
        <v>81</v>
      </c>
      <c r="H27">
        <f>属性拆分生成!F50</f>
        <v>671</v>
      </c>
      <c r="I27">
        <v>0</v>
      </c>
      <c r="J27">
        <f t="shared" si="0"/>
        <v>309</v>
      </c>
    </row>
    <row r="28" spans="2:10">
      <c r="B28">
        <v>24</v>
      </c>
      <c r="C28">
        <f>'[2]宠物经验(副本关联表)'!$I41</f>
        <v>2100</v>
      </c>
      <c r="D28">
        <f>属性拆分生成!C51</f>
        <v>2104</v>
      </c>
      <c r="E28">
        <f>属性拆分生成!D51</f>
        <v>718</v>
      </c>
      <c r="F28">
        <f>属性拆分生成!E51</f>
        <v>718</v>
      </c>
      <c r="G28">
        <v>83</v>
      </c>
      <c r="H28">
        <f>属性拆分生成!F51</f>
        <v>685</v>
      </c>
      <c r="I28">
        <v>0</v>
      </c>
      <c r="J28">
        <f t="shared" si="0"/>
        <v>315</v>
      </c>
    </row>
    <row r="29" spans="2:10">
      <c r="B29">
        <v>25</v>
      </c>
      <c r="C29">
        <f>'[2]宠物经验(副本关联表)'!$I42</f>
        <v>2250</v>
      </c>
      <c r="D29">
        <f>属性拆分生成!C52</f>
        <v>2148</v>
      </c>
      <c r="E29">
        <f>属性拆分生成!D52</f>
        <v>733</v>
      </c>
      <c r="F29">
        <f>属性拆分生成!E52</f>
        <v>733</v>
      </c>
      <c r="G29">
        <v>85</v>
      </c>
      <c r="H29">
        <f>属性拆分生成!F52</f>
        <v>699</v>
      </c>
      <c r="I29">
        <v>0</v>
      </c>
      <c r="J29">
        <f t="shared" si="0"/>
        <v>322</v>
      </c>
    </row>
    <row r="30" spans="2:10">
      <c r="B30">
        <v>26</v>
      </c>
      <c r="C30">
        <f>'[2]宠物经验(副本关联表)'!$I43</f>
        <v>2400</v>
      </c>
      <c r="D30">
        <f>属性拆分生成!C53</f>
        <v>2193</v>
      </c>
      <c r="E30">
        <f>属性拆分生成!D53</f>
        <v>748</v>
      </c>
      <c r="F30">
        <f>属性拆分生成!E53</f>
        <v>748</v>
      </c>
      <c r="G30">
        <v>87</v>
      </c>
      <c r="H30">
        <f>属性拆分生成!F53</f>
        <v>714</v>
      </c>
      <c r="I30">
        <v>0</v>
      </c>
      <c r="J30">
        <f t="shared" si="0"/>
        <v>328</v>
      </c>
    </row>
    <row r="31" spans="2:10">
      <c r="B31">
        <v>27</v>
      </c>
      <c r="C31">
        <f>'[2]宠物经验(副本关联表)'!$I44</f>
        <v>2550</v>
      </c>
      <c r="D31">
        <f>属性拆分生成!C54</f>
        <v>2237</v>
      </c>
      <c r="E31">
        <f>属性拆分生成!D54</f>
        <v>763</v>
      </c>
      <c r="F31">
        <f>属性拆分生成!E54</f>
        <v>763</v>
      </c>
      <c r="G31">
        <v>89</v>
      </c>
      <c r="H31">
        <f>属性拆分生成!F54</f>
        <v>728</v>
      </c>
      <c r="I31">
        <v>0</v>
      </c>
      <c r="J31">
        <f t="shared" si="0"/>
        <v>335</v>
      </c>
    </row>
    <row r="32" spans="2:10">
      <c r="B32">
        <v>28</v>
      </c>
      <c r="C32">
        <f>'[2]宠物经验(副本关联表)'!$I45</f>
        <v>2710</v>
      </c>
      <c r="D32">
        <f>属性拆分生成!C55</f>
        <v>2281</v>
      </c>
      <c r="E32">
        <f>属性拆分生成!D55</f>
        <v>778</v>
      </c>
      <c r="F32">
        <f>属性拆分生成!E55</f>
        <v>778</v>
      </c>
      <c r="G32">
        <v>91</v>
      </c>
      <c r="H32">
        <f>属性拆分生成!F55</f>
        <v>742</v>
      </c>
      <c r="I32">
        <v>0</v>
      </c>
      <c r="J32">
        <f t="shared" si="0"/>
        <v>342</v>
      </c>
    </row>
    <row r="33" spans="2:10">
      <c r="B33">
        <v>29</v>
      </c>
      <c r="C33">
        <f>'[2]宠物经验(副本关联表)'!$I46</f>
        <v>2860</v>
      </c>
      <c r="D33">
        <f>属性拆分生成!C56</f>
        <v>2325</v>
      </c>
      <c r="E33">
        <f>属性拆分生成!D56</f>
        <v>793</v>
      </c>
      <c r="F33">
        <f>属性拆分生成!E56</f>
        <v>793</v>
      </c>
      <c r="G33">
        <v>93</v>
      </c>
      <c r="H33">
        <f>属性拆分生成!F56</f>
        <v>757</v>
      </c>
      <c r="I33">
        <v>0</v>
      </c>
      <c r="J33">
        <f t="shared" si="0"/>
        <v>348</v>
      </c>
    </row>
    <row r="34" spans="2:10">
      <c r="B34">
        <v>30</v>
      </c>
      <c r="C34">
        <f>'[2]宠物经验(副本关联表)'!$I47</f>
        <v>3030</v>
      </c>
      <c r="D34">
        <f>属性拆分生成!C57</f>
        <v>2369</v>
      </c>
      <c r="E34">
        <f>属性拆分生成!D57</f>
        <v>808</v>
      </c>
      <c r="F34">
        <f>属性拆分生成!E57</f>
        <v>808</v>
      </c>
      <c r="G34">
        <v>97</v>
      </c>
      <c r="H34">
        <f>属性拆分生成!F57</f>
        <v>771</v>
      </c>
      <c r="I34">
        <v>0</v>
      </c>
      <c r="J34">
        <f t="shared" si="0"/>
        <v>355</v>
      </c>
    </row>
    <row r="35" spans="2:10">
      <c r="B35">
        <v>31</v>
      </c>
      <c r="C35">
        <f>'[2]宠物经验(副本关联表)'!$I48</f>
        <v>3190</v>
      </c>
      <c r="D35">
        <f>属性拆分生成!C58</f>
        <v>2413</v>
      </c>
      <c r="E35">
        <f>属性拆分生成!D58</f>
        <v>824</v>
      </c>
      <c r="F35">
        <f>属性拆分生成!E58</f>
        <v>824</v>
      </c>
      <c r="G35">
        <v>98</v>
      </c>
      <c r="H35">
        <f>属性拆分生成!F58</f>
        <v>785</v>
      </c>
      <c r="I35">
        <v>0</v>
      </c>
      <c r="J35">
        <f t="shared" si="0"/>
        <v>361</v>
      </c>
    </row>
    <row r="36" spans="2:10">
      <c r="B36">
        <v>32</v>
      </c>
      <c r="C36">
        <f>'[2]宠物经验(副本关联表)'!$I49</f>
        <v>3360</v>
      </c>
      <c r="D36">
        <f>属性拆分生成!C59</f>
        <v>2457</v>
      </c>
      <c r="E36">
        <f>属性拆分生成!D59</f>
        <v>839</v>
      </c>
      <c r="F36">
        <f>属性拆分生成!E59</f>
        <v>839</v>
      </c>
      <c r="G36">
        <v>99</v>
      </c>
      <c r="H36">
        <f>属性拆分生成!F59</f>
        <v>800</v>
      </c>
      <c r="I36">
        <v>0</v>
      </c>
      <c r="J36">
        <f t="shared" si="0"/>
        <v>368</v>
      </c>
    </row>
    <row r="37" spans="2:10">
      <c r="B37">
        <v>33</v>
      </c>
      <c r="C37">
        <f>'[2]宠物经验(副本关联表)'!$I50</f>
        <v>3530</v>
      </c>
      <c r="D37">
        <f>属性拆分生成!C60</f>
        <v>2501</v>
      </c>
      <c r="E37">
        <f>属性拆分生成!D60</f>
        <v>854</v>
      </c>
      <c r="F37">
        <f>属性拆分生成!E60</f>
        <v>854</v>
      </c>
      <c r="G37">
        <v>100</v>
      </c>
      <c r="H37">
        <f>属性拆分生成!F60</f>
        <v>814</v>
      </c>
      <c r="I37">
        <v>0</v>
      </c>
      <c r="J37">
        <f t="shared" si="0"/>
        <v>375</v>
      </c>
    </row>
    <row r="38" spans="2:10">
      <c r="B38">
        <v>34</v>
      </c>
      <c r="C38">
        <f>'[2]宠物经验(副本关联表)'!$I51</f>
        <v>3700</v>
      </c>
      <c r="D38">
        <f>属性拆分生成!C61</f>
        <v>2545</v>
      </c>
      <c r="E38">
        <f>属性拆分生成!D61</f>
        <v>869</v>
      </c>
      <c r="F38">
        <f>属性拆分生成!E61</f>
        <v>869</v>
      </c>
      <c r="G38">
        <v>101</v>
      </c>
      <c r="H38">
        <f>属性拆分生成!F61</f>
        <v>828</v>
      </c>
      <c r="I38">
        <v>0</v>
      </c>
      <c r="J38">
        <f t="shared" si="0"/>
        <v>381</v>
      </c>
    </row>
    <row r="39" spans="2:10">
      <c r="B39">
        <v>35</v>
      </c>
      <c r="C39">
        <f>'[2]宠物经验(副本关联表)'!$I52</f>
        <v>3880</v>
      </c>
      <c r="D39">
        <f>属性拆分生成!C62</f>
        <v>2589</v>
      </c>
      <c r="E39">
        <f>属性拆分生成!D62</f>
        <v>884</v>
      </c>
      <c r="F39">
        <f>属性拆分生成!E62</f>
        <v>884</v>
      </c>
      <c r="G39">
        <v>102</v>
      </c>
      <c r="H39">
        <f>属性拆分生成!F62</f>
        <v>843</v>
      </c>
      <c r="I39">
        <v>0</v>
      </c>
      <c r="J39">
        <f t="shared" si="0"/>
        <v>388</v>
      </c>
    </row>
    <row r="40" spans="2:10">
      <c r="B40">
        <v>36</v>
      </c>
      <c r="C40">
        <f>'[2]宠物经验(副本关联表)'!$I53</f>
        <v>4060</v>
      </c>
      <c r="D40">
        <f>属性拆分生成!C63</f>
        <v>2633</v>
      </c>
      <c r="E40">
        <f>属性拆分生成!D63</f>
        <v>899</v>
      </c>
      <c r="F40">
        <f>属性拆分生成!E63</f>
        <v>899</v>
      </c>
      <c r="G40">
        <v>103</v>
      </c>
      <c r="H40">
        <f>属性拆分生成!F63</f>
        <v>857</v>
      </c>
      <c r="I40">
        <v>0</v>
      </c>
      <c r="J40">
        <f t="shared" si="0"/>
        <v>394</v>
      </c>
    </row>
    <row r="41" spans="2:10">
      <c r="B41">
        <v>37</v>
      </c>
      <c r="C41">
        <f>'[2]宠物经验(副本关联表)'!$I54</f>
        <v>4240</v>
      </c>
      <c r="D41">
        <f>属性拆分生成!C64</f>
        <v>2677</v>
      </c>
      <c r="E41">
        <f>属性拆分生成!D64</f>
        <v>914</v>
      </c>
      <c r="F41">
        <f>属性拆分生成!E64</f>
        <v>914</v>
      </c>
      <c r="G41">
        <v>104</v>
      </c>
      <c r="H41">
        <f>属性拆分生成!F64</f>
        <v>871</v>
      </c>
      <c r="I41">
        <v>0</v>
      </c>
      <c r="J41">
        <f t="shared" si="0"/>
        <v>401</v>
      </c>
    </row>
    <row r="42" spans="2:10">
      <c r="B42">
        <v>38</v>
      </c>
      <c r="C42">
        <f>'[2]宠物经验(副本关联表)'!$I55</f>
        <v>4430</v>
      </c>
      <c r="D42">
        <f>属性拆分生成!C65</f>
        <v>2721</v>
      </c>
      <c r="E42">
        <f>属性拆分生成!D65</f>
        <v>929</v>
      </c>
      <c r="F42">
        <f>属性拆分生成!E65</f>
        <v>929</v>
      </c>
      <c r="G42">
        <v>105</v>
      </c>
      <c r="H42">
        <f>属性拆分生成!F65</f>
        <v>886</v>
      </c>
      <c r="I42">
        <v>0</v>
      </c>
      <c r="J42">
        <f t="shared" si="0"/>
        <v>408</v>
      </c>
    </row>
    <row r="43" spans="2:10">
      <c r="B43">
        <v>39</v>
      </c>
      <c r="C43">
        <f>'[2]宠物经验(副本关联表)'!$I56</f>
        <v>4620</v>
      </c>
      <c r="D43">
        <f>属性拆分生成!C66</f>
        <v>2765</v>
      </c>
      <c r="E43">
        <f>属性拆分生成!D66</f>
        <v>944</v>
      </c>
      <c r="F43">
        <f>属性拆分生成!E66</f>
        <v>944</v>
      </c>
      <c r="G43">
        <v>106</v>
      </c>
      <c r="H43">
        <f>属性拆分生成!F66</f>
        <v>900</v>
      </c>
      <c r="I43">
        <v>0</v>
      </c>
      <c r="J43">
        <f t="shared" si="0"/>
        <v>414</v>
      </c>
    </row>
    <row r="44" spans="2:10">
      <c r="B44">
        <v>40</v>
      </c>
      <c r="C44">
        <f>'[2]宠物经验(副本关联表)'!$I57</f>
        <v>4810</v>
      </c>
      <c r="D44">
        <f>属性拆分生成!C67</f>
        <v>2809</v>
      </c>
      <c r="E44">
        <f>属性拆分生成!D67</f>
        <v>959</v>
      </c>
      <c r="F44">
        <f>属性拆分生成!E67</f>
        <v>959</v>
      </c>
      <c r="G44">
        <v>108</v>
      </c>
      <c r="H44">
        <f>属性拆分生成!F67</f>
        <v>914</v>
      </c>
      <c r="I44">
        <v>0</v>
      </c>
      <c r="J44">
        <f t="shared" si="0"/>
        <v>421</v>
      </c>
    </row>
    <row r="45" spans="2:10">
      <c r="B45">
        <v>41</v>
      </c>
      <c r="C45">
        <f>'[2]宠物经验(副本关联表)'!$I58</f>
        <v>5000</v>
      </c>
      <c r="D45">
        <f>属性拆分生成!C68</f>
        <v>2853</v>
      </c>
      <c r="E45">
        <f>属性拆分生成!D68</f>
        <v>974</v>
      </c>
      <c r="F45">
        <f>属性拆分生成!E68</f>
        <v>974</v>
      </c>
      <c r="G45">
        <v>110</v>
      </c>
      <c r="H45">
        <f>属性拆分生成!F68</f>
        <v>929</v>
      </c>
      <c r="I45">
        <v>0</v>
      </c>
      <c r="J45">
        <f t="shared" si="0"/>
        <v>427</v>
      </c>
    </row>
    <row r="46" spans="2:10">
      <c r="B46">
        <v>42</v>
      </c>
      <c r="C46">
        <f>'[2]宠物经验(副本关联表)'!$I59</f>
        <v>5630</v>
      </c>
      <c r="D46">
        <f>属性拆分生成!C69</f>
        <v>2897</v>
      </c>
      <c r="E46">
        <f>属性拆分生成!D69</f>
        <v>989</v>
      </c>
      <c r="F46">
        <f>属性拆分生成!E69</f>
        <v>989</v>
      </c>
      <c r="G46">
        <v>112</v>
      </c>
      <c r="H46">
        <f>属性拆分生成!F69</f>
        <v>943</v>
      </c>
      <c r="I46">
        <v>0</v>
      </c>
      <c r="J46">
        <f t="shared" si="0"/>
        <v>434</v>
      </c>
    </row>
    <row r="47" spans="2:10">
      <c r="B47">
        <v>43</v>
      </c>
      <c r="C47">
        <f>'[2]宠物经验(副本关联表)'!$I60</f>
        <v>6330</v>
      </c>
      <c r="D47">
        <f>属性拆分生成!C70</f>
        <v>2942</v>
      </c>
      <c r="E47">
        <f>属性拆分生成!D70</f>
        <v>1004</v>
      </c>
      <c r="F47">
        <f>属性拆分生成!E70</f>
        <v>1004</v>
      </c>
      <c r="G47">
        <v>114</v>
      </c>
      <c r="H47">
        <f>属性拆分生成!F70</f>
        <v>957</v>
      </c>
      <c r="I47">
        <v>0</v>
      </c>
      <c r="J47">
        <f t="shared" si="0"/>
        <v>441</v>
      </c>
    </row>
    <row r="48" spans="2:10">
      <c r="B48">
        <v>44</v>
      </c>
      <c r="C48">
        <f>'[2]宠物经验(副本关联表)'!$I61</f>
        <v>7100</v>
      </c>
      <c r="D48">
        <f>属性拆分生成!C71</f>
        <v>2986</v>
      </c>
      <c r="E48">
        <f>属性拆分生成!D71</f>
        <v>1019</v>
      </c>
      <c r="F48">
        <f>属性拆分生成!E71</f>
        <v>1019</v>
      </c>
      <c r="G48">
        <v>116</v>
      </c>
      <c r="H48">
        <f>属性拆分生成!F71</f>
        <v>972</v>
      </c>
      <c r="I48">
        <v>0</v>
      </c>
      <c r="J48">
        <f t="shared" si="0"/>
        <v>447</v>
      </c>
    </row>
    <row r="49" spans="2:10">
      <c r="B49">
        <v>45</v>
      </c>
      <c r="C49">
        <f>'[2]宠物经验(副本关联表)'!$I62</f>
        <v>7940</v>
      </c>
      <c r="D49">
        <f>属性拆分生成!C72</f>
        <v>3030</v>
      </c>
      <c r="E49">
        <f>属性拆分生成!D72</f>
        <v>1034</v>
      </c>
      <c r="F49">
        <f>属性拆分生成!E72</f>
        <v>1034</v>
      </c>
      <c r="G49">
        <v>118</v>
      </c>
      <c r="H49">
        <f>属性拆分生成!F72</f>
        <v>986</v>
      </c>
      <c r="I49">
        <v>0</v>
      </c>
      <c r="J49">
        <f t="shared" si="0"/>
        <v>454</v>
      </c>
    </row>
    <row r="50" spans="2:10">
      <c r="B50">
        <v>46</v>
      </c>
      <c r="C50">
        <f>'[2]宠物经验(副本关联表)'!$I63</f>
        <v>8840</v>
      </c>
      <c r="D50">
        <f>属性拆分生成!C73</f>
        <v>3074</v>
      </c>
      <c r="E50">
        <f>属性拆分生成!D73</f>
        <v>1049</v>
      </c>
      <c r="F50">
        <f>属性拆分生成!E73</f>
        <v>1049</v>
      </c>
      <c r="G50">
        <v>120</v>
      </c>
      <c r="H50">
        <f>属性拆分生成!F73</f>
        <v>1000</v>
      </c>
      <c r="I50">
        <v>0</v>
      </c>
      <c r="J50">
        <f t="shared" si="0"/>
        <v>461</v>
      </c>
    </row>
    <row r="51" spans="2:10">
      <c r="B51">
        <v>47</v>
      </c>
      <c r="C51">
        <f>'[2]宠物经验(副本关联表)'!$I64</f>
        <v>9830</v>
      </c>
      <c r="D51">
        <f>属性拆分生成!C74</f>
        <v>3118</v>
      </c>
      <c r="E51">
        <f>属性拆分生成!D74</f>
        <v>1064</v>
      </c>
      <c r="F51">
        <f>属性拆分生成!E74</f>
        <v>1064</v>
      </c>
      <c r="G51">
        <v>122</v>
      </c>
      <c r="H51">
        <f>属性拆分生成!F74</f>
        <v>1015</v>
      </c>
      <c r="I51">
        <v>0</v>
      </c>
      <c r="J51">
        <f t="shared" si="0"/>
        <v>467</v>
      </c>
    </row>
    <row r="52" spans="2:10">
      <c r="B52">
        <v>48</v>
      </c>
      <c r="C52">
        <f>'[2]宠物经验(副本关联表)'!$I65</f>
        <v>10880</v>
      </c>
      <c r="D52">
        <f>属性拆分生成!C75</f>
        <v>3162</v>
      </c>
      <c r="E52">
        <f>属性拆分生成!D75</f>
        <v>1079</v>
      </c>
      <c r="F52">
        <f>属性拆分生成!E75</f>
        <v>1079</v>
      </c>
      <c r="G52">
        <v>124</v>
      </c>
      <c r="H52">
        <f>属性拆分生成!F75</f>
        <v>1029</v>
      </c>
      <c r="I52">
        <v>0</v>
      </c>
      <c r="J52">
        <f t="shared" si="0"/>
        <v>474</v>
      </c>
    </row>
    <row r="53" spans="2:10">
      <c r="B53">
        <v>49</v>
      </c>
      <c r="C53">
        <f>'[2]宠物经验(副本关联表)'!$I66</f>
        <v>12030</v>
      </c>
      <c r="D53">
        <f>属性拆分生成!C76</f>
        <v>3206</v>
      </c>
      <c r="E53">
        <f>属性拆分生成!D76</f>
        <v>1094</v>
      </c>
      <c r="F53">
        <f>属性拆分生成!E76</f>
        <v>1094</v>
      </c>
      <c r="G53">
        <v>126</v>
      </c>
      <c r="H53">
        <f>属性拆分生成!F76</f>
        <v>1043</v>
      </c>
      <c r="I53">
        <v>0</v>
      </c>
      <c r="J53">
        <f t="shared" si="0"/>
        <v>480</v>
      </c>
    </row>
    <row r="54" spans="2:10">
      <c r="B54">
        <v>50</v>
      </c>
      <c r="C54">
        <v>5000</v>
      </c>
      <c r="D54">
        <f>属性拆分生成!C77</f>
        <v>3250</v>
      </c>
      <c r="E54">
        <f>属性拆分生成!D77</f>
        <v>1109</v>
      </c>
      <c r="F54">
        <f>属性拆分生成!E77</f>
        <v>1109</v>
      </c>
      <c r="G54">
        <v>130</v>
      </c>
      <c r="H54">
        <f>属性拆分生成!F77</f>
        <v>1058</v>
      </c>
      <c r="I54">
        <v>0</v>
      </c>
      <c r="J54">
        <f t="shared" si="0"/>
        <v>487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f t="shared" si="0"/>
        <v>150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f t="shared" si="0"/>
        <v>150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f t="shared" si="0"/>
        <v>150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f t="shared" si="0"/>
        <v>150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f t="shared" si="0"/>
        <v>150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f t="shared" si="0"/>
        <v>150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f t="shared" si="0"/>
        <v>150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f t="shared" si="0"/>
        <v>150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f t="shared" si="0"/>
        <v>150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f t="shared" si="0"/>
        <v>150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f t="shared" si="0"/>
        <v>150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f t="shared" si="0"/>
        <v>150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f t="shared" si="0"/>
        <v>150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f t="shared" si="0"/>
        <v>150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f t="shared" si="0"/>
        <v>150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f t="shared" ref="J70:J103" si="1">INT(D70*0.15)</f>
        <v>150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f t="shared" si="1"/>
        <v>150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f t="shared" si="1"/>
        <v>150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f t="shared" si="1"/>
        <v>150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f t="shared" si="1"/>
        <v>150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f t="shared" si="1"/>
        <v>150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f t="shared" si="1"/>
        <v>150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f t="shared" si="1"/>
        <v>150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f t="shared" si="1"/>
        <v>150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f t="shared" si="1"/>
        <v>150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f t="shared" si="1"/>
        <v>150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f t="shared" si="1"/>
        <v>150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f t="shared" si="1"/>
        <v>150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f t="shared" si="1"/>
        <v>150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f t="shared" si="1"/>
        <v>150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f t="shared" si="1"/>
        <v>150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f t="shared" si="1"/>
        <v>150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f t="shared" si="1"/>
        <v>150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f t="shared" si="1"/>
        <v>150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f t="shared" si="1"/>
        <v>150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f t="shared" si="1"/>
        <v>150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f t="shared" si="1"/>
        <v>150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f t="shared" si="1"/>
        <v>150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f t="shared" si="1"/>
        <v>150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f t="shared" si="1"/>
        <v>150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f t="shared" si="1"/>
        <v>150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f t="shared" si="1"/>
        <v>150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f t="shared" si="1"/>
        <v>150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f t="shared" si="1"/>
        <v>150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f t="shared" si="1"/>
        <v>150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f t="shared" si="1"/>
        <v>150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f t="shared" si="1"/>
        <v>150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f t="shared" si="1"/>
        <v>150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f t="shared" si="1"/>
        <v>150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topLeftCell="B1" workbookViewId="0">
      <selection activeCell="F7" sqref="F7:F15"/>
    </sheetView>
  </sheetViews>
  <sheetFormatPr defaultRowHeight="13.5"/>
  <cols>
    <col min="11" max="11" width="14.625" customWidth="1"/>
    <col min="13" max="13" width="21.625" bestFit="1" customWidth="1"/>
    <col min="14" max="14" width="47.125" bestFit="1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0</v>
      </c>
      <c r="D7">
        <f>属性拆分生成!R27</f>
        <v>0</v>
      </c>
      <c r="E7">
        <f>属性拆分生成!S27</f>
        <v>0</v>
      </c>
      <c r="F7" s="2">
        <v>10</v>
      </c>
      <c r="G7">
        <f>属性拆分生成!T27</f>
        <v>0</v>
      </c>
      <c r="H7">
        <v>0</v>
      </c>
      <c r="I7">
        <v>0</v>
      </c>
      <c r="J7">
        <f>属性拆分生成!P3</f>
        <v>0.05</v>
      </c>
      <c r="K7">
        <f>属性拆分生成!V27</f>
        <v>10</v>
      </c>
      <c r="L7">
        <f>[3]升阶消耗!$I22</f>
        <v>300</v>
      </c>
      <c r="M7" t="str">
        <f>CONCATENATE("3_10017_",[4]宠物进阶石通用价格对应!$L18)</f>
        <v>3_10017_10</v>
      </c>
    </row>
    <row r="8" spans="2:14">
      <c r="B8">
        <v>2</v>
      </c>
      <c r="C8">
        <f>属性拆分生成!Q28</f>
        <v>130</v>
      </c>
      <c r="D8">
        <f>属性拆分生成!R28</f>
        <v>44</v>
      </c>
      <c r="E8">
        <f>属性拆分生成!S28</f>
        <v>44</v>
      </c>
      <c r="F8" s="2">
        <v>28</v>
      </c>
      <c r="G8">
        <f>属性拆分生成!T28</f>
        <v>42</v>
      </c>
      <c r="H8">
        <v>0</v>
      </c>
      <c r="I8">
        <v>0</v>
      </c>
      <c r="J8">
        <f>属性拆分生成!P3</f>
        <v>0.05</v>
      </c>
      <c r="K8">
        <f>属性拆分生成!V28</f>
        <v>15</v>
      </c>
      <c r="L8">
        <f>[3]升阶消耗!$I23</f>
        <v>2000</v>
      </c>
      <c r="M8" t="str">
        <f>CONCATENATE("3_10016_",[4]宠物进阶石通用价格对应!K19)</f>
        <v>3_10016_25</v>
      </c>
    </row>
    <row r="9" spans="2:14">
      <c r="B9">
        <v>3</v>
      </c>
      <c r="C9">
        <f>属性拆分生成!Q29</f>
        <v>130</v>
      </c>
      <c r="D9">
        <f>属性拆分生成!R29</f>
        <v>44</v>
      </c>
      <c r="E9">
        <f>属性拆分生成!S29</f>
        <v>44</v>
      </c>
      <c r="F9" s="2">
        <v>41</v>
      </c>
      <c r="G9">
        <f>属性拆分生成!T29</f>
        <v>42</v>
      </c>
      <c r="H9">
        <v>0</v>
      </c>
      <c r="I9">
        <v>0</v>
      </c>
      <c r="J9">
        <f>属性拆分生成!P$4</f>
        <v>0.16</v>
      </c>
      <c r="K9">
        <f>属性拆分生成!V29</f>
        <v>20</v>
      </c>
      <c r="L9">
        <f>[3]升阶消耗!$I24</f>
        <v>4000</v>
      </c>
      <c r="M9" t="str">
        <f>CONCATENATE("3_10017_",[4]宠物进阶石通用价格对应!$L20)</f>
        <v>3_10017_25</v>
      </c>
      <c r="N9" t="s">
        <v>421</v>
      </c>
    </row>
    <row r="10" spans="2:14">
      <c r="B10">
        <v>4</v>
      </c>
      <c r="C10">
        <f>属性拆分生成!Q30</f>
        <v>349</v>
      </c>
      <c r="D10">
        <f>属性拆分生成!R30</f>
        <v>119</v>
      </c>
      <c r="E10">
        <f>属性拆分生成!S30</f>
        <v>119</v>
      </c>
      <c r="F10" s="2">
        <v>54</v>
      </c>
      <c r="G10">
        <f>属性拆分生成!T30</f>
        <v>113</v>
      </c>
      <c r="H10">
        <v>0</v>
      </c>
      <c r="I10">
        <v>0</v>
      </c>
      <c r="J10">
        <f>属性拆分生成!P$4</f>
        <v>0.16</v>
      </c>
      <c r="K10">
        <f>属性拆分生成!V30</f>
        <v>25</v>
      </c>
      <c r="L10">
        <f>[3]升阶消耗!$I25</f>
        <v>8000</v>
      </c>
      <c r="M10" t="str">
        <f>CONCATENATE("3_10016_",[4]宠物进阶石通用价格对应!K21)</f>
        <v>3_10016_55</v>
      </c>
    </row>
    <row r="11" spans="2:14">
      <c r="B11">
        <v>5</v>
      </c>
      <c r="C11">
        <f>属性拆分生成!Q31</f>
        <v>610</v>
      </c>
      <c r="D11">
        <f>属性拆分生成!R31</f>
        <v>208</v>
      </c>
      <c r="E11">
        <f>属性拆分生成!S31</f>
        <v>208</v>
      </c>
      <c r="F11" s="2">
        <v>67</v>
      </c>
      <c r="G11">
        <f>属性拆分生成!T31</f>
        <v>198</v>
      </c>
      <c r="H11">
        <v>0</v>
      </c>
      <c r="I11">
        <v>0</v>
      </c>
      <c r="J11">
        <f>属性拆分生成!P$4</f>
        <v>0.16</v>
      </c>
      <c r="K11">
        <f>属性拆分生成!V31</f>
        <v>30</v>
      </c>
      <c r="L11">
        <f>[3]升阶消耗!$I26</f>
        <v>20000</v>
      </c>
      <c r="M11" t="str">
        <f>CONCATENATE("3_10016_",[4]宠物进阶石通用价格对应!K22)</f>
        <v>3_10016_150</v>
      </c>
    </row>
    <row r="12" spans="2:14">
      <c r="B12">
        <v>6</v>
      </c>
      <c r="C12">
        <f>属性拆分生成!Q32</f>
        <v>610</v>
      </c>
      <c r="D12">
        <f>属性拆分生成!R32</f>
        <v>208</v>
      </c>
      <c r="E12">
        <f>属性拆分生成!S32</f>
        <v>208</v>
      </c>
      <c r="F12" s="2">
        <v>80</v>
      </c>
      <c r="G12">
        <f>属性拆分生成!T32</f>
        <v>198</v>
      </c>
      <c r="H12">
        <v>0</v>
      </c>
      <c r="I12">
        <v>0</v>
      </c>
      <c r="J12">
        <f>属性拆分生成!P$5</f>
        <v>0.33999999999999997</v>
      </c>
      <c r="K12">
        <f>属性拆分生成!V32</f>
        <v>35</v>
      </c>
      <c r="L12">
        <f>[3]升阶消耗!$I27</f>
        <v>30000</v>
      </c>
      <c r="M12" t="str">
        <f>CONCATENATE("3_10017_",[4]宠物进阶石通用价格对应!$L23)</f>
        <v>3_10017_90</v>
      </c>
      <c r="N12" t="s">
        <v>422</v>
      </c>
    </row>
    <row r="13" spans="2:14">
      <c r="B13">
        <v>7</v>
      </c>
      <c r="C13">
        <f>属性拆分生成!Q33</f>
        <v>960</v>
      </c>
      <c r="D13">
        <f>属性拆分生成!R33</f>
        <v>327</v>
      </c>
      <c r="E13">
        <f>属性拆分生成!S33</f>
        <v>327</v>
      </c>
      <c r="F13" s="2">
        <v>93</v>
      </c>
      <c r="G13">
        <f>属性拆分生成!T33</f>
        <v>312</v>
      </c>
      <c r="H13">
        <v>0</v>
      </c>
      <c r="I13">
        <v>0</v>
      </c>
      <c r="J13">
        <f>属性拆分生成!P$5</f>
        <v>0.33999999999999997</v>
      </c>
      <c r="K13">
        <f>属性拆分生成!V33</f>
        <v>40</v>
      </c>
      <c r="L13">
        <f>[3]升阶消耗!$I28</f>
        <v>50000</v>
      </c>
      <c r="M13" t="str">
        <f>CONCATENATE("3_10016_",[4]宠物进阶石通用价格对应!K24)</f>
        <v>3_10016_170</v>
      </c>
    </row>
    <row r="14" spans="2:14">
      <c r="B14">
        <v>8</v>
      </c>
      <c r="C14">
        <f>属性拆分生成!Q34</f>
        <v>1352</v>
      </c>
      <c r="D14">
        <f>属性拆分生成!R34</f>
        <v>461</v>
      </c>
      <c r="E14">
        <f>属性拆分生成!S34</f>
        <v>461</v>
      </c>
      <c r="F14" s="2">
        <v>106</v>
      </c>
      <c r="G14">
        <f>属性拆分生成!T34</f>
        <v>440</v>
      </c>
      <c r="H14">
        <v>0</v>
      </c>
      <c r="I14">
        <v>0</v>
      </c>
      <c r="J14">
        <f>属性拆分生成!P$5</f>
        <v>0.33999999999999997</v>
      </c>
      <c r="K14">
        <f>属性拆分生成!V34</f>
        <v>45</v>
      </c>
      <c r="L14">
        <f>[3]升阶消耗!$I29</f>
        <v>80000</v>
      </c>
      <c r="M14" t="str">
        <f>CONCATENATE("3_10016_",[4]宠物进阶石通用价格对应!K25)</f>
        <v>3_10016_350</v>
      </c>
    </row>
    <row r="15" spans="2:14">
      <c r="B15">
        <v>9</v>
      </c>
      <c r="C15">
        <f>属性拆分生成!Q35</f>
        <v>1789</v>
      </c>
      <c r="D15">
        <f>属性拆分生成!R35</f>
        <v>610</v>
      </c>
      <c r="E15">
        <f>属性拆分生成!S35</f>
        <v>610</v>
      </c>
      <c r="F15" s="2">
        <v>119</v>
      </c>
      <c r="G15">
        <f>属性拆分生成!T35</f>
        <v>582</v>
      </c>
      <c r="H15">
        <v>0</v>
      </c>
      <c r="I15">
        <v>0</v>
      </c>
      <c r="J15">
        <f>属性拆分生成!P$5</f>
        <v>0.33999999999999997</v>
      </c>
      <c r="K15">
        <f>属性拆分生成!V35</f>
        <v>50</v>
      </c>
      <c r="L15">
        <f>[3]升阶消耗!$I30</f>
        <v>100000</v>
      </c>
      <c r="M15" t="str">
        <f>CONCATENATE("3_10016_",[4]宠物进阶石通用价格对应!K26)</f>
        <v>3_10016_600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f>属性拆分生成!P$6</f>
        <v>0.62</v>
      </c>
      <c r="K16">
        <v>999</v>
      </c>
      <c r="L16">
        <f>[3]升阶消耗!$I31</f>
        <v>0</v>
      </c>
      <c r="M16" t="str">
        <f>CONCATENATE("3_10017_",[4]宠物进阶石通用价格对应!$L27)</f>
        <v>3_10017_350</v>
      </c>
      <c r="N16" t="s">
        <v>423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f>属性拆分生成!P$6</f>
        <v>0.62</v>
      </c>
      <c r="K17">
        <v>999</v>
      </c>
      <c r="L17">
        <f>[3]升阶消耗!$I32</f>
        <v>0</v>
      </c>
      <c r="M17" t="str">
        <f>CONCATENATE("3_10016_",[4]宠物进阶石通用价格对应!K28,",","3_10017_",[4]宠物进阶石通用价格对应!$L28)</f>
        <v>3_10016_,3_10017_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f>属性拆分生成!P$6</f>
        <v>0.62</v>
      </c>
      <c r="K18">
        <v>999</v>
      </c>
      <c r="L18">
        <f>[3]升阶消耗!$I33</f>
        <v>0</v>
      </c>
      <c r="M18" t="str">
        <f>CONCATENATE("3_10016_",[4]宠物进阶石通用价格对应!K29,",","3_10017_",[4]宠物进阶石通用价格对应!$L29)</f>
        <v>3_10016_,3_10017_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f>属性拆分生成!P$6</f>
        <v>0.62</v>
      </c>
      <c r="K19">
        <v>999</v>
      </c>
      <c r="L19">
        <f>[3]升阶消耗!$I34</f>
        <v>0</v>
      </c>
      <c r="M19" t="str">
        <f>CONCATENATE("3_10016_",[4]宠物进阶石通用价格对应!K30,",","3_10017_",[4]宠物进阶石通用价格对应!$L30)</f>
        <v>3_10016_,3_10017_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f>属性拆分生成!P$6</f>
        <v>0.62</v>
      </c>
      <c r="K20">
        <v>999</v>
      </c>
      <c r="L20">
        <f>[3]升阶消耗!$I35</f>
        <v>0</v>
      </c>
      <c r="M20" t="str">
        <f>CONCATENATE("3_10016_",[4]宠物进阶石通用价格对应!K31,",","3_10017_",[4]宠物进阶石通用价格对应!$L31)</f>
        <v>3_10016_,3_10017_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f>属性拆分生成!P$7</f>
        <v>1.02</v>
      </c>
      <c r="K21">
        <v>999</v>
      </c>
      <c r="L21">
        <f>[3]升阶消耗!$I36</f>
        <v>0</v>
      </c>
      <c r="M21" t="str">
        <f>CONCATENATE("3_10016_",[4]宠物进阶石通用价格对应!K32,",","3_10017_",[4]宠物进阶石通用价格对应!$L32)</f>
        <v>3_10016_,3_10017_</v>
      </c>
      <c r="N21" t="s">
        <v>424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F5" sqref="F5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151</v>
      </c>
      <c r="C2" t="s">
        <v>149</v>
      </c>
      <c r="D2" t="s">
        <v>162</v>
      </c>
      <c r="E2" t="s">
        <v>169</v>
      </c>
      <c r="F2" t="s">
        <v>221</v>
      </c>
      <c r="G2" t="s">
        <v>167</v>
      </c>
      <c r="H2" t="s">
        <v>222</v>
      </c>
      <c r="I2" t="s">
        <v>168</v>
      </c>
      <c r="J2" t="s">
        <v>170</v>
      </c>
    </row>
    <row r="3" spans="1:20">
      <c r="A3">
        <v>1</v>
      </c>
      <c r="B3" t="s">
        <v>150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152</v>
      </c>
      <c r="C4" s="6">
        <f>属性拆分生成!$D$4</f>
        <v>1.4</v>
      </c>
      <c r="D4" s="6">
        <f>属性拆分生成!H4</f>
        <v>1.42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163</v>
      </c>
      <c r="C5" s="6">
        <f>属性拆分生成!$D$4</f>
        <v>1.4</v>
      </c>
      <c r="D5" s="6">
        <f>属性拆分生成!H4</f>
        <v>1.42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156</v>
      </c>
      <c r="C6" s="6">
        <f>属性拆分生成!$D$6</f>
        <v>1.8</v>
      </c>
      <c r="D6" s="6">
        <f>属性拆分生成!H6</f>
        <v>2.048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153</v>
      </c>
      <c r="C7" s="6">
        <f>属性拆分生成!$D$6</f>
        <v>1.8</v>
      </c>
      <c r="D7" s="6">
        <f>属性拆分生成!H6</f>
        <v>2.048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157</v>
      </c>
      <c r="C8" s="6">
        <f>属性拆分生成!D8</f>
        <v>2.2000000000000002</v>
      </c>
      <c r="D8" s="6">
        <f>属性拆分生成!H8</f>
        <v>3.1680000000000001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158</v>
      </c>
      <c r="C9" s="6">
        <f>属性拆分生成!D10</f>
        <v>2.6</v>
      </c>
      <c r="D9" s="6">
        <f>属性拆分生成!H10</f>
        <v>4.024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160</v>
      </c>
      <c r="C10" s="6">
        <f>属性拆分生成!D12</f>
        <v>3</v>
      </c>
      <c r="D10" s="6">
        <f>属性拆分生成!H12</f>
        <v>5.32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325</v>
      </c>
    </row>
    <row r="11" spans="1:20">
      <c r="A11">
        <v>60</v>
      </c>
      <c r="B11" t="s">
        <v>161</v>
      </c>
      <c r="C11" s="6">
        <f>属性拆分生成!$D$14</f>
        <v>3.4</v>
      </c>
      <c r="D11" s="6">
        <f>属性拆分生成!$H$14</f>
        <v>7.008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164</v>
      </c>
      <c r="C12" s="6">
        <f>属性拆分生成!$D$14</f>
        <v>3.4</v>
      </c>
      <c r="D12" s="6">
        <f>属性拆分生成!$H$14</f>
        <v>7.008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159</v>
      </c>
      <c r="C13" s="6">
        <f>属性拆分生成!D16</f>
        <v>3.8</v>
      </c>
      <c r="D13" s="6">
        <f>属性拆分生成!H15</f>
        <v>7.3719999999999999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154</v>
      </c>
      <c r="C14" s="6">
        <f>属性拆分生成!D18</f>
        <v>4.2</v>
      </c>
      <c r="D14" s="6">
        <f>属性拆分生成!H16</f>
        <v>8.2159999999999993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155</v>
      </c>
      <c r="C15" s="6">
        <f>属性拆分生成!D20</f>
        <v>4.5999999999999996</v>
      </c>
      <c r="D15" s="6">
        <f>属性拆分生成!H17</f>
        <v>8.6199999999999992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263</v>
      </c>
      <c r="C16" s="6">
        <f>属性拆分生成!D22</f>
        <v>5</v>
      </c>
      <c r="D16" s="6">
        <f>属性拆分生成!H18</f>
        <v>10.784000000000001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190</v>
      </c>
    </row>
    <row r="20" spans="1:20">
      <c r="B20" t="s">
        <v>173</v>
      </c>
      <c r="C20">
        <f>属性拆分生成!K20</f>
        <v>1091</v>
      </c>
      <c r="D20">
        <f>属性拆分生成!K21</f>
        <v>372</v>
      </c>
      <c r="E20">
        <f>属性拆分生成!K22</f>
        <v>372</v>
      </c>
      <c r="F20">
        <f>属性拆分生成!K23</f>
        <v>355</v>
      </c>
      <c r="T20">
        <f>R20*0.2</f>
        <v>0</v>
      </c>
    </row>
    <row r="21" spans="1:20">
      <c r="B21" t="s">
        <v>176</v>
      </c>
      <c r="C21">
        <f>C20*$E$3</f>
        <v>545.5</v>
      </c>
      <c r="D21">
        <f t="shared" ref="D21:F21" si="1">D20*$E$3</f>
        <v>186</v>
      </c>
      <c r="E21">
        <f t="shared" si="1"/>
        <v>186</v>
      </c>
      <c r="F21">
        <f t="shared" si="1"/>
        <v>177.5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171</v>
      </c>
      <c r="C24">
        <f>ROUND(C25,0)</f>
        <v>424</v>
      </c>
      <c r="D24">
        <f t="shared" ref="D24:F24" si="3">ROUND(D25,0)</f>
        <v>145</v>
      </c>
      <c r="E24">
        <f t="shared" si="3"/>
        <v>145</v>
      </c>
      <c r="F24">
        <f t="shared" si="3"/>
        <v>138</v>
      </c>
      <c r="T24">
        <f t="shared" si="2"/>
        <v>0</v>
      </c>
    </row>
    <row r="25" spans="1:20">
      <c r="A25" t="s">
        <v>172</v>
      </c>
      <c r="B25" t="s">
        <v>174</v>
      </c>
      <c r="C25">
        <f>C20*$F$5</f>
        <v>424.39899999999989</v>
      </c>
      <c r="D25">
        <f t="shared" ref="D25:F25" si="4">D20*$F$5</f>
        <v>144.70799999999997</v>
      </c>
      <c r="E25">
        <f t="shared" si="4"/>
        <v>144.70799999999997</v>
      </c>
      <c r="F25">
        <f t="shared" si="4"/>
        <v>138.09499999999997</v>
      </c>
      <c r="T25">
        <f t="shared" si="2"/>
        <v>0</v>
      </c>
    </row>
    <row r="26" spans="1:20">
      <c r="B26" t="s">
        <v>177</v>
      </c>
      <c r="C26" s="51">
        <f>C24/9</f>
        <v>47.111111111111114</v>
      </c>
      <c r="D26" s="51">
        <f t="shared" ref="D26:F26" si="5">D24/9</f>
        <v>16.111111111111111</v>
      </c>
      <c r="E26" s="51">
        <f t="shared" si="5"/>
        <v>16.111111111111111</v>
      </c>
      <c r="F26" s="51">
        <f t="shared" si="5"/>
        <v>15.333333333333334</v>
      </c>
    </row>
    <row r="27" spans="1:20">
      <c r="B27" t="s">
        <v>178</v>
      </c>
      <c r="C27" s="50">
        <f>C$26+C26</f>
        <v>94.222222222222229</v>
      </c>
      <c r="D27" s="50">
        <f t="shared" ref="D27:F27" si="6">D$26+D26</f>
        <v>32.222222222222221</v>
      </c>
      <c r="E27" s="50">
        <f t="shared" si="6"/>
        <v>32.222222222222221</v>
      </c>
      <c r="F27" s="50">
        <f t="shared" si="6"/>
        <v>30.666666666666668</v>
      </c>
    </row>
    <row r="28" spans="1:20">
      <c r="B28" t="s">
        <v>179</v>
      </c>
      <c r="C28" s="50">
        <f t="shared" ref="C28:C34" si="7">C$26+C27</f>
        <v>141.33333333333334</v>
      </c>
      <c r="D28" s="50">
        <f t="shared" ref="D28:D34" si="8">D$26+D27</f>
        <v>48.333333333333329</v>
      </c>
      <c r="E28" s="50">
        <f t="shared" ref="E28:E34" si="9">E$26+E27</f>
        <v>48.333333333333329</v>
      </c>
      <c r="F28" s="50">
        <f t="shared" ref="F28:F34" si="10">F$26+F27</f>
        <v>46</v>
      </c>
    </row>
    <row r="29" spans="1:20">
      <c r="B29" t="s">
        <v>180</v>
      </c>
      <c r="C29" s="50">
        <f t="shared" si="7"/>
        <v>188.44444444444446</v>
      </c>
      <c r="D29" s="50">
        <f t="shared" si="8"/>
        <v>64.444444444444443</v>
      </c>
      <c r="E29" s="50">
        <f t="shared" si="9"/>
        <v>64.444444444444443</v>
      </c>
      <c r="F29" s="50">
        <f t="shared" si="10"/>
        <v>61.333333333333336</v>
      </c>
    </row>
    <row r="30" spans="1:20">
      <c r="B30" t="s">
        <v>181</v>
      </c>
      <c r="C30" s="50">
        <f t="shared" si="7"/>
        <v>235.55555555555557</v>
      </c>
      <c r="D30" s="50">
        <f t="shared" si="8"/>
        <v>80.555555555555557</v>
      </c>
      <c r="E30" s="50">
        <f t="shared" si="9"/>
        <v>80.555555555555557</v>
      </c>
      <c r="F30" s="50">
        <f t="shared" si="10"/>
        <v>76.666666666666671</v>
      </c>
    </row>
    <row r="31" spans="1:20">
      <c r="B31" t="s">
        <v>182</v>
      </c>
      <c r="C31" s="50">
        <f t="shared" si="7"/>
        <v>282.66666666666669</v>
      </c>
      <c r="D31" s="50">
        <f t="shared" si="8"/>
        <v>96.666666666666671</v>
      </c>
      <c r="E31" s="50">
        <f t="shared" si="9"/>
        <v>96.666666666666671</v>
      </c>
      <c r="F31" s="50">
        <f t="shared" si="10"/>
        <v>92</v>
      </c>
    </row>
    <row r="32" spans="1:20">
      <c r="B32" t="s">
        <v>183</v>
      </c>
      <c r="C32" s="50">
        <f t="shared" si="7"/>
        <v>329.77777777777783</v>
      </c>
      <c r="D32" s="50">
        <f t="shared" si="8"/>
        <v>112.77777777777779</v>
      </c>
      <c r="E32" s="50">
        <f t="shared" si="9"/>
        <v>112.77777777777779</v>
      </c>
      <c r="F32" s="50">
        <f t="shared" si="10"/>
        <v>107.33333333333333</v>
      </c>
    </row>
    <row r="33" spans="1:21">
      <c r="B33" t="s">
        <v>184</v>
      </c>
      <c r="C33" s="50">
        <f t="shared" si="7"/>
        <v>376.88888888888891</v>
      </c>
      <c r="D33" s="50">
        <f t="shared" si="8"/>
        <v>128.88888888888889</v>
      </c>
      <c r="E33" s="50">
        <f t="shared" si="9"/>
        <v>128.88888888888889</v>
      </c>
      <c r="F33" s="50">
        <f t="shared" si="10"/>
        <v>122.66666666666666</v>
      </c>
    </row>
    <row r="34" spans="1:21">
      <c r="B34" t="s">
        <v>185</v>
      </c>
      <c r="C34" s="50">
        <f t="shared" si="7"/>
        <v>424</v>
      </c>
      <c r="D34" s="50">
        <f t="shared" si="8"/>
        <v>145</v>
      </c>
      <c r="E34" s="50">
        <f t="shared" si="9"/>
        <v>145</v>
      </c>
      <c r="F34" s="50">
        <f t="shared" si="10"/>
        <v>138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186</v>
      </c>
      <c r="B36" t="s">
        <v>171</v>
      </c>
      <c r="C36">
        <f>ROUND(C37,0)</f>
        <v>651</v>
      </c>
      <c r="D36">
        <f t="shared" ref="D36:F36" si="11">ROUND(D37,0)</f>
        <v>222</v>
      </c>
      <c r="E36">
        <f t="shared" si="11"/>
        <v>222</v>
      </c>
      <c r="F36">
        <f t="shared" si="11"/>
        <v>212</v>
      </c>
    </row>
    <row r="37" spans="1:21">
      <c r="B37" t="s">
        <v>174</v>
      </c>
      <c r="C37">
        <f>($F$6-$F$5)*C20</f>
        <v>650.63596060000032</v>
      </c>
      <c r="D37">
        <f t="shared" ref="D37:F37" si="12">($F$6-$F$5)*D20</f>
        <v>221.84837520000011</v>
      </c>
      <c r="E37">
        <f t="shared" si="12"/>
        <v>221.84837520000011</v>
      </c>
      <c r="F37">
        <f t="shared" si="12"/>
        <v>211.7101430000001</v>
      </c>
    </row>
    <row r="38" spans="1:21">
      <c r="B38" t="s">
        <v>177</v>
      </c>
      <c r="C38" s="51">
        <f>C36/9</f>
        <v>72.333333333333329</v>
      </c>
      <c r="D38" s="51">
        <f t="shared" ref="D38:F38" si="13">D36/9</f>
        <v>24.666666666666668</v>
      </c>
      <c r="E38" s="51">
        <f t="shared" si="13"/>
        <v>24.666666666666668</v>
      </c>
      <c r="F38" s="51">
        <f t="shared" si="13"/>
        <v>23.555555555555557</v>
      </c>
    </row>
    <row r="39" spans="1:21">
      <c r="B39" t="s">
        <v>178</v>
      </c>
      <c r="C39" s="50">
        <f>C$38+C38</f>
        <v>144.66666666666666</v>
      </c>
      <c r="D39" s="50">
        <f t="shared" ref="D39:F39" si="14">D$38+D38</f>
        <v>49.333333333333336</v>
      </c>
      <c r="E39" s="50">
        <f t="shared" si="14"/>
        <v>49.333333333333336</v>
      </c>
      <c r="F39" s="50">
        <f t="shared" si="14"/>
        <v>47.111111111111114</v>
      </c>
    </row>
    <row r="40" spans="1:21">
      <c r="B40" t="s">
        <v>179</v>
      </c>
      <c r="C40" s="50">
        <f t="shared" ref="C40:C46" si="15">C$38+C39</f>
        <v>217</v>
      </c>
      <c r="D40" s="50">
        <f t="shared" ref="D40:D46" si="16">D$38+D39</f>
        <v>74</v>
      </c>
      <c r="E40" s="50">
        <f t="shared" ref="E40:E46" si="17">E$38+E39</f>
        <v>74</v>
      </c>
      <c r="F40" s="50">
        <f t="shared" ref="F40:F46" si="18">F$38+F39</f>
        <v>70.666666666666671</v>
      </c>
    </row>
    <row r="41" spans="1:21">
      <c r="B41" t="s">
        <v>180</v>
      </c>
      <c r="C41" s="50">
        <f t="shared" si="15"/>
        <v>289.33333333333331</v>
      </c>
      <c r="D41" s="50">
        <f t="shared" si="16"/>
        <v>98.666666666666671</v>
      </c>
      <c r="E41" s="50">
        <f t="shared" si="17"/>
        <v>98.666666666666671</v>
      </c>
      <c r="F41" s="50">
        <f t="shared" si="18"/>
        <v>94.222222222222229</v>
      </c>
    </row>
    <row r="42" spans="1:21">
      <c r="B42" t="s">
        <v>181</v>
      </c>
      <c r="C42" s="50">
        <f t="shared" si="15"/>
        <v>361.66666666666663</v>
      </c>
      <c r="D42" s="50">
        <f t="shared" si="16"/>
        <v>123.33333333333334</v>
      </c>
      <c r="E42" s="50">
        <f t="shared" si="17"/>
        <v>123.33333333333334</v>
      </c>
      <c r="F42" s="50">
        <f t="shared" si="18"/>
        <v>117.77777777777779</v>
      </c>
    </row>
    <row r="43" spans="1:21">
      <c r="B43" t="s">
        <v>182</v>
      </c>
      <c r="C43" s="50">
        <f t="shared" si="15"/>
        <v>433.99999999999994</v>
      </c>
      <c r="D43" s="50">
        <f t="shared" si="16"/>
        <v>148</v>
      </c>
      <c r="E43" s="50">
        <f t="shared" si="17"/>
        <v>148</v>
      </c>
      <c r="F43" s="50">
        <f t="shared" si="18"/>
        <v>141.33333333333334</v>
      </c>
    </row>
    <row r="44" spans="1:21">
      <c r="B44" t="s">
        <v>183</v>
      </c>
      <c r="C44" s="50">
        <f t="shared" si="15"/>
        <v>506.33333333333326</v>
      </c>
      <c r="D44" s="50">
        <f t="shared" si="16"/>
        <v>172.66666666666666</v>
      </c>
      <c r="E44" s="50">
        <f t="shared" si="17"/>
        <v>172.66666666666666</v>
      </c>
      <c r="F44" s="50">
        <f t="shared" si="18"/>
        <v>164.88888888888891</v>
      </c>
    </row>
    <row r="45" spans="1:21">
      <c r="B45" t="s">
        <v>184</v>
      </c>
      <c r="C45" s="50">
        <f t="shared" si="15"/>
        <v>578.66666666666663</v>
      </c>
      <c r="D45" s="50">
        <f t="shared" si="16"/>
        <v>197.33333333333331</v>
      </c>
      <c r="E45" s="50">
        <f t="shared" si="17"/>
        <v>197.33333333333331</v>
      </c>
      <c r="F45" s="50">
        <f t="shared" si="18"/>
        <v>188.44444444444446</v>
      </c>
    </row>
    <row r="46" spans="1:21">
      <c r="B46" t="s">
        <v>185</v>
      </c>
      <c r="C46" s="50">
        <f t="shared" si="15"/>
        <v>651</v>
      </c>
      <c r="D46" s="50">
        <f t="shared" si="16"/>
        <v>221.99999999999997</v>
      </c>
      <c r="E46" s="50">
        <f t="shared" si="17"/>
        <v>221.99999999999997</v>
      </c>
      <c r="F46" s="50">
        <f t="shared" si="18"/>
        <v>212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187</v>
      </c>
      <c r="B48" t="s">
        <v>171</v>
      </c>
      <c r="C48">
        <f>ROUND(C49,0)</f>
        <v>1020</v>
      </c>
      <c r="D48">
        <f t="shared" ref="D48:F48" si="19">ROUND(D49,0)</f>
        <v>348</v>
      </c>
      <c r="E48">
        <f t="shared" si="19"/>
        <v>348</v>
      </c>
      <c r="F48">
        <f t="shared" si="19"/>
        <v>332</v>
      </c>
    </row>
    <row r="49" spans="1:21">
      <c r="B49" t="s">
        <v>174</v>
      </c>
      <c r="C49">
        <f>($F$8-$F$6)*C20</f>
        <v>1019.7345443978007</v>
      </c>
      <c r="D49">
        <f t="shared" ref="D49:F49" si="20">($F$8-$F$6)*D20</f>
        <v>347.70050459760029</v>
      </c>
      <c r="E49">
        <f t="shared" si="20"/>
        <v>347.70050459760029</v>
      </c>
      <c r="F49">
        <f t="shared" si="20"/>
        <v>331.81096540900023</v>
      </c>
    </row>
    <row r="50" spans="1:21">
      <c r="B50" t="s">
        <v>177</v>
      </c>
      <c r="C50" s="51">
        <f>C48/9</f>
        <v>113.33333333333333</v>
      </c>
      <c r="D50" s="51">
        <f t="shared" ref="D50:F50" si="21">D48/9</f>
        <v>38.666666666666664</v>
      </c>
      <c r="E50" s="51">
        <f t="shared" si="21"/>
        <v>38.666666666666664</v>
      </c>
      <c r="F50" s="51">
        <f t="shared" si="21"/>
        <v>36.888888888888886</v>
      </c>
    </row>
    <row r="51" spans="1:21">
      <c r="B51" t="s">
        <v>178</v>
      </c>
      <c r="C51" s="50">
        <f>C$50+C50</f>
        <v>226.66666666666666</v>
      </c>
      <c r="D51" s="50">
        <f t="shared" ref="D51:F51" si="22">D$50+D50</f>
        <v>77.333333333333329</v>
      </c>
      <c r="E51" s="50">
        <f t="shared" si="22"/>
        <v>77.333333333333329</v>
      </c>
      <c r="F51" s="50">
        <f t="shared" si="22"/>
        <v>73.777777777777771</v>
      </c>
    </row>
    <row r="52" spans="1:21">
      <c r="B52" t="s">
        <v>179</v>
      </c>
      <c r="C52" s="50">
        <f t="shared" ref="C52:C58" si="23">C$50+C51</f>
        <v>340</v>
      </c>
      <c r="D52" s="50">
        <f t="shared" ref="D52:D58" si="24">D$50+D51</f>
        <v>116</v>
      </c>
      <c r="E52" s="50">
        <f t="shared" ref="E52:E58" si="25">E$50+E51</f>
        <v>116</v>
      </c>
      <c r="F52" s="50">
        <f t="shared" ref="F52:F58" si="26">F$50+F51</f>
        <v>110.66666666666666</v>
      </c>
    </row>
    <row r="53" spans="1:21">
      <c r="B53" t="s">
        <v>180</v>
      </c>
      <c r="C53" s="50">
        <f t="shared" si="23"/>
        <v>453.33333333333331</v>
      </c>
      <c r="D53" s="50">
        <f t="shared" si="24"/>
        <v>154.66666666666666</v>
      </c>
      <c r="E53" s="50">
        <f t="shared" si="25"/>
        <v>154.66666666666666</v>
      </c>
      <c r="F53" s="50">
        <f t="shared" si="26"/>
        <v>147.55555555555554</v>
      </c>
    </row>
    <row r="54" spans="1:21">
      <c r="B54" t="s">
        <v>181</v>
      </c>
      <c r="C54" s="50">
        <f t="shared" si="23"/>
        <v>566.66666666666663</v>
      </c>
      <c r="D54" s="50">
        <f t="shared" si="24"/>
        <v>193.33333333333331</v>
      </c>
      <c r="E54" s="50">
        <f t="shared" si="25"/>
        <v>193.33333333333331</v>
      </c>
      <c r="F54" s="50">
        <f t="shared" si="26"/>
        <v>184.44444444444443</v>
      </c>
    </row>
    <row r="55" spans="1:21">
      <c r="B55" t="s">
        <v>182</v>
      </c>
      <c r="C55" s="50">
        <f t="shared" si="23"/>
        <v>680</v>
      </c>
      <c r="D55" s="50">
        <f t="shared" si="24"/>
        <v>231.99999999999997</v>
      </c>
      <c r="E55" s="50">
        <f t="shared" si="25"/>
        <v>231.99999999999997</v>
      </c>
      <c r="F55" s="50">
        <f t="shared" si="26"/>
        <v>221.33333333333331</v>
      </c>
    </row>
    <row r="56" spans="1:21">
      <c r="B56" t="s">
        <v>183</v>
      </c>
      <c r="C56" s="50">
        <f t="shared" si="23"/>
        <v>793.33333333333337</v>
      </c>
      <c r="D56" s="50">
        <f t="shared" si="24"/>
        <v>270.66666666666663</v>
      </c>
      <c r="E56" s="50">
        <f t="shared" si="25"/>
        <v>270.66666666666663</v>
      </c>
      <c r="F56" s="50">
        <f t="shared" si="26"/>
        <v>258.22222222222217</v>
      </c>
    </row>
    <row r="57" spans="1:21">
      <c r="B57" t="s">
        <v>184</v>
      </c>
      <c r="C57" s="50">
        <f t="shared" si="23"/>
        <v>906.66666666666674</v>
      </c>
      <c r="D57" s="50">
        <f t="shared" si="24"/>
        <v>309.33333333333331</v>
      </c>
      <c r="E57" s="50">
        <f t="shared" si="25"/>
        <v>309.33333333333331</v>
      </c>
      <c r="F57" s="50">
        <f t="shared" si="26"/>
        <v>295.11111111111109</v>
      </c>
    </row>
    <row r="58" spans="1:21">
      <c r="B58" t="s">
        <v>185</v>
      </c>
      <c r="C58" s="50">
        <f t="shared" si="23"/>
        <v>1020.0000000000001</v>
      </c>
      <c r="D58" s="50">
        <f t="shared" si="24"/>
        <v>348</v>
      </c>
      <c r="E58" s="50">
        <f t="shared" si="25"/>
        <v>348</v>
      </c>
      <c r="F58" s="50">
        <f t="shared" si="26"/>
        <v>332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188</v>
      </c>
      <c r="B60" t="s">
        <v>171</v>
      </c>
      <c r="C60">
        <f>ROUND(C61,0)</f>
        <v>2574</v>
      </c>
      <c r="D60">
        <f t="shared" ref="D60" si="27">ROUND(D61,0)</f>
        <v>878</v>
      </c>
      <c r="E60">
        <f t="shared" ref="E60" si="28">ROUND(E61,0)</f>
        <v>878</v>
      </c>
      <c r="F60">
        <f t="shared" ref="F60" si="29">ROUND(F61,0)</f>
        <v>838</v>
      </c>
    </row>
    <row r="61" spans="1:21">
      <c r="B61" t="s">
        <v>174</v>
      </c>
      <c r="C61">
        <f>($F$11-$F$8)*C20</f>
        <v>2574.1003168971333</v>
      </c>
      <c r="D61">
        <f t="shared" ref="D61:F61" si="30">($F$11-$F$8)*D20</f>
        <v>877.69506680635527</v>
      </c>
      <c r="E61">
        <f t="shared" si="30"/>
        <v>877.69506680635527</v>
      </c>
      <c r="F61">
        <f t="shared" si="30"/>
        <v>837.58534601144117</v>
      </c>
    </row>
    <row r="62" spans="1:21">
      <c r="B62" t="s">
        <v>177</v>
      </c>
      <c r="C62" s="51">
        <f>C60/9</f>
        <v>286</v>
      </c>
      <c r="D62" s="51">
        <f t="shared" ref="D62:F62" si="31">D60/9</f>
        <v>97.555555555555557</v>
      </c>
      <c r="E62" s="51">
        <f t="shared" si="31"/>
        <v>97.555555555555557</v>
      </c>
      <c r="F62" s="51">
        <f t="shared" si="31"/>
        <v>93.111111111111114</v>
      </c>
    </row>
    <row r="63" spans="1:21">
      <c r="B63" t="s">
        <v>178</v>
      </c>
      <c r="C63" s="50">
        <f>C$62+C62</f>
        <v>572</v>
      </c>
      <c r="D63" s="50">
        <f t="shared" ref="D63:F63" si="32">D$62+D62</f>
        <v>195.11111111111111</v>
      </c>
      <c r="E63" s="50">
        <f t="shared" si="32"/>
        <v>195.11111111111111</v>
      </c>
      <c r="F63" s="50">
        <f t="shared" si="32"/>
        <v>186.22222222222223</v>
      </c>
    </row>
    <row r="64" spans="1:21">
      <c r="B64" t="s">
        <v>179</v>
      </c>
      <c r="C64" s="50">
        <f t="shared" ref="C64:C70" si="33">C$62+C63</f>
        <v>858</v>
      </c>
      <c r="D64" s="50">
        <f t="shared" ref="D64:D70" si="34">D$62+D63</f>
        <v>292.66666666666669</v>
      </c>
      <c r="E64" s="50">
        <f t="shared" ref="E64:E70" si="35">E$62+E63</f>
        <v>292.66666666666669</v>
      </c>
      <c r="F64" s="50">
        <f t="shared" ref="F64:F70" si="36">F$62+F63</f>
        <v>279.33333333333337</v>
      </c>
    </row>
    <row r="65" spans="1:21">
      <c r="B65" t="s">
        <v>180</v>
      </c>
      <c r="C65" s="50">
        <f t="shared" si="33"/>
        <v>1144</v>
      </c>
      <c r="D65" s="50">
        <f t="shared" si="34"/>
        <v>390.22222222222223</v>
      </c>
      <c r="E65" s="50">
        <f t="shared" si="35"/>
        <v>390.22222222222223</v>
      </c>
      <c r="F65" s="50">
        <f t="shared" si="36"/>
        <v>372.44444444444446</v>
      </c>
    </row>
    <row r="66" spans="1:21">
      <c r="B66" t="s">
        <v>181</v>
      </c>
      <c r="C66" s="50">
        <f t="shared" si="33"/>
        <v>1430</v>
      </c>
      <c r="D66" s="50">
        <f t="shared" si="34"/>
        <v>487.77777777777777</v>
      </c>
      <c r="E66" s="50">
        <f t="shared" si="35"/>
        <v>487.77777777777777</v>
      </c>
      <c r="F66" s="50">
        <f t="shared" si="36"/>
        <v>465.55555555555554</v>
      </c>
    </row>
    <row r="67" spans="1:21">
      <c r="B67" t="s">
        <v>182</v>
      </c>
      <c r="C67" s="50">
        <f t="shared" si="33"/>
        <v>1716</v>
      </c>
      <c r="D67" s="50">
        <f t="shared" si="34"/>
        <v>585.33333333333337</v>
      </c>
      <c r="E67" s="50">
        <f t="shared" si="35"/>
        <v>585.33333333333337</v>
      </c>
      <c r="F67" s="50">
        <f t="shared" si="36"/>
        <v>558.66666666666663</v>
      </c>
    </row>
    <row r="68" spans="1:21">
      <c r="B68" t="s">
        <v>183</v>
      </c>
      <c r="C68" s="50">
        <f t="shared" si="33"/>
        <v>2002</v>
      </c>
      <c r="D68" s="50">
        <f t="shared" si="34"/>
        <v>682.88888888888891</v>
      </c>
      <c r="E68" s="50">
        <f t="shared" si="35"/>
        <v>682.88888888888891</v>
      </c>
      <c r="F68" s="50">
        <f t="shared" si="36"/>
        <v>651.77777777777771</v>
      </c>
    </row>
    <row r="69" spans="1:21">
      <c r="B69" t="s">
        <v>184</v>
      </c>
      <c r="C69" s="50">
        <f t="shared" si="33"/>
        <v>2288</v>
      </c>
      <c r="D69" s="50">
        <f t="shared" si="34"/>
        <v>780.44444444444446</v>
      </c>
      <c r="E69" s="50">
        <f t="shared" si="35"/>
        <v>780.44444444444446</v>
      </c>
      <c r="F69" s="50">
        <f t="shared" si="36"/>
        <v>744.8888888888888</v>
      </c>
    </row>
    <row r="70" spans="1:21">
      <c r="B70" t="s">
        <v>185</v>
      </c>
      <c r="C70" s="50">
        <f t="shared" si="33"/>
        <v>2574</v>
      </c>
      <c r="D70" s="50">
        <f t="shared" si="34"/>
        <v>878</v>
      </c>
      <c r="E70" s="50">
        <f t="shared" si="35"/>
        <v>878</v>
      </c>
      <c r="F70" s="50">
        <f t="shared" si="36"/>
        <v>837.99999999999989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189</v>
      </c>
      <c r="B72" t="s">
        <v>171</v>
      </c>
      <c r="C72">
        <f>ROUND(C73,0)</f>
        <v>5623</v>
      </c>
      <c r="D72">
        <f t="shared" ref="D72" si="37">ROUND(D73,0)</f>
        <v>1917</v>
      </c>
      <c r="E72">
        <f t="shared" ref="E72" si="38">ROUND(E73,0)</f>
        <v>1917</v>
      </c>
      <c r="F72">
        <f t="shared" ref="F72" si="39">ROUND(F73,0)</f>
        <v>1830</v>
      </c>
    </row>
    <row r="73" spans="1:21">
      <c r="B73" t="s">
        <v>174</v>
      </c>
      <c r="C73">
        <f>($F$15-$F$12)*C20</f>
        <v>5622.5983323253586</v>
      </c>
      <c r="D73">
        <f t="shared" ref="D73:F73" si="40">($F$15-$F$12)*D20</f>
        <v>1917.1462691338527</v>
      </c>
      <c r="E73">
        <f t="shared" si="40"/>
        <v>1917.1462691338527</v>
      </c>
      <c r="F73">
        <f t="shared" si="40"/>
        <v>1829.5347460820369</v>
      </c>
    </row>
    <row r="74" spans="1:21">
      <c r="B74" t="s">
        <v>177</v>
      </c>
      <c r="C74" s="51">
        <f>C72/9</f>
        <v>624.77777777777783</v>
      </c>
      <c r="D74" s="51">
        <f t="shared" ref="D74:F74" si="41">D72/9</f>
        <v>213</v>
      </c>
      <c r="E74" s="51">
        <f t="shared" si="41"/>
        <v>213</v>
      </c>
      <c r="F74" s="51">
        <f t="shared" si="41"/>
        <v>203.33333333333334</v>
      </c>
    </row>
    <row r="75" spans="1:21">
      <c r="B75" t="s">
        <v>178</v>
      </c>
      <c r="C75" s="50">
        <f>C$74+C74</f>
        <v>1249.5555555555557</v>
      </c>
      <c r="D75" s="50">
        <f t="shared" ref="D75:F75" si="42">D$74+D74</f>
        <v>426</v>
      </c>
      <c r="E75" s="50">
        <f t="shared" si="42"/>
        <v>426</v>
      </c>
      <c r="F75" s="50">
        <f t="shared" si="42"/>
        <v>406.66666666666669</v>
      </c>
    </row>
    <row r="76" spans="1:21">
      <c r="B76" t="s">
        <v>179</v>
      </c>
      <c r="C76" s="50">
        <f t="shared" ref="C76:C82" si="43">C$74+C75</f>
        <v>1874.3333333333335</v>
      </c>
      <c r="D76" s="50">
        <f t="shared" ref="D76:D82" si="44">D$74+D75</f>
        <v>639</v>
      </c>
      <c r="E76" s="50">
        <f t="shared" ref="E76:E82" si="45">E$74+E75</f>
        <v>639</v>
      </c>
      <c r="F76" s="50">
        <f t="shared" ref="F76:F82" si="46">F$74+F75</f>
        <v>610</v>
      </c>
    </row>
    <row r="77" spans="1:21">
      <c r="B77" t="s">
        <v>180</v>
      </c>
      <c r="C77" s="50">
        <f t="shared" si="43"/>
        <v>2499.1111111111113</v>
      </c>
      <c r="D77" s="50">
        <f t="shared" si="44"/>
        <v>852</v>
      </c>
      <c r="E77" s="50">
        <f t="shared" si="45"/>
        <v>852</v>
      </c>
      <c r="F77" s="50">
        <f t="shared" si="46"/>
        <v>813.33333333333337</v>
      </c>
    </row>
    <row r="78" spans="1:21">
      <c r="B78" t="s">
        <v>181</v>
      </c>
      <c r="C78" s="50">
        <f t="shared" si="43"/>
        <v>3123.8888888888891</v>
      </c>
      <c r="D78" s="50">
        <f t="shared" si="44"/>
        <v>1065</v>
      </c>
      <c r="E78" s="50">
        <f t="shared" si="45"/>
        <v>1065</v>
      </c>
      <c r="F78" s="50">
        <f t="shared" si="46"/>
        <v>1016.6666666666667</v>
      </c>
    </row>
    <row r="79" spans="1:21">
      <c r="B79" t="s">
        <v>182</v>
      </c>
      <c r="C79" s="50">
        <f t="shared" si="43"/>
        <v>3748.666666666667</v>
      </c>
      <c r="D79" s="50">
        <f t="shared" si="44"/>
        <v>1278</v>
      </c>
      <c r="E79" s="50">
        <f t="shared" si="45"/>
        <v>1278</v>
      </c>
      <c r="F79" s="50">
        <f t="shared" si="46"/>
        <v>1220</v>
      </c>
    </row>
    <row r="80" spans="1:21">
      <c r="B80" t="s">
        <v>183</v>
      </c>
      <c r="C80" s="50">
        <f t="shared" si="43"/>
        <v>4373.4444444444453</v>
      </c>
      <c r="D80" s="50">
        <f t="shared" si="44"/>
        <v>1491</v>
      </c>
      <c r="E80" s="50">
        <f t="shared" si="45"/>
        <v>1491</v>
      </c>
      <c r="F80" s="50">
        <f t="shared" si="46"/>
        <v>1423.3333333333333</v>
      </c>
    </row>
    <row r="81" spans="2:6">
      <c r="B81" t="s">
        <v>184</v>
      </c>
      <c r="C81" s="50">
        <f t="shared" si="43"/>
        <v>4998.2222222222226</v>
      </c>
      <c r="D81" s="50">
        <f t="shared" si="44"/>
        <v>1704</v>
      </c>
      <c r="E81" s="50">
        <f t="shared" si="45"/>
        <v>1704</v>
      </c>
      <c r="F81" s="50">
        <f t="shared" si="46"/>
        <v>1626.6666666666665</v>
      </c>
    </row>
    <row r="82" spans="2:6">
      <c r="B82" t="s">
        <v>185</v>
      </c>
      <c r="C82" s="50">
        <f t="shared" si="43"/>
        <v>5623</v>
      </c>
      <c r="D82" s="50">
        <f t="shared" si="44"/>
        <v>1917</v>
      </c>
      <c r="E82" s="50">
        <f t="shared" si="45"/>
        <v>1917</v>
      </c>
      <c r="F82" s="50">
        <f t="shared" si="46"/>
        <v>1829.9999999999998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V1" sqref="U1:V1048576"/>
    </sheetView>
  </sheetViews>
  <sheetFormatPr defaultRowHeight="13.5"/>
  <cols>
    <col min="4" max="4" width="9.5" bestFit="1" customWidth="1"/>
  </cols>
  <sheetData>
    <row r="3" spans="1:12">
      <c r="C3" t="s">
        <v>222</v>
      </c>
      <c r="D3" t="s">
        <v>168</v>
      </c>
      <c r="E3" t="s">
        <v>327</v>
      </c>
      <c r="F3" t="s">
        <v>328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326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325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329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330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331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332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332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333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333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333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333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334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362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361</v>
      </c>
      <c r="C20" s="20">
        <v>1.8</v>
      </c>
      <c r="D20" s="20">
        <v>0.35</v>
      </c>
      <c r="E20" s="20">
        <v>0.35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335</v>
      </c>
    </row>
    <row r="22" spans="1:12">
      <c r="B22" t="s">
        <v>336</v>
      </c>
      <c r="C22" t="s">
        <v>337</v>
      </c>
      <c r="D22" t="s">
        <v>338</v>
      </c>
      <c r="E22" t="s">
        <v>339</v>
      </c>
      <c r="F22" t="s">
        <v>340</v>
      </c>
      <c r="G22" t="s">
        <v>341</v>
      </c>
      <c r="H22" t="s">
        <v>342</v>
      </c>
      <c r="I22" t="s">
        <v>343</v>
      </c>
      <c r="J22" s="12" t="s">
        <v>344</v>
      </c>
      <c r="K22" t="s">
        <v>345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6</v>
      </c>
      <c r="F23" s="20">
        <f>INT($F$20*I7*$C$19)</f>
        <v>5</v>
      </c>
      <c r="G23" s="20">
        <v>5</v>
      </c>
      <c r="H23" s="20">
        <v>5</v>
      </c>
      <c r="I23" s="20">
        <v>6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12</v>
      </c>
      <c r="F24" s="20">
        <f t="shared" ref="F24:F28" si="3">INT($F$20*I8*$C$19)</f>
        <v>10</v>
      </c>
      <c r="G24" s="20">
        <v>7</v>
      </c>
      <c r="H24" s="20">
        <v>6</v>
      </c>
      <c r="I24" s="20">
        <v>9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22</v>
      </c>
      <c r="F25" s="20">
        <f t="shared" si="3"/>
        <v>20</v>
      </c>
      <c r="G25" s="20">
        <v>9</v>
      </c>
      <c r="H25" s="20">
        <v>8</v>
      </c>
      <c r="I25" s="20">
        <v>13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37</v>
      </c>
      <c r="F26" s="20">
        <f t="shared" si="3"/>
        <v>34</v>
      </c>
      <c r="G26" s="20">
        <v>12</v>
      </c>
      <c r="H26" s="20">
        <v>10</v>
      </c>
      <c r="I26" s="20">
        <v>19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60</v>
      </c>
      <c r="F27" s="20">
        <f t="shared" si="3"/>
        <v>54</v>
      </c>
      <c r="G27" s="20">
        <v>15</v>
      </c>
      <c r="H27" s="20">
        <v>12</v>
      </c>
      <c r="I27" s="20">
        <v>26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101</v>
      </c>
      <c r="F28" s="20">
        <f t="shared" si="3"/>
        <v>91</v>
      </c>
      <c r="G28" s="20">
        <v>20</v>
      </c>
      <c r="H28" s="20">
        <v>15</v>
      </c>
      <c r="I28" s="20">
        <v>34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workbookViewId="0">
      <selection activeCell="L38" sqref="L38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234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235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236</v>
      </c>
      <c r="B4" t="s">
        <v>70</v>
      </c>
      <c r="C4" t="s">
        <v>71</v>
      </c>
      <c r="D4" t="s">
        <v>72</v>
      </c>
      <c r="E4" t="s">
        <v>223</v>
      </c>
      <c r="F4" t="s">
        <v>69</v>
      </c>
    </row>
    <row r="5" spans="1:6">
      <c r="A5">
        <v>101</v>
      </c>
      <c r="B5" s="52">
        <f>装备拆分数值生成!L4</f>
        <v>12.888888888888889</v>
      </c>
      <c r="C5" s="52">
        <f>装备拆分数值生成!M4</f>
        <v>6.4444444444444446</v>
      </c>
      <c r="D5" s="52">
        <v>0</v>
      </c>
      <c r="E5" s="52">
        <f>装备拆分数值生成!N4</f>
        <v>0</v>
      </c>
      <c r="F5" s="52">
        <f>装备拆分数值生成!K4</f>
        <v>0</v>
      </c>
    </row>
    <row r="6" spans="1:6">
      <c r="A6">
        <v>102</v>
      </c>
      <c r="B6" s="52">
        <f>装备拆分数值生成!L10</f>
        <v>0</v>
      </c>
      <c r="C6" s="52">
        <f>装备拆分数值生成!M10</f>
        <v>0</v>
      </c>
      <c r="D6" s="52">
        <v>0</v>
      </c>
      <c r="E6" s="52">
        <f>装备拆分数值生成!N10</f>
        <v>0</v>
      </c>
      <c r="F6" s="52">
        <f>装备拆分数值生成!K10</f>
        <v>23.555555555555557</v>
      </c>
    </row>
    <row r="7" spans="1:6">
      <c r="A7">
        <v>103</v>
      </c>
      <c r="B7" s="52">
        <f>装备拆分数值生成!L16</f>
        <v>0</v>
      </c>
      <c r="C7" s="52">
        <f>装备拆分数值生成!M16</f>
        <v>0</v>
      </c>
      <c r="D7" s="52">
        <v>0</v>
      </c>
      <c r="E7" s="52">
        <f>装备拆分数值生成!N16</f>
        <v>6.1333333333333337</v>
      </c>
      <c r="F7" s="52">
        <f>装备拆分数值生成!K16</f>
        <v>0</v>
      </c>
    </row>
    <row r="8" spans="1:6">
      <c r="A8">
        <v>104</v>
      </c>
      <c r="B8" s="52">
        <f>装备拆分数值生成!L22</f>
        <v>3.2222222222222223</v>
      </c>
      <c r="C8" s="52">
        <f>装备拆分数值生成!M22</f>
        <v>0</v>
      </c>
      <c r="D8" s="52">
        <v>0</v>
      </c>
      <c r="E8" s="52">
        <f>装备拆分数值生成!N22</f>
        <v>4.5999999999999996</v>
      </c>
      <c r="F8" s="52">
        <f>装备拆分数值生成!K22</f>
        <v>0</v>
      </c>
    </row>
    <row r="9" spans="1:6">
      <c r="A9">
        <v>105</v>
      </c>
      <c r="B9" s="52">
        <f>装备拆分数值生成!L28</f>
        <v>0</v>
      </c>
      <c r="C9" s="52">
        <f>装备拆分数值生成!M28</f>
        <v>1.6111111111111112</v>
      </c>
      <c r="D9" s="52">
        <v>0</v>
      </c>
      <c r="E9" s="52">
        <f>装备拆分数值生成!N28</f>
        <v>0</v>
      </c>
      <c r="F9" s="52">
        <f>装备拆分数值生成!K28</f>
        <v>18.844444444444445</v>
      </c>
    </row>
    <row r="10" spans="1:6">
      <c r="A10">
        <v>106</v>
      </c>
      <c r="B10" s="52">
        <f>装备拆分数值生成!L34</f>
        <v>6.4444444444444446</v>
      </c>
      <c r="C10" s="52">
        <f>装备拆分数值生成!M34</f>
        <v>0</v>
      </c>
      <c r="D10" s="52">
        <v>0</v>
      </c>
      <c r="E10" s="52">
        <f>装备拆分数值生成!N34</f>
        <v>0</v>
      </c>
      <c r="F10" s="52">
        <f>装备拆分数值生成!K34</f>
        <v>4.7111111111111112</v>
      </c>
    </row>
    <row r="11" spans="1:6">
      <c r="A11">
        <v>111</v>
      </c>
      <c r="B11" s="52">
        <f>装备拆分数值生成!L5</f>
        <v>19.733333333333334</v>
      </c>
      <c r="C11" s="52">
        <f>装备拆分数值生成!M5</f>
        <v>9.8666666666666671</v>
      </c>
      <c r="D11" s="52">
        <v>0</v>
      </c>
      <c r="E11" s="52">
        <f>装备拆分数值生成!N5</f>
        <v>0</v>
      </c>
      <c r="F11" s="52">
        <f>装备拆分数值生成!K5</f>
        <v>0</v>
      </c>
    </row>
    <row r="12" spans="1:6">
      <c r="A12">
        <v>112</v>
      </c>
      <c r="B12" s="52">
        <f>装备拆分数值生成!L11</f>
        <v>0</v>
      </c>
      <c r="C12" s="52">
        <f>装备拆分数值生成!M11</f>
        <v>0</v>
      </c>
      <c r="D12" s="52">
        <v>0</v>
      </c>
      <c r="E12" s="52">
        <f>装备拆分数值生成!N11</f>
        <v>0</v>
      </c>
      <c r="F12" s="52">
        <f>装备拆分数值生成!K11</f>
        <v>36.166666666666664</v>
      </c>
    </row>
    <row r="13" spans="1:6">
      <c r="A13">
        <v>113</v>
      </c>
      <c r="B13" s="52">
        <f>装备拆分数值生成!L17</f>
        <v>0</v>
      </c>
      <c r="C13" s="52">
        <f>装备拆分数值生成!M17</f>
        <v>0</v>
      </c>
      <c r="D13" s="52">
        <v>0</v>
      </c>
      <c r="E13" s="52">
        <f>装备拆分数值生成!N17</f>
        <v>9.4222222222222225</v>
      </c>
      <c r="F13" s="52">
        <f>装备拆分数值生成!K17</f>
        <v>0</v>
      </c>
    </row>
    <row r="14" spans="1:6">
      <c r="A14">
        <v>114</v>
      </c>
      <c r="B14" s="52">
        <f>装备拆分数值生成!L23</f>
        <v>4.9333333333333336</v>
      </c>
      <c r="C14" s="52">
        <f>装备拆分数值生成!M23</f>
        <v>0</v>
      </c>
      <c r="D14" s="52">
        <v>0</v>
      </c>
      <c r="E14" s="52">
        <f>装备拆分数值生成!N23</f>
        <v>7.0666666666666673</v>
      </c>
      <c r="F14" s="52">
        <f>装备拆分数值生成!K23</f>
        <v>0</v>
      </c>
    </row>
    <row r="15" spans="1:6">
      <c r="A15">
        <v>115</v>
      </c>
      <c r="B15" s="52">
        <f>装备拆分数值生成!L29</f>
        <v>0</v>
      </c>
      <c r="C15" s="52">
        <f>装备拆分数值生成!M29</f>
        <v>2.4666666666666668</v>
      </c>
      <c r="D15" s="52">
        <v>0</v>
      </c>
      <c r="E15" s="52">
        <f>装备拆分数值生成!N29</f>
        <v>0</v>
      </c>
      <c r="F15" s="52">
        <f>装备拆分数值生成!K29</f>
        <v>28.933333333333334</v>
      </c>
    </row>
    <row r="16" spans="1:6">
      <c r="A16">
        <v>116</v>
      </c>
      <c r="B16" s="52">
        <f>装备拆分数值生成!L35</f>
        <v>9.8666666666666671</v>
      </c>
      <c r="C16" s="52">
        <f>装备拆分数值生成!M35</f>
        <v>0</v>
      </c>
      <c r="D16" s="52">
        <v>0</v>
      </c>
      <c r="E16" s="52">
        <f>装备拆分数值生成!N35</f>
        <v>0</v>
      </c>
      <c r="F16" s="52">
        <f>装备拆分数值生成!K35</f>
        <v>7.2333333333333334</v>
      </c>
    </row>
    <row r="17" spans="1:6">
      <c r="A17">
        <v>121</v>
      </c>
      <c r="B17" s="52">
        <f>装备拆分数值生成!L6</f>
        <v>30.933333333333334</v>
      </c>
      <c r="C17" s="52">
        <f>装备拆分数值生成!M6</f>
        <v>15.466666666666667</v>
      </c>
      <c r="D17" s="52">
        <v>0</v>
      </c>
      <c r="E17" s="52">
        <f>装备拆分数值生成!N6</f>
        <v>0</v>
      </c>
      <c r="F17" s="52">
        <f>装备拆分数值生成!K6</f>
        <v>0</v>
      </c>
    </row>
    <row r="18" spans="1:6">
      <c r="A18">
        <v>122</v>
      </c>
      <c r="B18" s="52">
        <f>装备拆分数值生成!L12</f>
        <v>0</v>
      </c>
      <c r="C18" s="52">
        <f>装备拆分数值生成!M12</f>
        <v>0</v>
      </c>
      <c r="D18" s="52">
        <v>0</v>
      </c>
      <c r="E18" s="52">
        <f>装备拆分数值生成!N12</f>
        <v>0</v>
      </c>
      <c r="F18" s="52">
        <f>装备拆分数值生成!K12</f>
        <v>56.666666666666664</v>
      </c>
    </row>
    <row r="19" spans="1:6">
      <c r="A19">
        <v>123</v>
      </c>
      <c r="B19" s="52">
        <f>装备拆分数值生成!L18</f>
        <v>0</v>
      </c>
      <c r="C19" s="52">
        <f>装备拆分数值生成!M18</f>
        <v>0</v>
      </c>
      <c r="D19" s="52">
        <v>0</v>
      </c>
      <c r="E19" s="52">
        <f>装备拆分数值生成!N18</f>
        <v>14.755555555555555</v>
      </c>
      <c r="F19" s="52">
        <f>装备拆分数值生成!K18</f>
        <v>0</v>
      </c>
    </row>
    <row r="20" spans="1:6">
      <c r="A20">
        <v>124</v>
      </c>
      <c r="B20" s="52">
        <f>装备拆分数值生成!L24</f>
        <v>7.7333333333333334</v>
      </c>
      <c r="C20" s="52">
        <f>装备拆分数值生成!M24</f>
        <v>0</v>
      </c>
      <c r="D20" s="52">
        <v>0</v>
      </c>
      <c r="E20" s="52">
        <f>装备拆分数值生成!N24</f>
        <v>11.066666666666665</v>
      </c>
      <c r="F20" s="52">
        <f>装备拆分数值生成!K24</f>
        <v>0</v>
      </c>
    </row>
    <row r="21" spans="1:6">
      <c r="A21">
        <v>125</v>
      </c>
      <c r="B21" s="52">
        <f>装备拆分数值生成!L30</f>
        <v>0</v>
      </c>
      <c r="C21" s="52">
        <f>装备拆分数值生成!M30</f>
        <v>3.8666666666666667</v>
      </c>
      <c r="D21" s="52">
        <v>0</v>
      </c>
      <c r="E21" s="52">
        <f>装备拆分数值生成!N30</f>
        <v>0</v>
      </c>
      <c r="F21" s="52">
        <f>装备拆分数值生成!K30</f>
        <v>45.333333333333336</v>
      </c>
    </row>
    <row r="22" spans="1:6">
      <c r="A22">
        <v>126</v>
      </c>
      <c r="B22" s="52">
        <f>装备拆分数值生成!L36</f>
        <v>15.466666666666667</v>
      </c>
      <c r="C22" s="52">
        <f>装备拆分数值生成!M36</f>
        <v>0</v>
      </c>
      <c r="D22" s="52">
        <v>0</v>
      </c>
      <c r="E22" s="52">
        <f>装备拆分数值生成!N36</f>
        <v>0</v>
      </c>
      <c r="F22" s="52">
        <f>装备拆分数值生成!K36</f>
        <v>11.333333333333334</v>
      </c>
    </row>
    <row r="23" spans="1:6">
      <c r="A23">
        <v>131</v>
      </c>
      <c r="B23" s="52">
        <f>装备拆分数值生成!L7</f>
        <v>78.044444444444451</v>
      </c>
      <c r="C23" s="52">
        <f>装备拆分数值生成!M7</f>
        <v>39.022222222222226</v>
      </c>
      <c r="D23" s="52">
        <v>0</v>
      </c>
      <c r="E23" s="52">
        <f>装备拆分数值生成!N7</f>
        <v>0</v>
      </c>
      <c r="F23" s="52">
        <f>装备拆分数值生成!K7</f>
        <v>0</v>
      </c>
    </row>
    <row r="24" spans="1:6">
      <c r="A24">
        <v>132</v>
      </c>
      <c r="B24" s="52">
        <f>装备拆分数值生成!L13</f>
        <v>0</v>
      </c>
      <c r="C24" s="52">
        <f>装备拆分数值生成!M13</f>
        <v>0</v>
      </c>
      <c r="D24" s="52">
        <v>0</v>
      </c>
      <c r="E24" s="52">
        <f>装备拆分数值生成!N13</f>
        <v>0</v>
      </c>
      <c r="F24" s="52">
        <f>装备拆分数值生成!K13</f>
        <v>143</v>
      </c>
    </row>
    <row r="25" spans="1:6">
      <c r="A25">
        <v>133</v>
      </c>
      <c r="B25" s="52">
        <f>装备拆分数值生成!L19</f>
        <v>0</v>
      </c>
      <c r="C25" s="52">
        <f>装备拆分数值生成!M19</f>
        <v>0</v>
      </c>
      <c r="D25" s="52">
        <v>0</v>
      </c>
      <c r="E25" s="52">
        <f>装备拆分数值生成!N19</f>
        <v>37.244444444444447</v>
      </c>
      <c r="F25" s="52">
        <f>装备拆分数值生成!K19</f>
        <v>0</v>
      </c>
    </row>
    <row r="26" spans="1:6">
      <c r="A26">
        <v>134</v>
      </c>
      <c r="B26" s="52">
        <f>装备拆分数值生成!L25</f>
        <v>19.511111111111113</v>
      </c>
      <c r="C26" s="52">
        <f>装备拆分数值生成!M25</f>
        <v>0</v>
      </c>
      <c r="D26" s="52">
        <v>0</v>
      </c>
      <c r="E26" s="52">
        <f>装备拆分数值生成!N25</f>
        <v>27.933333333333334</v>
      </c>
      <c r="F26" s="52">
        <f>装备拆分数值生成!K25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9.7555555555555564</v>
      </c>
      <c r="D27" s="52">
        <v>0</v>
      </c>
      <c r="E27" s="52">
        <f>装备拆分数值生成!N31</f>
        <v>0</v>
      </c>
      <c r="F27" s="52">
        <f>装备拆分数值生成!K31</f>
        <v>114.4</v>
      </c>
    </row>
    <row r="28" spans="1:6">
      <c r="A28">
        <v>136</v>
      </c>
      <c r="B28" s="52">
        <f>装备拆分数值生成!L37</f>
        <v>39.022222222222226</v>
      </c>
      <c r="C28" s="52">
        <f>装备拆分数值生成!M37</f>
        <v>0</v>
      </c>
      <c r="D28" s="52">
        <v>0</v>
      </c>
      <c r="E28" s="52">
        <f>装备拆分数值生成!N37</f>
        <v>0</v>
      </c>
      <c r="F28" s="52">
        <f>装备拆分数值生成!K37</f>
        <v>28.6</v>
      </c>
    </row>
    <row r="29" spans="1:6">
      <c r="A29">
        <v>141</v>
      </c>
      <c r="B29" s="52">
        <f>装备拆分数值生成!L8</f>
        <v>170.4</v>
      </c>
      <c r="C29" s="52">
        <f>装备拆分数值生成!M8</f>
        <v>85.2</v>
      </c>
      <c r="D29" s="52">
        <v>0</v>
      </c>
      <c r="E29" s="52">
        <f>装备拆分数值生成!N8</f>
        <v>0</v>
      </c>
      <c r="F29" s="52">
        <f>装备拆分数值生成!K8</f>
        <v>0</v>
      </c>
    </row>
    <row r="30" spans="1:6">
      <c r="A30">
        <v>142</v>
      </c>
      <c r="B30" s="52">
        <f>装备拆分数值生成!L14</f>
        <v>0</v>
      </c>
      <c r="C30" s="52">
        <f>装备拆分数值生成!M14</f>
        <v>0</v>
      </c>
      <c r="D30" s="52">
        <v>0</v>
      </c>
      <c r="E30" s="52">
        <f>装备拆分数值生成!N14</f>
        <v>0</v>
      </c>
      <c r="F30" s="52">
        <f>装备拆分数值生成!K14</f>
        <v>312.38888888888891</v>
      </c>
    </row>
    <row r="31" spans="1:6">
      <c r="A31">
        <v>143</v>
      </c>
      <c r="B31" s="52">
        <f>装备拆分数值生成!L20</f>
        <v>0</v>
      </c>
      <c r="C31" s="52">
        <f>装备拆分数值生成!M20</f>
        <v>0</v>
      </c>
      <c r="D31" s="52">
        <v>0</v>
      </c>
      <c r="E31" s="52">
        <f>装备拆分数值生成!N20</f>
        <v>81.333333333333343</v>
      </c>
      <c r="F31" s="52">
        <f>装备拆分数值生成!K20</f>
        <v>0</v>
      </c>
    </row>
    <row r="32" spans="1:6">
      <c r="A32">
        <v>144</v>
      </c>
      <c r="B32" s="52">
        <f>装备拆分数值生成!L26</f>
        <v>42.6</v>
      </c>
      <c r="C32" s="52">
        <f>装备拆分数值生成!M26</f>
        <v>0</v>
      </c>
      <c r="D32" s="52">
        <v>0</v>
      </c>
      <c r="E32" s="52">
        <f>装备拆分数值生成!N26</f>
        <v>61</v>
      </c>
      <c r="F32" s="52">
        <f>装备拆分数值生成!K26</f>
        <v>0</v>
      </c>
    </row>
    <row r="33" spans="1:6">
      <c r="A33">
        <v>145</v>
      </c>
      <c r="B33" s="52">
        <f>装备拆分数值生成!L32</f>
        <v>0</v>
      </c>
      <c r="C33" s="52">
        <f>装备拆分数值生成!M32</f>
        <v>21.3</v>
      </c>
      <c r="D33" s="52">
        <v>0</v>
      </c>
      <c r="E33" s="52">
        <f>装备拆分数值生成!N32</f>
        <v>0</v>
      </c>
      <c r="F33" s="52">
        <f>装备拆分数值生成!K32</f>
        <v>249.91111111111115</v>
      </c>
    </row>
    <row r="34" spans="1:6">
      <c r="A34">
        <v>146</v>
      </c>
      <c r="B34" s="52">
        <f>装备拆分数值生成!L38</f>
        <v>85.2</v>
      </c>
      <c r="C34" s="52">
        <f>装备拆分数值生成!M38</f>
        <v>0</v>
      </c>
      <c r="D34" s="52">
        <v>0</v>
      </c>
      <c r="E34" s="52">
        <f>装备拆分数值生成!N38</f>
        <v>0</v>
      </c>
      <c r="F34" s="52">
        <f>装备拆分数值生成!K38</f>
        <v>62.477777777777789</v>
      </c>
    </row>
    <row r="35" spans="1:6">
      <c r="A35">
        <f>A5+100</f>
        <v>201</v>
      </c>
      <c r="B35" s="52">
        <f>装备拆分数值生成!S4</f>
        <v>6.4444444444444446</v>
      </c>
      <c r="C35" s="52">
        <f>装备拆分数值生成!T4</f>
        <v>12.888888888888889</v>
      </c>
      <c r="D35" s="52">
        <v>0</v>
      </c>
      <c r="E35" s="52">
        <f>装备拆分数值生成!U4</f>
        <v>0</v>
      </c>
      <c r="F35" s="52">
        <f>装备拆分数值生成!R4</f>
        <v>0</v>
      </c>
    </row>
    <row r="36" spans="1:6">
      <c r="A36">
        <f t="shared" ref="A36:A95" si="0">A6+100</f>
        <v>202</v>
      </c>
      <c r="B36" s="52">
        <f>装备拆分数值生成!S10</f>
        <v>0</v>
      </c>
      <c r="C36" s="52">
        <f>装备拆分数值生成!T10</f>
        <v>0</v>
      </c>
      <c r="D36" s="52">
        <v>0</v>
      </c>
      <c r="E36" s="52">
        <f>装备拆分数值生成!U10</f>
        <v>0</v>
      </c>
      <c r="F36" s="52">
        <f>装备拆分数值生成!R10</f>
        <v>23.555555555555557</v>
      </c>
    </row>
    <row r="37" spans="1:6">
      <c r="A37">
        <f t="shared" si="0"/>
        <v>203</v>
      </c>
      <c r="B37" s="52">
        <f>装备拆分数值生成!S16</f>
        <v>0</v>
      </c>
      <c r="C37" s="52">
        <f>装备拆分数值生成!T16</f>
        <v>0</v>
      </c>
      <c r="D37" s="52">
        <v>0</v>
      </c>
      <c r="E37" s="52">
        <f>装备拆分数值生成!U16</f>
        <v>6.1333333333333337</v>
      </c>
      <c r="F37" s="52">
        <f>装备拆分数值生成!R16</f>
        <v>0</v>
      </c>
    </row>
    <row r="38" spans="1:6">
      <c r="A38">
        <f t="shared" si="0"/>
        <v>204</v>
      </c>
      <c r="B38" s="52">
        <f>装备拆分数值生成!S22</f>
        <v>0</v>
      </c>
      <c r="C38" s="52">
        <f>装备拆分数值生成!T22</f>
        <v>3.2222222222222223</v>
      </c>
      <c r="D38" s="52">
        <v>0</v>
      </c>
      <c r="E38" s="52">
        <f>装备拆分数值生成!U22</f>
        <v>4.5999999999999996</v>
      </c>
      <c r="F38" s="52">
        <f>装备拆分数值生成!R22</f>
        <v>0</v>
      </c>
    </row>
    <row r="39" spans="1:6">
      <c r="A39">
        <f t="shared" si="0"/>
        <v>205</v>
      </c>
      <c r="B39" s="52">
        <f>装备拆分数值生成!S28</f>
        <v>1.6111111111111112</v>
      </c>
      <c r="C39" s="52">
        <f>装备拆分数值生成!T28</f>
        <v>0</v>
      </c>
      <c r="D39" s="52">
        <v>0</v>
      </c>
      <c r="E39" s="52">
        <f>装备拆分数值生成!U28</f>
        <v>0</v>
      </c>
      <c r="F39" s="52">
        <f>装备拆分数值生成!R28</f>
        <v>18.844444444444445</v>
      </c>
    </row>
    <row r="40" spans="1:6">
      <c r="A40">
        <f t="shared" si="0"/>
        <v>206</v>
      </c>
      <c r="B40" s="52">
        <f>装备拆分数值生成!S34</f>
        <v>0</v>
      </c>
      <c r="C40" s="52">
        <f>装备拆分数值生成!T34</f>
        <v>6.4444444444444446</v>
      </c>
      <c r="D40" s="52">
        <v>0</v>
      </c>
      <c r="E40" s="52">
        <f>装备拆分数值生成!U34</f>
        <v>0</v>
      </c>
      <c r="F40" s="52">
        <f>装备拆分数值生成!R34</f>
        <v>4.7111111111111112</v>
      </c>
    </row>
    <row r="41" spans="1:6">
      <c r="A41">
        <f t="shared" si="0"/>
        <v>211</v>
      </c>
      <c r="B41" s="52">
        <f>装备拆分数值生成!S5</f>
        <v>9.8666666666666671</v>
      </c>
      <c r="C41" s="52">
        <f>装备拆分数值生成!T5</f>
        <v>19.733333333333334</v>
      </c>
      <c r="D41" s="52">
        <v>0</v>
      </c>
      <c r="E41" s="52">
        <f>装备拆分数值生成!U5</f>
        <v>0</v>
      </c>
      <c r="F41" s="52">
        <f>装备拆分数值生成!R5</f>
        <v>0</v>
      </c>
    </row>
    <row r="42" spans="1:6">
      <c r="A42">
        <f t="shared" si="0"/>
        <v>212</v>
      </c>
      <c r="B42" s="52">
        <f>装备拆分数值生成!S11</f>
        <v>0</v>
      </c>
      <c r="C42" s="52">
        <f>装备拆分数值生成!T11</f>
        <v>0</v>
      </c>
      <c r="D42" s="52">
        <v>0</v>
      </c>
      <c r="E42" s="52">
        <f>装备拆分数值生成!U11</f>
        <v>0</v>
      </c>
      <c r="F42" s="52">
        <f>装备拆分数值生成!R11</f>
        <v>36.166666666666664</v>
      </c>
    </row>
    <row r="43" spans="1:6">
      <c r="A43">
        <f t="shared" si="0"/>
        <v>213</v>
      </c>
      <c r="B43" s="52">
        <f>装备拆分数值生成!S17</f>
        <v>0</v>
      </c>
      <c r="C43" s="52">
        <f>装备拆分数值生成!T17</f>
        <v>0</v>
      </c>
      <c r="D43" s="52">
        <v>0</v>
      </c>
      <c r="E43" s="52">
        <f>装备拆分数值生成!U17</f>
        <v>9.4222222222222225</v>
      </c>
      <c r="F43" s="52">
        <f>装备拆分数值生成!R17</f>
        <v>0</v>
      </c>
    </row>
    <row r="44" spans="1:6">
      <c r="A44">
        <f t="shared" si="0"/>
        <v>214</v>
      </c>
      <c r="B44" s="52">
        <f>装备拆分数值生成!S23</f>
        <v>0</v>
      </c>
      <c r="C44" s="52">
        <f>装备拆分数值生成!T23</f>
        <v>4.9333333333333336</v>
      </c>
      <c r="D44" s="52">
        <v>0</v>
      </c>
      <c r="E44" s="52">
        <f>装备拆分数值生成!U23</f>
        <v>7.0666666666666673</v>
      </c>
      <c r="F44" s="52">
        <f>装备拆分数值生成!R23</f>
        <v>0</v>
      </c>
    </row>
    <row r="45" spans="1:6">
      <c r="A45">
        <f t="shared" si="0"/>
        <v>215</v>
      </c>
      <c r="B45" s="52">
        <f>装备拆分数值生成!S29</f>
        <v>2.4666666666666668</v>
      </c>
      <c r="C45" s="52">
        <f>装备拆分数值生成!T29</f>
        <v>0</v>
      </c>
      <c r="D45" s="52">
        <v>0</v>
      </c>
      <c r="E45" s="52">
        <f>装备拆分数值生成!U29</f>
        <v>0</v>
      </c>
      <c r="F45" s="52">
        <f>装备拆分数值生成!R29</f>
        <v>28.933333333333334</v>
      </c>
    </row>
    <row r="46" spans="1:6">
      <c r="A46">
        <f t="shared" si="0"/>
        <v>216</v>
      </c>
      <c r="B46" s="52">
        <f>装备拆分数值生成!S35</f>
        <v>0</v>
      </c>
      <c r="C46" s="52">
        <f>装备拆分数值生成!T35</f>
        <v>9.8666666666666671</v>
      </c>
      <c r="D46" s="52">
        <v>0</v>
      </c>
      <c r="E46" s="52">
        <f>装备拆分数值生成!U35</f>
        <v>0</v>
      </c>
      <c r="F46" s="52">
        <f>装备拆分数值生成!R35</f>
        <v>7.2333333333333334</v>
      </c>
    </row>
    <row r="47" spans="1:6">
      <c r="A47">
        <f t="shared" si="0"/>
        <v>221</v>
      </c>
      <c r="B47" s="52">
        <f>装备拆分数值生成!S6</f>
        <v>15.466666666666667</v>
      </c>
      <c r="C47" s="52">
        <f>装备拆分数值生成!T6</f>
        <v>30.933333333333334</v>
      </c>
      <c r="D47" s="52">
        <v>0</v>
      </c>
      <c r="E47" s="52">
        <f>装备拆分数值生成!U6</f>
        <v>0</v>
      </c>
      <c r="F47" s="52">
        <f>装备拆分数值生成!R6</f>
        <v>0</v>
      </c>
    </row>
    <row r="48" spans="1:6">
      <c r="A48">
        <f t="shared" si="0"/>
        <v>222</v>
      </c>
      <c r="B48" s="52">
        <f>装备拆分数值生成!S12</f>
        <v>0</v>
      </c>
      <c r="C48" s="52">
        <f>装备拆分数值生成!T12</f>
        <v>0</v>
      </c>
      <c r="D48" s="52">
        <v>0</v>
      </c>
      <c r="E48" s="52">
        <f>装备拆分数值生成!U12</f>
        <v>0</v>
      </c>
      <c r="F48" s="52">
        <f>装备拆分数值生成!R12</f>
        <v>56.666666666666664</v>
      </c>
    </row>
    <row r="49" spans="1:6">
      <c r="A49">
        <f t="shared" si="0"/>
        <v>223</v>
      </c>
      <c r="B49" s="52">
        <f>装备拆分数值生成!S18</f>
        <v>0</v>
      </c>
      <c r="C49" s="52">
        <f>装备拆分数值生成!T18</f>
        <v>0</v>
      </c>
      <c r="D49" s="52">
        <v>0</v>
      </c>
      <c r="E49" s="52">
        <f>装备拆分数值生成!U18</f>
        <v>14.755555555555555</v>
      </c>
      <c r="F49" s="52">
        <f>装备拆分数值生成!R18</f>
        <v>0</v>
      </c>
    </row>
    <row r="50" spans="1:6">
      <c r="A50">
        <f t="shared" si="0"/>
        <v>224</v>
      </c>
      <c r="B50" s="52">
        <f>装备拆分数值生成!S24</f>
        <v>0</v>
      </c>
      <c r="C50" s="52">
        <f>装备拆分数值生成!T24</f>
        <v>7.7333333333333334</v>
      </c>
      <c r="D50" s="52">
        <v>0</v>
      </c>
      <c r="E50" s="52">
        <f>装备拆分数值生成!U24</f>
        <v>11.066666666666665</v>
      </c>
      <c r="F50" s="52">
        <f>装备拆分数值生成!R24</f>
        <v>0</v>
      </c>
    </row>
    <row r="51" spans="1:6">
      <c r="A51">
        <f t="shared" si="0"/>
        <v>225</v>
      </c>
      <c r="B51" s="52">
        <f>装备拆分数值生成!S30</f>
        <v>3.8666666666666667</v>
      </c>
      <c r="C51" s="52">
        <f>装备拆分数值生成!T30</f>
        <v>0</v>
      </c>
      <c r="D51" s="52">
        <v>0</v>
      </c>
      <c r="E51" s="52">
        <f>装备拆分数值生成!U30</f>
        <v>0</v>
      </c>
      <c r="F51" s="52">
        <f>装备拆分数值生成!R30</f>
        <v>45.333333333333336</v>
      </c>
    </row>
    <row r="52" spans="1:6">
      <c r="A52">
        <f t="shared" si="0"/>
        <v>226</v>
      </c>
      <c r="B52" s="52">
        <f>装备拆分数值生成!S36</f>
        <v>0</v>
      </c>
      <c r="C52" s="52">
        <f>装备拆分数值生成!T36</f>
        <v>15.466666666666667</v>
      </c>
      <c r="D52" s="52">
        <v>0</v>
      </c>
      <c r="E52" s="52">
        <f>装备拆分数值生成!U36</f>
        <v>0</v>
      </c>
      <c r="F52" s="52">
        <f>装备拆分数值生成!R36</f>
        <v>11.333333333333334</v>
      </c>
    </row>
    <row r="53" spans="1:6">
      <c r="A53">
        <f t="shared" si="0"/>
        <v>231</v>
      </c>
      <c r="B53" s="52">
        <f>装备拆分数值生成!S7</f>
        <v>39.022222222222226</v>
      </c>
      <c r="C53" s="52">
        <f>装备拆分数值生成!T7</f>
        <v>78.044444444444451</v>
      </c>
      <c r="D53" s="52">
        <v>0</v>
      </c>
      <c r="E53" s="52">
        <f>装备拆分数值生成!U7</f>
        <v>0</v>
      </c>
      <c r="F53" s="52">
        <f>装备拆分数值生成!R7</f>
        <v>0</v>
      </c>
    </row>
    <row r="54" spans="1:6">
      <c r="A54">
        <f t="shared" si="0"/>
        <v>232</v>
      </c>
      <c r="B54" s="52">
        <f>装备拆分数值生成!S13</f>
        <v>0</v>
      </c>
      <c r="C54" s="52">
        <f>装备拆分数值生成!T13</f>
        <v>0</v>
      </c>
      <c r="D54" s="52">
        <v>0</v>
      </c>
      <c r="E54" s="52">
        <f>装备拆分数值生成!U13</f>
        <v>0</v>
      </c>
      <c r="F54" s="52">
        <f>装备拆分数值生成!R13</f>
        <v>143</v>
      </c>
    </row>
    <row r="55" spans="1:6">
      <c r="A55">
        <f t="shared" si="0"/>
        <v>233</v>
      </c>
      <c r="B55" s="52">
        <f>装备拆分数值生成!S19</f>
        <v>0</v>
      </c>
      <c r="C55" s="52">
        <f>装备拆分数值生成!T19</f>
        <v>0</v>
      </c>
      <c r="D55" s="52">
        <v>0</v>
      </c>
      <c r="E55" s="52">
        <f>装备拆分数值生成!U19</f>
        <v>37.244444444444447</v>
      </c>
      <c r="F55" s="52">
        <f>装备拆分数值生成!R19</f>
        <v>0</v>
      </c>
    </row>
    <row r="56" spans="1:6">
      <c r="A56">
        <f t="shared" si="0"/>
        <v>234</v>
      </c>
      <c r="B56" s="52">
        <f>装备拆分数值生成!S25</f>
        <v>0</v>
      </c>
      <c r="C56" s="52">
        <f>装备拆分数值生成!T25</f>
        <v>19.511111111111113</v>
      </c>
      <c r="D56" s="52">
        <v>0</v>
      </c>
      <c r="E56" s="52">
        <f>装备拆分数值生成!U25</f>
        <v>27.933333333333334</v>
      </c>
      <c r="F56" s="52">
        <f>装备拆分数值生成!R25</f>
        <v>0</v>
      </c>
    </row>
    <row r="57" spans="1:6">
      <c r="A57">
        <f>A27+100</f>
        <v>235</v>
      </c>
      <c r="B57" s="52">
        <f>装备拆分数值生成!S31</f>
        <v>9.7555555555555564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114.4</v>
      </c>
    </row>
    <row r="58" spans="1:6">
      <c r="A58">
        <f t="shared" si="0"/>
        <v>236</v>
      </c>
      <c r="B58" s="52">
        <f>装备拆分数值生成!S37</f>
        <v>0</v>
      </c>
      <c r="C58" s="52">
        <f>装备拆分数值生成!T37</f>
        <v>39.022222222222226</v>
      </c>
      <c r="D58" s="52">
        <v>0</v>
      </c>
      <c r="E58" s="52">
        <f>装备拆分数值生成!U37</f>
        <v>0</v>
      </c>
      <c r="F58" s="52">
        <f>装备拆分数值生成!R37</f>
        <v>28.6</v>
      </c>
    </row>
    <row r="59" spans="1:6">
      <c r="A59">
        <f t="shared" si="0"/>
        <v>241</v>
      </c>
      <c r="B59" s="52">
        <f>装备拆分数值生成!S8</f>
        <v>85.2</v>
      </c>
      <c r="C59" s="52">
        <f>装备拆分数值生成!T8</f>
        <v>170.4</v>
      </c>
      <c r="D59" s="52">
        <v>0</v>
      </c>
      <c r="E59" s="52">
        <f>装备拆分数值生成!U8</f>
        <v>0</v>
      </c>
      <c r="F59" s="52">
        <f>装备拆分数值生成!R8</f>
        <v>0</v>
      </c>
    </row>
    <row r="60" spans="1:6">
      <c r="A60">
        <f t="shared" si="0"/>
        <v>242</v>
      </c>
      <c r="B60" s="52">
        <f>装备拆分数值生成!S14</f>
        <v>0</v>
      </c>
      <c r="C60" s="52">
        <f>装备拆分数值生成!T14</f>
        <v>0</v>
      </c>
      <c r="D60" s="52">
        <v>0</v>
      </c>
      <c r="E60" s="52">
        <f>装备拆分数值生成!U14</f>
        <v>0</v>
      </c>
      <c r="F60" s="52">
        <f>装备拆分数值生成!R14</f>
        <v>312.38888888888891</v>
      </c>
    </row>
    <row r="61" spans="1:6">
      <c r="A61">
        <f t="shared" si="0"/>
        <v>243</v>
      </c>
      <c r="B61" s="52">
        <f>装备拆分数值生成!S20</f>
        <v>0</v>
      </c>
      <c r="C61" s="52">
        <f>装备拆分数值生成!T20</f>
        <v>0</v>
      </c>
      <c r="D61" s="52">
        <v>0</v>
      </c>
      <c r="E61" s="52">
        <f>装备拆分数值生成!U20</f>
        <v>81.333333333333343</v>
      </c>
      <c r="F61" s="52">
        <f>装备拆分数值生成!R20</f>
        <v>0</v>
      </c>
    </row>
    <row r="62" spans="1:6">
      <c r="A62">
        <f t="shared" si="0"/>
        <v>244</v>
      </c>
      <c r="B62" s="52">
        <f>装备拆分数值生成!S26</f>
        <v>0</v>
      </c>
      <c r="C62" s="52">
        <f>装备拆分数值生成!T26</f>
        <v>42.6</v>
      </c>
      <c r="D62" s="52">
        <v>0</v>
      </c>
      <c r="E62" s="52">
        <f>装备拆分数值生成!U26</f>
        <v>61</v>
      </c>
      <c r="F62" s="52">
        <f>装备拆分数值生成!R26</f>
        <v>0</v>
      </c>
    </row>
    <row r="63" spans="1:6">
      <c r="A63">
        <f t="shared" si="0"/>
        <v>245</v>
      </c>
      <c r="B63" s="52">
        <f>装备拆分数值生成!S32</f>
        <v>21.3</v>
      </c>
      <c r="C63" s="52">
        <f>装备拆分数值生成!T32</f>
        <v>0</v>
      </c>
      <c r="D63" s="52">
        <v>0</v>
      </c>
      <c r="E63" s="52">
        <f>装备拆分数值生成!U32</f>
        <v>0</v>
      </c>
      <c r="F63" s="52">
        <f>装备拆分数值生成!R32</f>
        <v>249.91111111111115</v>
      </c>
    </row>
    <row r="64" spans="1:6">
      <c r="A64">
        <f>A34+100</f>
        <v>246</v>
      </c>
      <c r="B64" s="52">
        <f>装备拆分数值生成!S38</f>
        <v>0</v>
      </c>
      <c r="C64" s="52">
        <f>装备拆分数值生成!T38</f>
        <v>85.2</v>
      </c>
      <c r="D64" s="52">
        <v>0</v>
      </c>
      <c r="E64" s="52">
        <f>装备拆分数值生成!U38</f>
        <v>0</v>
      </c>
      <c r="F64" s="52">
        <f>装备拆分数值生成!R38</f>
        <v>62.477777777777789</v>
      </c>
    </row>
    <row r="65" spans="1:6">
      <c r="A65">
        <f t="shared" si="0"/>
        <v>301</v>
      </c>
      <c r="B65" s="52">
        <f>装备拆分数值生成!Z4</f>
        <v>8.8611111111111125</v>
      </c>
      <c r="C65" s="52">
        <f>装备拆分数值生成!AA4</f>
        <v>8.8611111111111125</v>
      </c>
      <c r="D65" s="52">
        <v>0</v>
      </c>
      <c r="E65" s="52">
        <f>装备拆分数值生成!AB4</f>
        <v>0</v>
      </c>
      <c r="F65" s="52">
        <f>装备拆分数值生成!Y4</f>
        <v>0</v>
      </c>
    </row>
    <row r="66" spans="1:6">
      <c r="A66">
        <f t="shared" si="0"/>
        <v>302</v>
      </c>
      <c r="B66" s="52">
        <f>装备拆分数值生成!Z10</f>
        <v>0</v>
      </c>
      <c r="C66" s="52">
        <f>装备拆分数值生成!AA10</f>
        <v>0</v>
      </c>
      <c r="D66" s="52">
        <v>0</v>
      </c>
      <c r="E66" s="52">
        <f>装备拆分数值生成!AB10</f>
        <v>0</v>
      </c>
      <c r="F66" s="52">
        <f>装备拆分数值生成!Y10</f>
        <v>37.68888888888889</v>
      </c>
    </row>
    <row r="67" spans="1:6">
      <c r="A67">
        <f>A37+100</f>
        <v>303</v>
      </c>
      <c r="B67" s="52">
        <f>装备拆分数值生成!Z16</f>
        <v>0</v>
      </c>
      <c r="C67" s="52">
        <f>装备拆分数值生成!AA16</f>
        <v>0</v>
      </c>
      <c r="D67" s="52">
        <v>0</v>
      </c>
      <c r="E67" s="52">
        <f>装备拆分数值生成!AB16</f>
        <v>9.1999999999999993</v>
      </c>
      <c r="F67" s="52">
        <f>装备拆分数值生成!Y16</f>
        <v>0</v>
      </c>
    </row>
    <row r="68" spans="1:6">
      <c r="A68">
        <f t="shared" si="0"/>
        <v>304</v>
      </c>
      <c r="B68" s="52">
        <f>装备拆分数值生成!Z22</f>
        <v>0</v>
      </c>
      <c r="C68" s="52">
        <f>装备拆分数值生成!AA22</f>
        <v>0</v>
      </c>
      <c r="D68" s="52">
        <v>0</v>
      </c>
      <c r="E68" s="52">
        <f>装备拆分数值生成!AB22</f>
        <v>6.9</v>
      </c>
      <c r="F68" s="52">
        <f>装备拆分数值生成!Y22</f>
        <v>0</v>
      </c>
    </row>
    <row r="69" spans="1:6">
      <c r="A69">
        <f t="shared" si="0"/>
        <v>305</v>
      </c>
      <c r="B69" s="52">
        <f>装备拆分数值生成!Z28</f>
        <v>0</v>
      </c>
      <c r="C69" s="52">
        <f>装备拆分数值生成!AA28</f>
        <v>0</v>
      </c>
      <c r="D69" s="52">
        <v>0</v>
      </c>
      <c r="E69" s="52">
        <f>装备拆分数值生成!AB28</f>
        <v>0</v>
      </c>
      <c r="F69" s="52">
        <f>装备拆分数值生成!Y28</f>
        <v>23.555555555555557</v>
      </c>
    </row>
    <row r="70" spans="1:6">
      <c r="A70">
        <f t="shared" si="0"/>
        <v>306</v>
      </c>
      <c r="B70" s="52">
        <f>装备拆分数值生成!Z34</f>
        <v>0</v>
      </c>
      <c r="C70" s="52">
        <f>装备拆分数值生成!AA34</f>
        <v>0</v>
      </c>
      <c r="D70" s="52">
        <v>0</v>
      </c>
      <c r="E70" s="52">
        <f>装备拆分数值生成!AB34</f>
        <v>4.5999999999999996</v>
      </c>
      <c r="F70" s="52">
        <f>装备拆分数值生成!Y34</f>
        <v>9.4222222222222225</v>
      </c>
    </row>
    <row r="71" spans="1:6">
      <c r="A71">
        <f t="shared" si="0"/>
        <v>311</v>
      </c>
      <c r="B71" s="52">
        <f>装备拆分数值生成!Z5</f>
        <v>13.566666666666668</v>
      </c>
      <c r="C71" s="52">
        <f>装备拆分数值生成!AA5</f>
        <v>13.566666666666668</v>
      </c>
      <c r="D71" s="52">
        <v>0</v>
      </c>
      <c r="E71" s="52">
        <f>装备拆分数值生成!AB5</f>
        <v>0</v>
      </c>
      <c r="F71" s="52">
        <f>装备拆分数值生成!Y5</f>
        <v>0</v>
      </c>
    </row>
    <row r="72" spans="1:6">
      <c r="A72">
        <f t="shared" si="0"/>
        <v>312</v>
      </c>
      <c r="B72" s="52">
        <f>装备拆分数值生成!Z11</f>
        <v>0</v>
      </c>
      <c r="C72" s="52">
        <f>装备拆分数值生成!AA11</f>
        <v>0</v>
      </c>
      <c r="D72" s="52">
        <v>0</v>
      </c>
      <c r="E72" s="52">
        <f>装备拆分数值生成!AB11</f>
        <v>0</v>
      </c>
      <c r="F72" s="52">
        <f>装备拆分数值生成!Y11</f>
        <v>57.866666666666667</v>
      </c>
    </row>
    <row r="73" spans="1:6">
      <c r="A73">
        <f t="shared" si="0"/>
        <v>313</v>
      </c>
      <c r="B73" s="52">
        <f>装备拆分数值生成!Z17</f>
        <v>0</v>
      </c>
      <c r="C73" s="52">
        <f>装备拆分数值生成!AA17</f>
        <v>0</v>
      </c>
      <c r="D73" s="52">
        <v>0</v>
      </c>
      <c r="E73" s="52">
        <f>装备拆分数值生成!AB17</f>
        <v>14.133333333333335</v>
      </c>
      <c r="F73" s="52">
        <f>装备拆分数值生成!Y17</f>
        <v>0</v>
      </c>
    </row>
    <row r="74" spans="1:6">
      <c r="A74">
        <f t="shared" si="0"/>
        <v>314</v>
      </c>
      <c r="B74" s="52">
        <f>装备拆分数值生成!Z23</f>
        <v>0</v>
      </c>
      <c r="C74" s="52">
        <f>装备拆分数值生成!AA23</f>
        <v>0</v>
      </c>
      <c r="D74" s="52">
        <v>0</v>
      </c>
      <c r="E74" s="52">
        <f>装备拆分数值生成!AB23</f>
        <v>10.600000000000001</v>
      </c>
      <c r="F74" s="52">
        <f>装备拆分数值生成!Y23</f>
        <v>0</v>
      </c>
    </row>
    <row r="75" spans="1:6">
      <c r="A75">
        <f t="shared" si="0"/>
        <v>315</v>
      </c>
      <c r="B75" s="52">
        <f>装备拆分数值生成!Z29</f>
        <v>0</v>
      </c>
      <c r="C75" s="52">
        <f>装备拆分数值生成!AA29</f>
        <v>0</v>
      </c>
      <c r="D75" s="52">
        <v>0</v>
      </c>
      <c r="E75" s="52">
        <f>装备拆分数值生成!AB29</f>
        <v>0</v>
      </c>
      <c r="F75" s="52">
        <f>装备拆分数值生成!Y29</f>
        <v>36.166666666666664</v>
      </c>
    </row>
    <row r="76" spans="1:6">
      <c r="A76">
        <f t="shared" si="0"/>
        <v>316</v>
      </c>
      <c r="B76" s="52">
        <f>装备拆分数值生成!Z35</f>
        <v>0</v>
      </c>
      <c r="C76" s="52">
        <f>装备拆分数值生成!AA35</f>
        <v>0</v>
      </c>
      <c r="D76" s="52">
        <v>0</v>
      </c>
      <c r="E76" s="52">
        <f>装备拆分数值生成!AB35</f>
        <v>7.0666666666666673</v>
      </c>
      <c r="F76" s="52">
        <f>装备拆分数值生成!Y35</f>
        <v>14.466666666666667</v>
      </c>
    </row>
    <row r="77" spans="1:6">
      <c r="A77">
        <f t="shared" si="0"/>
        <v>321</v>
      </c>
      <c r="B77" s="52">
        <f>装备拆分数值生成!Z6</f>
        <v>21.266666666666666</v>
      </c>
      <c r="C77" s="52">
        <f>装备拆分数值生成!AA6</f>
        <v>21.266666666666666</v>
      </c>
      <c r="D77" s="52">
        <v>0</v>
      </c>
      <c r="E77" s="52">
        <f>装备拆分数值生成!AB6</f>
        <v>0</v>
      </c>
      <c r="F77" s="52">
        <f>装备拆分数值生成!Y6</f>
        <v>0</v>
      </c>
    </row>
    <row r="78" spans="1:6">
      <c r="A78">
        <f t="shared" si="0"/>
        <v>322</v>
      </c>
      <c r="B78" s="52">
        <f>装备拆分数值生成!Z12</f>
        <v>0</v>
      </c>
      <c r="C78" s="52">
        <f>装备拆分数值生成!AA12</f>
        <v>0</v>
      </c>
      <c r="D78" s="52">
        <v>0</v>
      </c>
      <c r="E78" s="52">
        <f>装备拆分数值生成!AB12</f>
        <v>0</v>
      </c>
      <c r="F78" s="52">
        <f>装备拆分数值生成!Y12</f>
        <v>90.666666666666671</v>
      </c>
    </row>
    <row r="79" spans="1:6">
      <c r="A79">
        <f t="shared" si="0"/>
        <v>323</v>
      </c>
      <c r="B79" s="52">
        <f>装备拆分数值生成!Z18</f>
        <v>0</v>
      </c>
      <c r="C79" s="52">
        <f>装备拆分数值生成!AA18</f>
        <v>0</v>
      </c>
      <c r="D79" s="52">
        <v>0</v>
      </c>
      <c r="E79" s="52">
        <f>装备拆分数值生成!AB18</f>
        <v>22.133333333333329</v>
      </c>
      <c r="F79" s="52">
        <f>装备拆分数值生成!Y18</f>
        <v>0</v>
      </c>
    </row>
    <row r="80" spans="1:6">
      <c r="A80">
        <f t="shared" si="0"/>
        <v>324</v>
      </c>
      <c r="B80" s="52">
        <f>装备拆分数值生成!Z24</f>
        <v>0</v>
      </c>
      <c r="C80" s="52">
        <f>装备拆分数值生成!AA24</f>
        <v>0</v>
      </c>
      <c r="D80" s="52">
        <v>0</v>
      </c>
      <c r="E80" s="52">
        <f>装备拆分数值生成!AB24</f>
        <v>16.599999999999998</v>
      </c>
      <c r="F80" s="52">
        <f>装备拆分数值生成!Y24</f>
        <v>0</v>
      </c>
    </row>
    <row r="81" spans="1:6">
      <c r="A81">
        <f t="shared" si="0"/>
        <v>325</v>
      </c>
      <c r="B81" s="52">
        <f>装备拆分数值生成!Z30</f>
        <v>0</v>
      </c>
      <c r="C81" s="52">
        <f>装备拆分数值生成!AA30</f>
        <v>0</v>
      </c>
      <c r="D81" s="52">
        <v>0</v>
      </c>
      <c r="E81" s="52">
        <f>装备拆分数值生成!AB30</f>
        <v>0</v>
      </c>
      <c r="F81" s="52">
        <f>装备拆分数值生成!Y30</f>
        <v>56.666666666666664</v>
      </c>
    </row>
    <row r="82" spans="1:6">
      <c r="A82">
        <f t="shared" si="0"/>
        <v>326</v>
      </c>
      <c r="B82" s="52">
        <f>装备拆分数值生成!Z36</f>
        <v>0</v>
      </c>
      <c r="C82" s="52">
        <f>装备拆分数值生成!AA36</f>
        <v>0</v>
      </c>
      <c r="D82" s="52">
        <v>0</v>
      </c>
      <c r="E82" s="52">
        <f>装备拆分数值生成!AB36</f>
        <v>11.066666666666665</v>
      </c>
      <c r="F82" s="52">
        <f>装备拆分数值生成!Y36</f>
        <v>22.666666666666668</v>
      </c>
    </row>
    <row r="83" spans="1:6">
      <c r="A83">
        <f t="shared" si="0"/>
        <v>331</v>
      </c>
      <c r="B83" s="52">
        <f>装备拆分数值生成!Z7</f>
        <v>53.655555555555559</v>
      </c>
      <c r="C83" s="52">
        <f>装备拆分数值生成!AA7</f>
        <v>53.655555555555559</v>
      </c>
      <c r="D83" s="52">
        <v>0</v>
      </c>
      <c r="E83" s="52">
        <f>装备拆分数值生成!AB7</f>
        <v>0</v>
      </c>
      <c r="F83" s="52">
        <f>装备拆分数值生成!Y7</f>
        <v>0</v>
      </c>
    </row>
    <row r="84" spans="1:6">
      <c r="A84">
        <f t="shared" si="0"/>
        <v>332</v>
      </c>
      <c r="B84" s="52">
        <f>装备拆分数值生成!Z13</f>
        <v>0</v>
      </c>
      <c r="C84" s="52">
        <f>装备拆分数值生成!AA13</f>
        <v>0</v>
      </c>
      <c r="D84" s="52">
        <v>0</v>
      </c>
      <c r="E84" s="52">
        <f>装备拆分数值生成!AB13</f>
        <v>0</v>
      </c>
      <c r="F84" s="52">
        <f>装备拆分数值生成!Y13</f>
        <v>228.8</v>
      </c>
    </row>
    <row r="85" spans="1:6">
      <c r="A85">
        <f t="shared" si="0"/>
        <v>333</v>
      </c>
      <c r="B85" s="52">
        <f>装备拆分数值生成!Z19</f>
        <v>0</v>
      </c>
      <c r="C85" s="52">
        <f>装备拆分数值生成!AA19</f>
        <v>0</v>
      </c>
      <c r="D85" s="52">
        <v>0</v>
      </c>
      <c r="E85" s="52">
        <f>装备拆分数值生成!AB19</f>
        <v>55.866666666666667</v>
      </c>
      <c r="F85" s="52">
        <f>装备拆分数值生成!Y19</f>
        <v>0</v>
      </c>
    </row>
    <row r="86" spans="1:6">
      <c r="A86">
        <f t="shared" si="0"/>
        <v>334</v>
      </c>
      <c r="B86" s="52">
        <f>装备拆分数值生成!Z25</f>
        <v>0</v>
      </c>
      <c r="C86" s="52">
        <f>装备拆分数值生成!AA25</f>
        <v>0</v>
      </c>
      <c r="D86" s="52">
        <v>0</v>
      </c>
      <c r="E86" s="52">
        <f>装备拆分数值生成!AB25</f>
        <v>41.900000000000006</v>
      </c>
      <c r="F86" s="52">
        <f>装备拆分数值生成!Y25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143</v>
      </c>
    </row>
    <row r="88" spans="1:6">
      <c r="A88">
        <f t="shared" si="0"/>
        <v>336</v>
      </c>
      <c r="B88" s="52">
        <f>装备拆分数值生成!Z37</f>
        <v>0</v>
      </c>
      <c r="C88" s="52">
        <f>装备拆分数值生成!AA37</f>
        <v>0</v>
      </c>
      <c r="D88" s="52">
        <v>0</v>
      </c>
      <c r="E88" s="52">
        <f>装备拆分数值生成!AB37</f>
        <v>27.933333333333334</v>
      </c>
      <c r="F88" s="52">
        <f>装备拆分数值生成!Y37</f>
        <v>57.2</v>
      </c>
    </row>
    <row r="89" spans="1:6">
      <c r="A89">
        <f>A59+100</f>
        <v>341</v>
      </c>
      <c r="B89" s="52">
        <f>装备拆分数值生成!Z8</f>
        <v>117.15</v>
      </c>
      <c r="C89" s="52">
        <f>装备拆分数值生成!AA8</f>
        <v>117.15</v>
      </c>
      <c r="D89" s="52">
        <v>0</v>
      </c>
      <c r="E89" s="52">
        <f>装备拆分数值生成!AB8</f>
        <v>0</v>
      </c>
      <c r="F89" s="52">
        <f>装备拆分数值生成!Y8</f>
        <v>0</v>
      </c>
    </row>
    <row r="90" spans="1:6">
      <c r="A90">
        <f t="shared" si="0"/>
        <v>342</v>
      </c>
      <c r="B90" s="52">
        <f>装备拆分数值生成!Z14</f>
        <v>0</v>
      </c>
      <c r="C90" s="52">
        <f>装备拆分数值生成!AA14</f>
        <v>0</v>
      </c>
      <c r="D90" s="52">
        <v>0</v>
      </c>
      <c r="E90" s="52">
        <f>装备拆分数值生成!AB14</f>
        <v>0</v>
      </c>
      <c r="F90" s="52">
        <f>装备拆分数值生成!Y14</f>
        <v>499.82222222222231</v>
      </c>
    </row>
    <row r="91" spans="1:6">
      <c r="A91">
        <f t="shared" si="0"/>
        <v>343</v>
      </c>
      <c r="B91" s="52">
        <f>装备拆分数值生成!Z20</f>
        <v>0</v>
      </c>
      <c r="C91" s="52">
        <f>装备拆分数值生成!AA20</f>
        <v>0</v>
      </c>
      <c r="D91" s="52">
        <v>0</v>
      </c>
      <c r="E91" s="52">
        <f>装备拆分数值生成!AB20</f>
        <v>122</v>
      </c>
      <c r="F91" s="52">
        <f>装备拆分数值生成!Y20</f>
        <v>0</v>
      </c>
    </row>
    <row r="92" spans="1:6">
      <c r="A92">
        <f t="shared" si="0"/>
        <v>344</v>
      </c>
      <c r="B92" s="52">
        <f>装备拆分数值生成!Z26</f>
        <v>0</v>
      </c>
      <c r="C92" s="52">
        <f>装备拆分数值生成!AA26</f>
        <v>0</v>
      </c>
      <c r="D92" s="52">
        <v>0</v>
      </c>
      <c r="E92" s="52">
        <f>装备拆分数值生成!AB26</f>
        <v>91.5</v>
      </c>
      <c r="F92" s="52">
        <f>装备拆分数值生成!Y26</f>
        <v>0</v>
      </c>
    </row>
    <row r="93" spans="1:6">
      <c r="A93">
        <f t="shared" si="0"/>
        <v>345</v>
      </c>
      <c r="B93" s="52">
        <f>装备拆分数值生成!Z32</f>
        <v>0</v>
      </c>
      <c r="C93" s="52">
        <f>装备拆分数值生成!AA32</f>
        <v>0</v>
      </c>
      <c r="D93" s="52">
        <v>0</v>
      </c>
      <c r="E93" s="52">
        <f>装备拆分数值生成!AB32</f>
        <v>0</v>
      </c>
      <c r="F93" s="52">
        <f>装备拆分数值生成!Y32</f>
        <v>312.38888888888891</v>
      </c>
    </row>
    <row r="94" spans="1:6">
      <c r="A94">
        <f t="shared" si="0"/>
        <v>346</v>
      </c>
      <c r="B94" s="52">
        <f>装备拆分数值生成!Z38</f>
        <v>0</v>
      </c>
      <c r="C94" s="52">
        <f>装备拆分数值生成!AA38</f>
        <v>0</v>
      </c>
      <c r="D94" s="52">
        <v>0</v>
      </c>
      <c r="E94" s="52">
        <f>装备拆分数值生成!AB38</f>
        <v>61</v>
      </c>
      <c r="F94" s="52">
        <f>装备拆分数值生成!Y38</f>
        <v>124.95555555555558</v>
      </c>
    </row>
    <row r="95" spans="1:6">
      <c r="A95">
        <f t="shared" si="0"/>
        <v>401</v>
      </c>
      <c r="B95" s="52">
        <f>装备拆分数值生成!AG4</f>
        <v>9.6666666666666661</v>
      </c>
      <c r="C95" s="52">
        <f>装备拆分数值生成!AH4</f>
        <v>9.6666666666666661</v>
      </c>
      <c r="D95" s="52">
        <v>0</v>
      </c>
      <c r="E95" s="52">
        <f>装备拆分数值生成!AI4</f>
        <v>0</v>
      </c>
      <c r="F95" s="52">
        <f>装备拆分数值生成!AF4</f>
        <v>0</v>
      </c>
    </row>
    <row r="96" spans="1:6">
      <c r="A96">
        <f>A66+100</f>
        <v>402</v>
      </c>
      <c r="B96" s="52">
        <f>装备拆分数值生成!AG10</f>
        <v>0</v>
      </c>
      <c r="C96" s="52">
        <f>装备拆分数值生成!AH10</f>
        <v>0</v>
      </c>
      <c r="D96" s="52">
        <v>0</v>
      </c>
      <c r="E96" s="52">
        <f>装备拆分数值生成!AI10</f>
        <v>0</v>
      </c>
      <c r="F96" s="52">
        <f>装备拆分数值生成!AF10</f>
        <v>23.555555555555557</v>
      </c>
    </row>
    <row r="97" spans="1:6">
      <c r="A97">
        <f>A67+100</f>
        <v>403</v>
      </c>
      <c r="B97" s="52">
        <f>装备拆分数值生成!AG16</f>
        <v>0</v>
      </c>
      <c r="C97" s="52">
        <f>装备拆分数值生成!AH16</f>
        <v>0</v>
      </c>
      <c r="D97" s="52">
        <v>0</v>
      </c>
      <c r="E97" s="52">
        <f>装备拆分数值生成!AI16</f>
        <v>7.666666666666667</v>
      </c>
      <c r="F97" s="52">
        <f>装备拆分数值生成!AF16</f>
        <v>0</v>
      </c>
    </row>
    <row r="98" spans="1:6">
      <c r="A98">
        <f t="shared" ref="A98:A124" si="1">A68+100</f>
        <v>404</v>
      </c>
      <c r="B98" s="52">
        <f>装备拆分数值生成!AG22</f>
        <v>0</v>
      </c>
      <c r="C98" s="52">
        <f>装备拆分数值生成!AH22</f>
        <v>0</v>
      </c>
      <c r="D98" s="52">
        <v>0</v>
      </c>
      <c r="E98" s="52">
        <f>装备拆分数值生成!AI22</f>
        <v>4.5999999999999996</v>
      </c>
      <c r="F98" s="52">
        <f>装备拆分数值生成!AF22</f>
        <v>0</v>
      </c>
    </row>
    <row r="99" spans="1:6">
      <c r="A99">
        <f t="shared" si="1"/>
        <v>405</v>
      </c>
      <c r="B99" s="52">
        <f>装备拆分数值生成!AG28</f>
        <v>0</v>
      </c>
      <c r="C99" s="52">
        <f>装备拆分数值生成!AH28</f>
        <v>3.2222222222222223</v>
      </c>
      <c r="D99" s="52">
        <v>0</v>
      </c>
      <c r="E99" s="52">
        <f>装备拆分数值生成!AI28</f>
        <v>0</v>
      </c>
      <c r="F99" s="52">
        <f>装备拆分数值生成!AF28</f>
        <v>14.133333333333335</v>
      </c>
    </row>
    <row r="100" spans="1:6">
      <c r="A100">
        <f t="shared" si="1"/>
        <v>406</v>
      </c>
      <c r="B100" s="52">
        <f>装备拆分数值生成!AG34</f>
        <v>0</v>
      </c>
      <c r="C100" s="52">
        <f>装备拆分数值生成!AH34</f>
        <v>0</v>
      </c>
      <c r="D100" s="52">
        <v>0</v>
      </c>
      <c r="E100" s="52">
        <f>装备拆分数值生成!AI34</f>
        <v>1.5333333333333334</v>
      </c>
      <c r="F100" s="52">
        <f>装备拆分数值生成!AF34</f>
        <v>9.4222222222222225</v>
      </c>
    </row>
    <row r="101" spans="1:6">
      <c r="A101">
        <f t="shared" si="1"/>
        <v>411</v>
      </c>
      <c r="B101" s="52">
        <f>装备拆分数值生成!AG5</f>
        <v>14.8</v>
      </c>
      <c r="C101" s="52">
        <f>装备拆分数值生成!AH5</f>
        <v>14.8</v>
      </c>
      <c r="D101" s="52">
        <v>0</v>
      </c>
      <c r="E101" s="52">
        <f>装备拆分数值生成!AI5</f>
        <v>0</v>
      </c>
      <c r="F101" s="52">
        <f>装备拆分数值生成!AF5</f>
        <v>0</v>
      </c>
    </row>
    <row r="102" spans="1:6">
      <c r="A102">
        <f t="shared" si="1"/>
        <v>412</v>
      </c>
      <c r="B102" s="52">
        <f>装备拆分数值生成!AG11</f>
        <v>0</v>
      </c>
      <c r="C102" s="52">
        <f>装备拆分数值生成!AH11</f>
        <v>0</v>
      </c>
      <c r="D102" s="52">
        <v>0</v>
      </c>
      <c r="E102" s="52">
        <f>装备拆分数值生成!AI11</f>
        <v>0</v>
      </c>
      <c r="F102" s="52">
        <f>装备拆分数值生成!AF11</f>
        <v>36.166666666666664</v>
      </c>
    </row>
    <row r="103" spans="1:6">
      <c r="A103">
        <f t="shared" si="1"/>
        <v>413</v>
      </c>
      <c r="B103" s="52">
        <f>装备拆分数值生成!AG17</f>
        <v>0</v>
      </c>
      <c r="C103" s="52">
        <f>装备拆分数值生成!AH17</f>
        <v>0</v>
      </c>
      <c r="D103" s="52">
        <v>0</v>
      </c>
      <c r="E103" s="52">
        <f>装备拆分数值生成!AI17</f>
        <v>11.777777777777779</v>
      </c>
      <c r="F103" s="52">
        <f>装备拆分数值生成!AF17</f>
        <v>0</v>
      </c>
    </row>
    <row r="104" spans="1:6">
      <c r="A104">
        <f t="shared" si="1"/>
        <v>414</v>
      </c>
      <c r="B104" s="52">
        <f>装备拆分数值生成!AG23</f>
        <v>0</v>
      </c>
      <c r="C104" s="52">
        <f>装备拆分数值生成!AH23</f>
        <v>0</v>
      </c>
      <c r="D104" s="52">
        <v>0</v>
      </c>
      <c r="E104" s="52">
        <f>装备拆分数值生成!AI23</f>
        <v>7.0666666666666673</v>
      </c>
      <c r="F104" s="52">
        <f>装备拆分数值生成!AF23</f>
        <v>0</v>
      </c>
    </row>
    <row r="105" spans="1:6">
      <c r="A105">
        <f t="shared" si="1"/>
        <v>415</v>
      </c>
      <c r="B105" s="52">
        <f>装备拆分数值生成!AG29</f>
        <v>0</v>
      </c>
      <c r="C105" s="52">
        <f>装备拆分数值生成!AH29</f>
        <v>4.9333333333333336</v>
      </c>
      <c r="D105" s="52">
        <v>0</v>
      </c>
      <c r="E105" s="52">
        <f>装备拆分数值生成!AI29</f>
        <v>0</v>
      </c>
      <c r="F105" s="52">
        <f>装备拆分数值生成!AF29</f>
        <v>21.7</v>
      </c>
    </row>
    <row r="106" spans="1:6">
      <c r="A106">
        <f t="shared" si="1"/>
        <v>416</v>
      </c>
      <c r="B106" s="52">
        <f>装备拆分数值生成!AG35</f>
        <v>0</v>
      </c>
      <c r="C106" s="52">
        <f>装备拆分数值生成!AH35</f>
        <v>0</v>
      </c>
      <c r="D106" s="52">
        <v>0</v>
      </c>
      <c r="E106" s="52">
        <f>装备拆分数值生成!AI35</f>
        <v>2.3555555555555556</v>
      </c>
      <c r="F106" s="52">
        <f>装备拆分数值生成!AF35</f>
        <v>14.466666666666667</v>
      </c>
    </row>
    <row r="107" spans="1:6">
      <c r="A107">
        <f t="shared" si="1"/>
        <v>421</v>
      </c>
      <c r="B107" s="52">
        <f>装备拆分数值生成!AG6</f>
        <v>23.2</v>
      </c>
      <c r="C107" s="52">
        <f>装备拆分数值生成!AH6</f>
        <v>23.2</v>
      </c>
      <c r="D107" s="52">
        <v>0</v>
      </c>
      <c r="E107" s="52">
        <f>装备拆分数值生成!AI6</f>
        <v>0</v>
      </c>
      <c r="F107" s="52">
        <f>装备拆分数值生成!AF6</f>
        <v>0</v>
      </c>
    </row>
    <row r="108" spans="1:6">
      <c r="A108">
        <f t="shared" si="1"/>
        <v>422</v>
      </c>
      <c r="B108" s="52">
        <f>装备拆分数值生成!AG12</f>
        <v>0</v>
      </c>
      <c r="C108" s="52">
        <f>装备拆分数值生成!AH12</f>
        <v>0</v>
      </c>
      <c r="D108" s="52">
        <v>0</v>
      </c>
      <c r="E108" s="52">
        <f>装备拆分数值生成!AI12</f>
        <v>0</v>
      </c>
      <c r="F108" s="52">
        <f>装备拆分数值生成!AF12</f>
        <v>56.666666666666664</v>
      </c>
    </row>
    <row r="109" spans="1:6">
      <c r="A109">
        <f t="shared" si="1"/>
        <v>423</v>
      </c>
      <c r="B109" s="52">
        <f>装备拆分数值生成!AG18</f>
        <v>0</v>
      </c>
      <c r="C109" s="52">
        <f>装备拆分数值生成!AH18</f>
        <v>0</v>
      </c>
      <c r="D109" s="52">
        <v>0</v>
      </c>
      <c r="E109" s="52">
        <f>装备拆分数值生成!AI18</f>
        <v>18.444444444444443</v>
      </c>
      <c r="F109" s="52">
        <f>装备拆分数值生成!AF18</f>
        <v>0</v>
      </c>
    </row>
    <row r="110" spans="1:6">
      <c r="A110">
        <f t="shared" si="1"/>
        <v>424</v>
      </c>
      <c r="B110" s="52">
        <f>装备拆分数值生成!AG24</f>
        <v>0</v>
      </c>
      <c r="C110" s="52">
        <f>装备拆分数值生成!AH24</f>
        <v>0</v>
      </c>
      <c r="D110" s="52">
        <v>0</v>
      </c>
      <c r="E110" s="52">
        <f>装备拆分数值生成!AI24</f>
        <v>11.066666666666665</v>
      </c>
      <c r="F110" s="52">
        <f>装备拆分数值生成!AF24</f>
        <v>0</v>
      </c>
    </row>
    <row r="111" spans="1:6">
      <c r="A111">
        <f t="shared" si="1"/>
        <v>425</v>
      </c>
      <c r="B111" s="52">
        <f>装备拆分数值生成!AG30</f>
        <v>0</v>
      </c>
      <c r="C111" s="52">
        <f>装备拆分数值生成!AH30</f>
        <v>7.7333333333333334</v>
      </c>
      <c r="D111" s="52">
        <v>0</v>
      </c>
      <c r="E111" s="52">
        <f>装备拆分数值生成!AI30</f>
        <v>0</v>
      </c>
      <c r="F111" s="52">
        <f>装备拆分数值生成!AF30</f>
        <v>34</v>
      </c>
    </row>
    <row r="112" spans="1:6">
      <c r="A112">
        <f t="shared" si="1"/>
        <v>426</v>
      </c>
      <c r="B112" s="52">
        <f>装备拆分数值生成!AG36</f>
        <v>0</v>
      </c>
      <c r="C112" s="52">
        <f>装备拆分数值生成!AH36</f>
        <v>0</v>
      </c>
      <c r="D112" s="52">
        <v>0</v>
      </c>
      <c r="E112" s="52">
        <f>装备拆分数值生成!AI36</f>
        <v>3.6888888888888887</v>
      </c>
      <c r="F112" s="52">
        <f>装备拆分数值生成!AF36</f>
        <v>22.666666666666668</v>
      </c>
    </row>
    <row r="113" spans="1:6">
      <c r="A113">
        <f t="shared" si="1"/>
        <v>431</v>
      </c>
      <c r="B113" s="52">
        <f>装备拆分数值生成!AG7</f>
        <v>58.533333333333331</v>
      </c>
      <c r="C113" s="52">
        <f>装备拆分数值生成!AH7</f>
        <v>58.533333333333331</v>
      </c>
      <c r="D113" s="52">
        <v>0</v>
      </c>
      <c r="E113" s="52">
        <f>装备拆分数值生成!AI7</f>
        <v>0</v>
      </c>
      <c r="F113" s="52">
        <f>装备拆分数值生成!AF7</f>
        <v>0</v>
      </c>
    </row>
    <row r="114" spans="1:6">
      <c r="A114">
        <f t="shared" si="1"/>
        <v>432</v>
      </c>
      <c r="B114" s="52">
        <f>装备拆分数值生成!AG13</f>
        <v>0</v>
      </c>
      <c r="C114" s="52">
        <f>装备拆分数值生成!AH13</f>
        <v>0</v>
      </c>
      <c r="D114" s="52">
        <v>0</v>
      </c>
      <c r="E114" s="52">
        <f>装备拆分数值生成!AI13</f>
        <v>0</v>
      </c>
      <c r="F114" s="52">
        <f>装备拆分数值生成!AF13</f>
        <v>143</v>
      </c>
    </row>
    <row r="115" spans="1:6">
      <c r="A115">
        <f t="shared" si="1"/>
        <v>433</v>
      </c>
      <c r="B115" s="52">
        <f>装备拆分数值生成!AG19</f>
        <v>0</v>
      </c>
      <c r="C115" s="52">
        <f>装备拆分数值生成!AH19</f>
        <v>0</v>
      </c>
      <c r="D115" s="52">
        <v>0</v>
      </c>
      <c r="E115" s="52">
        <f>装备拆分数值生成!AI19</f>
        <v>46.555555555555557</v>
      </c>
      <c r="F115" s="52">
        <f>装备拆分数值生成!AF19</f>
        <v>0</v>
      </c>
    </row>
    <row r="116" spans="1:6">
      <c r="A116">
        <f t="shared" si="1"/>
        <v>434</v>
      </c>
      <c r="B116" s="52">
        <f>装备拆分数值生成!AG25</f>
        <v>0</v>
      </c>
      <c r="C116" s="52">
        <f>装备拆分数值生成!AH25</f>
        <v>0</v>
      </c>
      <c r="D116" s="52">
        <v>0</v>
      </c>
      <c r="E116" s="52">
        <f>装备拆分数值生成!AI25</f>
        <v>27.933333333333334</v>
      </c>
      <c r="F116" s="52">
        <f>装备拆分数值生成!AF25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19.511111111111113</v>
      </c>
      <c r="D117" s="52">
        <v>0</v>
      </c>
      <c r="E117" s="52">
        <f>装备拆分数值生成!AI31</f>
        <v>0</v>
      </c>
      <c r="F117" s="52">
        <f>装备拆分数值生成!AF31</f>
        <v>85.8</v>
      </c>
    </row>
    <row r="118" spans="1:6">
      <c r="A118">
        <f t="shared" si="1"/>
        <v>436</v>
      </c>
      <c r="B118" s="52">
        <f>装备拆分数值生成!AG37</f>
        <v>0</v>
      </c>
      <c r="C118" s="52">
        <f>装备拆分数值生成!AH37</f>
        <v>0</v>
      </c>
      <c r="D118" s="52">
        <v>0</v>
      </c>
      <c r="E118" s="52">
        <f>装备拆分数值生成!AI37</f>
        <v>9.3111111111111118</v>
      </c>
      <c r="F118" s="52">
        <f>装备拆分数值生成!AF37</f>
        <v>57.2</v>
      </c>
    </row>
    <row r="119" spans="1:6">
      <c r="A119">
        <f>A89+100</f>
        <v>441</v>
      </c>
      <c r="B119" s="52">
        <f>装备拆分数值生成!AG8</f>
        <v>127.8</v>
      </c>
      <c r="C119" s="52">
        <f>装备拆分数值生成!AH8</f>
        <v>127.8</v>
      </c>
      <c r="D119" s="52">
        <v>0</v>
      </c>
      <c r="E119" s="52">
        <f>装备拆分数值生成!AI8</f>
        <v>0</v>
      </c>
      <c r="F119" s="52">
        <f>装备拆分数值生成!AF8</f>
        <v>0</v>
      </c>
    </row>
    <row r="120" spans="1:6">
      <c r="A120">
        <f t="shared" si="1"/>
        <v>442</v>
      </c>
      <c r="B120" s="52">
        <f>装备拆分数值生成!AG14</f>
        <v>0</v>
      </c>
      <c r="C120" s="52">
        <f>装备拆分数值生成!AH14</f>
        <v>0</v>
      </c>
      <c r="D120" s="52">
        <v>0</v>
      </c>
      <c r="E120" s="52">
        <f>装备拆分数值生成!AI14</f>
        <v>0</v>
      </c>
      <c r="F120" s="52">
        <f>装备拆分数值生成!AF14</f>
        <v>312.38888888888891</v>
      </c>
    </row>
    <row r="121" spans="1:6">
      <c r="A121">
        <f t="shared" si="1"/>
        <v>443</v>
      </c>
      <c r="B121" s="52">
        <f>装备拆分数值生成!AG20</f>
        <v>0</v>
      </c>
      <c r="C121" s="52">
        <f>装备拆分数值生成!AH20</f>
        <v>0</v>
      </c>
      <c r="D121" s="52">
        <v>0</v>
      </c>
      <c r="E121" s="52">
        <f>装备拆分数值生成!AI20</f>
        <v>101.66666666666667</v>
      </c>
      <c r="F121" s="52">
        <f>装备拆分数值生成!AF20</f>
        <v>0</v>
      </c>
    </row>
    <row r="122" spans="1:6">
      <c r="A122">
        <f t="shared" si="1"/>
        <v>444</v>
      </c>
      <c r="B122" s="52">
        <f>装备拆分数值生成!AG26</f>
        <v>0</v>
      </c>
      <c r="C122" s="52">
        <f>装备拆分数值生成!AH26</f>
        <v>0</v>
      </c>
      <c r="D122" s="52">
        <v>0</v>
      </c>
      <c r="E122" s="52">
        <f>装备拆分数值生成!AI26</f>
        <v>61</v>
      </c>
      <c r="F122" s="52">
        <f>装备拆分数值生成!AF26</f>
        <v>0</v>
      </c>
    </row>
    <row r="123" spans="1:6">
      <c r="A123">
        <f t="shared" si="1"/>
        <v>445</v>
      </c>
      <c r="B123" s="52">
        <f>装备拆分数值生成!AG32</f>
        <v>0</v>
      </c>
      <c r="C123" s="52">
        <f>装备拆分数值生成!AH32</f>
        <v>42.6</v>
      </c>
      <c r="D123" s="52">
        <v>0</v>
      </c>
      <c r="E123" s="52">
        <f>装备拆分数值生成!AI32</f>
        <v>0</v>
      </c>
      <c r="F123" s="52">
        <f>装备拆分数值生成!AF32</f>
        <v>187.43333333333334</v>
      </c>
    </row>
    <row r="124" spans="1:6">
      <c r="A124">
        <f t="shared" si="1"/>
        <v>446</v>
      </c>
      <c r="B124" s="52">
        <f>装备拆分数值生成!AG38</f>
        <v>0</v>
      </c>
      <c r="C124" s="52">
        <f>装备拆分数值生成!AH38</f>
        <v>0</v>
      </c>
      <c r="D124" s="52">
        <v>0</v>
      </c>
      <c r="E124" s="52">
        <f>装备拆分数值生成!AI38</f>
        <v>20.333333333333336</v>
      </c>
      <c r="F124" s="52">
        <f>装备拆分数值生成!AF38</f>
        <v>124.95555555555558</v>
      </c>
    </row>
    <row r="125" spans="1:6">
      <c r="A125">
        <v>10101</v>
      </c>
      <c r="B125" s="52">
        <f>装备拆分数值生成!L40</f>
        <v>148.80000000000001</v>
      </c>
      <c r="C125" s="52">
        <f>装备拆分数值生成!M40</f>
        <v>74.400000000000006</v>
      </c>
      <c r="D125" s="52">
        <v>0</v>
      </c>
      <c r="E125" s="52">
        <f>装备拆分数值生成!N40</f>
        <v>0</v>
      </c>
      <c r="F125" s="52">
        <f>装备拆分数值生成!K40</f>
        <v>0</v>
      </c>
    </row>
    <row r="126" spans="1:6">
      <c r="A126">
        <v>10102</v>
      </c>
      <c r="B126" s="52">
        <f>装备拆分数值生成!L46</f>
        <v>0</v>
      </c>
      <c r="C126" s="52">
        <f>装备拆分数值生成!M46</f>
        <v>0</v>
      </c>
      <c r="D126" s="52">
        <v>0</v>
      </c>
      <c r="E126" s="52">
        <f>装备拆分数值生成!N46</f>
        <v>0</v>
      </c>
      <c r="F126" s="52">
        <f>装备拆分数值生成!K46</f>
        <v>272.75</v>
      </c>
    </row>
    <row r="127" spans="1:6">
      <c r="A127">
        <v>10103</v>
      </c>
      <c r="B127" s="52">
        <f>装备拆分数值生成!L52</f>
        <v>0</v>
      </c>
      <c r="C127" s="52">
        <f>装备拆分数值生成!M52</f>
        <v>0</v>
      </c>
      <c r="D127" s="52">
        <v>0</v>
      </c>
      <c r="E127" s="52">
        <f>装备拆分数值生成!N52</f>
        <v>71</v>
      </c>
      <c r="F127" s="52">
        <f>装备拆分数值生成!K52</f>
        <v>0</v>
      </c>
    </row>
    <row r="128" spans="1:6">
      <c r="A128">
        <v>10104</v>
      </c>
      <c r="B128" s="52">
        <f>装备拆分数值生成!L58</f>
        <v>37.200000000000003</v>
      </c>
      <c r="C128" s="52">
        <f>装备拆分数值生成!M58</f>
        <v>0</v>
      </c>
      <c r="D128" s="52">
        <v>0</v>
      </c>
      <c r="E128" s="52">
        <f>装备拆分数值生成!N58</f>
        <v>53.25</v>
      </c>
      <c r="F128" s="52">
        <f>装备拆分数值生成!K58</f>
        <v>0</v>
      </c>
    </row>
    <row r="129" spans="1:6">
      <c r="A129">
        <v>10105</v>
      </c>
      <c r="B129" s="52">
        <f>装备拆分数值生成!L64</f>
        <v>0</v>
      </c>
      <c r="C129" s="52">
        <f>装备拆分数值生成!M64</f>
        <v>18.600000000000001</v>
      </c>
      <c r="D129" s="52">
        <v>0</v>
      </c>
      <c r="E129" s="52">
        <f>装备拆分数值生成!N64</f>
        <v>0</v>
      </c>
      <c r="F129" s="52">
        <f>装备拆分数值生成!K64</f>
        <v>218.20000000000002</v>
      </c>
    </row>
    <row r="130" spans="1:6">
      <c r="A130">
        <v>10106</v>
      </c>
      <c r="B130" s="52">
        <f>装备拆分数值生成!L70</f>
        <v>74.400000000000006</v>
      </c>
      <c r="C130" s="52">
        <f>装备拆分数值生成!M70</f>
        <v>0</v>
      </c>
      <c r="D130" s="52">
        <v>0</v>
      </c>
      <c r="E130" s="52">
        <f>装备拆分数值生成!N70</f>
        <v>0</v>
      </c>
      <c r="F130" s="52">
        <f>装备拆分数值生成!K70</f>
        <v>54.550000000000004</v>
      </c>
    </row>
    <row r="131" spans="1:6">
      <c r="A131">
        <v>10111</v>
      </c>
      <c r="B131" s="52">
        <f>装备拆分数值生成!L41</f>
        <v>280.44038399999999</v>
      </c>
      <c r="C131" s="52">
        <f>装备拆分数值生成!M41</f>
        <v>140.220192</v>
      </c>
      <c r="D131" s="52">
        <v>0</v>
      </c>
      <c r="E131" s="52">
        <f>装备拆分数值生成!N41</f>
        <v>0</v>
      </c>
      <c r="F131" s="52">
        <f>装备拆分数值生成!K41</f>
        <v>0</v>
      </c>
    </row>
    <row r="132" spans="1:6">
      <c r="A132">
        <v>10112</v>
      </c>
      <c r="B132" s="52">
        <f>装备拆分数值生成!L47</f>
        <v>0</v>
      </c>
      <c r="C132" s="52">
        <f>装备拆分数值生成!M47</f>
        <v>0</v>
      </c>
      <c r="D132" s="52">
        <v>0</v>
      </c>
      <c r="E132" s="52">
        <f>装备拆分数值生成!N47</f>
        <v>0</v>
      </c>
      <c r="F132" s="52">
        <f>装备拆分数值生成!K47</f>
        <v>514.04647</v>
      </c>
    </row>
    <row r="133" spans="1:6">
      <c r="A133">
        <v>10113</v>
      </c>
      <c r="B133" s="52">
        <f>装备拆分数值生成!L53</f>
        <v>0</v>
      </c>
      <c r="C133" s="52">
        <f>装备拆分数值生成!M53</f>
        <v>0</v>
      </c>
      <c r="D133" s="52">
        <v>0</v>
      </c>
      <c r="E133" s="52">
        <f>装备拆分数值生成!N53</f>
        <v>133.81227999999999</v>
      </c>
      <c r="F133" s="52">
        <f>装备拆分数值生成!K53</f>
        <v>0</v>
      </c>
    </row>
    <row r="134" spans="1:6">
      <c r="A134">
        <v>10114</v>
      </c>
      <c r="B134" s="52">
        <f>装备拆分数值生成!L59</f>
        <v>70.110095999999999</v>
      </c>
      <c r="C134" s="52">
        <f>装备拆分数值生成!M59</f>
        <v>0</v>
      </c>
      <c r="D134" s="52">
        <v>0</v>
      </c>
      <c r="E134" s="52">
        <f>装备拆分数值生成!N59</f>
        <v>100.35920999999999</v>
      </c>
      <c r="F134" s="52">
        <f>装备拆分数值生成!K59</f>
        <v>0</v>
      </c>
    </row>
    <row r="135" spans="1:6">
      <c r="A135">
        <v>10115</v>
      </c>
      <c r="B135" s="52">
        <f>装备拆分数值生成!L65</f>
        <v>0</v>
      </c>
      <c r="C135" s="52">
        <f>装备拆分数值生成!M65</f>
        <v>35.055047999999999</v>
      </c>
      <c r="D135" s="52">
        <v>0</v>
      </c>
      <c r="E135" s="52">
        <f>装备拆分数值生成!N65</f>
        <v>0</v>
      </c>
      <c r="F135" s="52">
        <f>装备拆分数值生成!K65</f>
        <v>411.23717600000003</v>
      </c>
    </row>
    <row r="136" spans="1:6">
      <c r="A136">
        <v>10116</v>
      </c>
      <c r="B136" s="52">
        <f>装备拆分数值生成!L71</f>
        <v>140.220192</v>
      </c>
      <c r="C136" s="52">
        <f>装备拆分数值生成!M71</f>
        <v>0</v>
      </c>
      <c r="D136" s="52">
        <v>0</v>
      </c>
      <c r="E136" s="52">
        <f>装备拆分数值生成!N71</f>
        <v>0</v>
      </c>
      <c r="F136" s="52">
        <f>装备拆分数值生成!K71</f>
        <v>102.80929400000001</v>
      </c>
    </row>
    <row r="137" spans="1:6">
      <c r="A137">
        <v>10121</v>
      </c>
      <c r="B137" s="52">
        <f>装备拆分数值生成!L42</f>
        <v>503.71099257600008</v>
      </c>
      <c r="C137" s="52">
        <f>装备拆分数值生成!M42</f>
        <v>251.85549628800004</v>
      </c>
      <c r="D137" s="52">
        <v>0</v>
      </c>
      <c r="E137" s="52">
        <f>装备拆分数值生成!N42</f>
        <v>0</v>
      </c>
      <c r="F137" s="52">
        <f>装备拆分数值生成!K42</f>
        <v>0</v>
      </c>
    </row>
    <row r="138" spans="1:6">
      <c r="A138">
        <v>10122</v>
      </c>
      <c r="B138" s="52">
        <f>装备拆分数值生成!L48</f>
        <v>0</v>
      </c>
      <c r="C138" s="52">
        <f>装备拆分数值生成!M48</f>
        <v>0</v>
      </c>
      <c r="D138" s="52">
        <v>0</v>
      </c>
      <c r="E138" s="52">
        <f>装备拆分数值生成!N48</f>
        <v>0</v>
      </c>
      <c r="F138" s="52">
        <f>装备拆分数值生成!K48</f>
        <v>923.30089533000012</v>
      </c>
    </row>
    <row r="139" spans="1:6">
      <c r="A139">
        <v>10123</v>
      </c>
      <c r="B139" s="52">
        <f>装备拆分数值生成!L54</f>
        <v>0</v>
      </c>
      <c r="C139" s="52">
        <f>装备拆分数值生成!M54</f>
        <v>0</v>
      </c>
      <c r="D139" s="52">
        <v>0</v>
      </c>
      <c r="E139" s="52">
        <f>装备拆分数值生成!N54</f>
        <v>240.34597092000004</v>
      </c>
      <c r="F139" s="52">
        <f>装备拆分数值生成!K54</f>
        <v>0</v>
      </c>
    </row>
    <row r="140" spans="1:6">
      <c r="A140">
        <v>10124</v>
      </c>
      <c r="B140" s="52">
        <f>装备拆分数值生成!L60</f>
        <v>125.92774814400002</v>
      </c>
      <c r="C140" s="52">
        <f>装备拆分数值生成!M60</f>
        <v>0</v>
      </c>
      <c r="D140" s="52">
        <v>0</v>
      </c>
      <c r="E140" s="52">
        <f>装备拆分数值生成!N60</f>
        <v>180.25947819000001</v>
      </c>
      <c r="F140" s="52">
        <f>装备拆分数值生成!K60</f>
        <v>0</v>
      </c>
    </row>
    <row r="141" spans="1:6">
      <c r="A141">
        <v>10125</v>
      </c>
      <c r="B141" s="52">
        <f>装备拆分数值生成!L66</f>
        <v>0</v>
      </c>
      <c r="C141" s="52">
        <f>装备拆分数值生成!M66</f>
        <v>62.96387407200001</v>
      </c>
      <c r="D141" s="52">
        <v>0</v>
      </c>
      <c r="E141" s="52">
        <f>装备拆分数值生成!N66</f>
        <v>0</v>
      </c>
      <c r="F141" s="52">
        <f>装备拆分数值生成!K66</f>
        <v>738.64071626400016</v>
      </c>
    </row>
    <row r="142" spans="1:6">
      <c r="A142">
        <v>10126</v>
      </c>
      <c r="B142" s="52">
        <f>装备拆分数值生成!L72</f>
        <v>251.85549628800004</v>
      </c>
      <c r="C142" s="52">
        <f>装备拆分数值生成!M72</f>
        <v>0</v>
      </c>
      <c r="D142" s="52">
        <v>0</v>
      </c>
      <c r="E142" s="52">
        <f>装备拆分数值生成!N72</f>
        <v>0</v>
      </c>
      <c r="F142" s="52">
        <f>装备拆分数值生成!K72</f>
        <v>184.66017906600004</v>
      </c>
    </row>
    <row r="143" spans="1:6">
      <c r="A143">
        <v>10131</v>
      </c>
      <c r="B143" s="52">
        <f>装备拆分数值生成!L43</f>
        <v>1062.6343067271362</v>
      </c>
      <c r="C143" s="52">
        <f>装备拆分数值生成!M43</f>
        <v>531.31715336356808</v>
      </c>
      <c r="D143" s="52">
        <v>0</v>
      </c>
      <c r="E143" s="52">
        <f>装备拆分数值生成!N43</f>
        <v>0</v>
      </c>
      <c r="F143" s="52">
        <f>装备拆分数值生成!K43</f>
        <v>0</v>
      </c>
    </row>
    <row r="144" spans="1:6">
      <c r="A144">
        <v>10132</v>
      </c>
      <c r="B144" s="52">
        <f>装备拆分数值生成!L49</f>
        <v>0</v>
      </c>
      <c r="C144" s="52">
        <f>装备拆分数值生成!M49</f>
        <v>0</v>
      </c>
      <c r="D144" s="52">
        <v>0</v>
      </c>
      <c r="E144" s="52">
        <f>装备拆分数值生成!N49</f>
        <v>0</v>
      </c>
      <c r="F144" s="52">
        <f>装备拆分数值生成!K49</f>
        <v>1947.8058276870054</v>
      </c>
    </row>
    <row r="145" spans="1:6">
      <c r="A145">
        <v>10133</v>
      </c>
      <c r="B145" s="52">
        <f>装备拆分数值生成!L55</f>
        <v>0</v>
      </c>
      <c r="C145" s="52">
        <f>装备拆分数值生成!M55</f>
        <v>0</v>
      </c>
      <c r="D145" s="52">
        <v>0</v>
      </c>
      <c r="E145" s="52">
        <f>装备拆分数值生成!N55</f>
        <v>507.03653076362008</v>
      </c>
      <c r="F145" s="52">
        <f>装备拆分数值生成!K55</f>
        <v>0</v>
      </c>
    </row>
    <row r="146" spans="1:6">
      <c r="A146">
        <v>10134</v>
      </c>
      <c r="B146" s="52">
        <f>装备拆分数值生成!L61</f>
        <v>265.65857668178404</v>
      </c>
      <c r="C146" s="52">
        <f>装备拆分数值生成!M61</f>
        <v>0</v>
      </c>
      <c r="D146" s="52">
        <v>0</v>
      </c>
      <c r="E146" s="52">
        <f>装备拆分数值生成!N61</f>
        <v>380.27739807271502</v>
      </c>
      <c r="F146" s="52">
        <f>装备拆分数值生成!K61</f>
        <v>0</v>
      </c>
    </row>
    <row r="147" spans="1:6">
      <c r="A147">
        <v>10135</v>
      </c>
      <c r="B147" s="52">
        <f>装备拆分数值生成!L67</f>
        <v>0</v>
      </c>
      <c r="C147" s="52">
        <f>装备拆分数值生成!M67</f>
        <v>132.82928834089202</v>
      </c>
      <c r="D147" s="52">
        <v>0</v>
      </c>
      <c r="E147" s="52">
        <f>装备拆分数值生成!N67</f>
        <v>0</v>
      </c>
      <c r="F147" s="52">
        <f>装备拆分数值生成!K67</f>
        <v>1558.2446621496044</v>
      </c>
    </row>
    <row r="148" spans="1:6">
      <c r="A148">
        <v>10136</v>
      </c>
      <c r="B148" s="52">
        <f>装备拆分数值生成!L73</f>
        <v>531.31715336356808</v>
      </c>
      <c r="C148" s="52">
        <f>装备拆分数值生成!M73</f>
        <v>0</v>
      </c>
      <c r="D148" s="52">
        <v>0</v>
      </c>
      <c r="E148" s="52">
        <f>装备拆分数值生成!N73</f>
        <v>0</v>
      </c>
      <c r="F148" s="52">
        <f>装备拆分数值生成!K73</f>
        <v>389.56116553740111</v>
      </c>
    </row>
    <row r="149" spans="1:6">
      <c r="A149">
        <v>10141</v>
      </c>
      <c r="B149" s="52">
        <f>装备拆分数值生成!L44</f>
        <v>2135.396335808387</v>
      </c>
      <c r="C149" s="52">
        <f>装备拆分数值生成!M44</f>
        <v>1067.6981679041935</v>
      </c>
      <c r="D149" s="52">
        <v>0</v>
      </c>
      <c r="E149" s="52">
        <f>装备拆分数值生成!N44</f>
        <v>0</v>
      </c>
      <c r="F149" s="52">
        <f>装备拆分数值生成!K44</f>
        <v>0</v>
      </c>
    </row>
    <row r="150" spans="1:6">
      <c r="A150">
        <v>10142</v>
      </c>
      <c r="B150" s="52">
        <f>装备拆分数值生成!L50</f>
        <v>0</v>
      </c>
      <c r="C150" s="52">
        <f>装备拆分数值生成!M50</f>
        <v>0</v>
      </c>
      <c r="D150" s="52">
        <v>0</v>
      </c>
      <c r="E150" s="52">
        <f>装备拆分数值生成!N50</f>
        <v>0</v>
      </c>
      <c r="F150" s="52">
        <f>装备拆分数值生成!K50</f>
        <v>3914.1757432240424</v>
      </c>
    </row>
    <row r="151" spans="1:6">
      <c r="A151">
        <v>10143</v>
      </c>
      <c r="B151" s="52">
        <f>装备拆分数值生成!L56</f>
        <v>0</v>
      </c>
      <c r="C151" s="52">
        <f>装备拆分数值生成!M56</f>
        <v>0</v>
      </c>
      <c r="D151" s="52">
        <v>0</v>
      </c>
      <c r="E151" s="52">
        <f>装备拆分数值生成!N56</f>
        <v>1018.905509693518</v>
      </c>
      <c r="F151" s="52">
        <f>装备拆分数值生成!K56</f>
        <v>0</v>
      </c>
    </row>
    <row r="152" spans="1:6">
      <c r="A152">
        <v>10144</v>
      </c>
      <c r="B152" s="52">
        <f>装备拆分数值生成!L62</f>
        <v>533.84908395209675</v>
      </c>
      <c r="C152" s="52">
        <f>装备拆分数值生成!M62</f>
        <v>0</v>
      </c>
      <c r="D152" s="52">
        <v>0</v>
      </c>
      <c r="E152" s="52">
        <f>装备拆分数值生成!N62</f>
        <v>764.17913227013844</v>
      </c>
      <c r="F152" s="52">
        <f>装备拆分数值生成!K62</f>
        <v>0</v>
      </c>
    </row>
    <row r="153" spans="1:6">
      <c r="A153">
        <v>10145</v>
      </c>
      <c r="B153" s="52">
        <f>装备拆分数值生成!L68</f>
        <v>0</v>
      </c>
      <c r="C153" s="52">
        <f>装备拆分数值生成!M68</f>
        <v>266.92454197604837</v>
      </c>
      <c r="D153" s="52">
        <v>0</v>
      </c>
      <c r="E153" s="52">
        <f>装备拆分数值生成!N68</f>
        <v>0</v>
      </c>
      <c r="F153" s="52">
        <f>装备拆分数值生成!K68</f>
        <v>3131.3405945792342</v>
      </c>
    </row>
    <row r="154" spans="1:6">
      <c r="A154">
        <v>10146</v>
      </c>
      <c r="B154" s="52">
        <f>装备拆分数值生成!L74</f>
        <v>1067.6981679041935</v>
      </c>
      <c r="C154" s="52">
        <f>装备拆分数值生成!M74</f>
        <v>0</v>
      </c>
      <c r="D154" s="52">
        <v>0</v>
      </c>
      <c r="E154" s="52">
        <f>装备拆分数值生成!N74</f>
        <v>0</v>
      </c>
      <c r="F154" s="52">
        <f>装备拆分数值生成!K74</f>
        <v>782.83514864480856</v>
      </c>
    </row>
    <row r="155" spans="1:6">
      <c r="A155">
        <f>A125+100</f>
        <v>10201</v>
      </c>
      <c r="B155" s="52">
        <f>装备拆分数值生成!S40</f>
        <v>74.400000000000006</v>
      </c>
      <c r="C155" s="52">
        <f>装备拆分数值生成!T40</f>
        <v>148.80000000000001</v>
      </c>
      <c r="D155" s="52">
        <v>0</v>
      </c>
      <c r="E155" s="52">
        <f>装备拆分数值生成!U40</f>
        <v>0</v>
      </c>
      <c r="F155" s="52">
        <f>装备拆分数值生成!R40</f>
        <v>0</v>
      </c>
    </row>
    <row r="156" spans="1:6">
      <c r="A156">
        <f t="shared" ref="A156:A219" si="2">A126+100</f>
        <v>10202</v>
      </c>
      <c r="B156" s="52">
        <f>装备拆分数值生成!S46</f>
        <v>0</v>
      </c>
      <c r="C156" s="52">
        <f>装备拆分数值生成!T46</f>
        <v>0</v>
      </c>
      <c r="D156" s="52">
        <v>0</v>
      </c>
      <c r="E156" s="52">
        <f>装备拆分数值生成!U46</f>
        <v>0</v>
      </c>
      <c r="F156" s="52">
        <f>装备拆分数值生成!R46</f>
        <v>272.75</v>
      </c>
    </row>
    <row r="157" spans="1:6">
      <c r="A157">
        <f t="shared" si="2"/>
        <v>10203</v>
      </c>
      <c r="B157" s="52">
        <f>装备拆分数值生成!S52</f>
        <v>0</v>
      </c>
      <c r="C157" s="52">
        <f>装备拆分数值生成!T52</f>
        <v>0</v>
      </c>
      <c r="D157" s="52">
        <v>0</v>
      </c>
      <c r="E157" s="52">
        <f>装备拆分数值生成!U52</f>
        <v>71</v>
      </c>
      <c r="F157" s="52">
        <f>装备拆分数值生成!R52</f>
        <v>0</v>
      </c>
    </row>
    <row r="158" spans="1:6">
      <c r="A158">
        <f t="shared" si="2"/>
        <v>10204</v>
      </c>
      <c r="B158" s="52">
        <f>装备拆分数值生成!S58</f>
        <v>0</v>
      </c>
      <c r="C158" s="52">
        <f>装备拆分数值生成!T58</f>
        <v>37.200000000000003</v>
      </c>
      <c r="D158" s="52">
        <v>0</v>
      </c>
      <c r="E158" s="52">
        <f>装备拆分数值生成!U58</f>
        <v>53.25</v>
      </c>
      <c r="F158" s="52">
        <f>装备拆分数值生成!R58</f>
        <v>0</v>
      </c>
    </row>
    <row r="159" spans="1:6">
      <c r="A159">
        <f t="shared" si="2"/>
        <v>10205</v>
      </c>
      <c r="B159" s="52">
        <f>装备拆分数值生成!S64</f>
        <v>18.600000000000001</v>
      </c>
      <c r="C159" s="52">
        <f>装备拆分数值生成!T64</f>
        <v>0</v>
      </c>
      <c r="D159" s="52">
        <v>0</v>
      </c>
      <c r="E159" s="52">
        <f>装备拆分数值生成!U64</f>
        <v>0</v>
      </c>
      <c r="F159" s="52">
        <f>装备拆分数值生成!R64</f>
        <v>218.20000000000002</v>
      </c>
    </row>
    <row r="160" spans="1:6">
      <c r="A160">
        <f t="shared" si="2"/>
        <v>10206</v>
      </c>
      <c r="B160" s="52">
        <f>装备拆分数值生成!S70</f>
        <v>0</v>
      </c>
      <c r="C160" s="52">
        <f>装备拆分数值生成!T70</f>
        <v>74.400000000000006</v>
      </c>
      <c r="D160" s="52">
        <v>0</v>
      </c>
      <c r="E160" s="52">
        <f>装备拆分数值生成!U70</f>
        <v>0</v>
      </c>
      <c r="F160" s="52">
        <f>装备拆分数值生成!R70</f>
        <v>54.550000000000004</v>
      </c>
    </row>
    <row r="161" spans="1:6">
      <c r="A161">
        <f t="shared" si="2"/>
        <v>10211</v>
      </c>
      <c r="B161" s="52">
        <f>装备拆分数值生成!S41</f>
        <v>140.220192</v>
      </c>
      <c r="C161" s="52">
        <f>装备拆分数值生成!T41</f>
        <v>280.44038399999999</v>
      </c>
      <c r="D161" s="52">
        <v>0</v>
      </c>
      <c r="E161" s="52">
        <f>装备拆分数值生成!U41</f>
        <v>0</v>
      </c>
      <c r="F161" s="52">
        <f>装备拆分数值生成!R41</f>
        <v>0</v>
      </c>
    </row>
    <row r="162" spans="1:6">
      <c r="A162">
        <f t="shared" si="2"/>
        <v>10212</v>
      </c>
      <c r="B162" s="52">
        <f>装备拆分数值生成!S47</f>
        <v>0</v>
      </c>
      <c r="C162" s="52">
        <f>装备拆分数值生成!T47</f>
        <v>0</v>
      </c>
      <c r="D162" s="52">
        <v>0</v>
      </c>
      <c r="E162" s="52">
        <f>装备拆分数值生成!U47</f>
        <v>0</v>
      </c>
      <c r="F162" s="52">
        <f>装备拆分数值生成!R47</f>
        <v>514.04647</v>
      </c>
    </row>
    <row r="163" spans="1:6">
      <c r="A163">
        <f t="shared" si="2"/>
        <v>10213</v>
      </c>
      <c r="B163" s="52">
        <f>装备拆分数值生成!S53</f>
        <v>0</v>
      </c>
      <c r="C163" s="52">
        <f>装备拆分数值生成!T53</f>
        <v>0</v>
      </c>
      <c r="D163" s="52">
        <v>0</v>
      </c>
      <c r="E163" s="52">
        <f>装备拆分数值生成!U53</f>
        <v>133.81227999999999</v>
      </c>
      <c r="F163" s="52">
        <f>装备拆分数值生成!R53</f>
        <v>0</v>
      </c>
    </row>
    <row r="164" spans="1:6">
      <c r="A164">
        <f t="shared" si="2"/>
        <v>10214</v>
      </c>
      <c r="B164" s="52">
        <f>装备拆分数值生成!S59</f>
        <v>0</v>
      </c>
      <c r="C164" s="52">
        <f>装备拆分数值生成!T59</f>
        <v>70.110095999999999</v>
      </c>
      <c r="D164" s="52">
        <v>0</v>
      </c>
      <c r="E164" s="52">
        <f>装备拆分数值生成!U59</f>
        <v>100.35920999999999</v>
      </c>
      <c r="F164" s="52">
        <f>装备拆分数值生成!R59</f>
        <v>0</v>
      </c>
    </row>
    <row r="165" spans="1:6">
      <c r="A165">
        <f t="shared" si="2"/>
        <v>10215</v>
      </c>
      <c r="B165" s="52">
        <f>装备拆分数值生成!S65</f>
        <v>35.055047999999999</v>
      </c>
      <c r="C165" s="52">
        <f>装备拆分数值生成!T65</f>
        <v>0</v>
      </c>
      <c r="D165" s="52">
        <v>0</v>
      </c>
      <c r="E165" s="52">
        <f>装备拆分数值生成!U65</f>
        <v>0</v>
      </c>
      <c r="F165" s="52">
        <f>装备拆分数值生成!R65</f>
        <v>411.23717600000003</v>
      </c>
    </row>
    <row r="166" spans="1:6">
      <c r="A166">
        <f t="shared" si="2"/>
        <v>10216</v>
      </c>
      <c r="B166" s="52">
        <f>装备拆分数值生成!S71</f>
        <v>0</v>
      </c>
      <c r="C166" s="52">
        <f>装备拆分数值生成!T71</f>
        <v>140.220192</v>
      </c>
      <c r="D166" s="52">
        <v>0</v>
      </c>
      <c r="E166" s="52">
        <f>装备拆分数值生成!U71</f>
        <v>0</v>
      </c>
      <c r="F166" s="52">
        <f>装备拆分数值生成!R71</f>
        <v>102.80929400000001</v>
      </c>
    </row>
    <row r="167" spans="1:6">
      <c r="A167">
        <f t="shared" si="2"/>
        <v>10221</v>
      </c>
      <c r="B167" s="52">
        <f>装备拆分数值生成!S42</f>
        <v>251.85549628800004</v>
      </c>
      <c r="C167" s="52">
        <f>装备拆分数值生成!T42</f>
        <v>503.71099257600008</v>
      </c>
      <c r="D167" s="52">
        <v>0</v>
      </c>
      <c r="E167" s="52">
        <f>装备拆分数值生成!U42</f>
        <v>0</v>
      </c>
      <c r="F167" s="52">
        <f>装备拆分数值生成!R42</f>
        <v>0</v>
      </c>
    </row>
    <row r="168" spans="1:6">
      <c r="A168">
        <f t="shared" si="2"/>
        <v>10222</v>
      </c>
      <c r="B168" s="52">
        <f>装备拆分数值生成!S48</f>
        <v>0</v>
      </c>
      <c r="C168" s="52">
        <f>装备拆分数值生成!T48</f>
        <v>0</v>
      </c>
      <c r="D168" s="52">
        <v>0</v>
      </c>
      <c r="E168" s="52">
        <f>装备拆分数值生成!U48</f>
        <v>0</v>
      </c>
      <c r="F168" s="52">
        <f>装备拆分数值生成!R48</f>
        <v>923.30089533000012</v>
      </c>
    </row>
    <row r="169" spans="1:6">
      <c r="A169">
        <f t="shared" si="2"/>
        <v>10223</v>
      </c>
      <c r="B169" s="52">
        <f>装备拆分数值生成!S54</f>
        <v>0</v>
      </c>
      <c r="C169" s="52">
        <f>装备拆分数值生成!T54</f>
        <v>0</v>
      </c>
      <c r="D169" s="52">
        <v>0</v>
      </c>
      <c r="E169" s="52">
        <f>装备拆分数值生成!U54</f>
        <v>240.34597092000004</v>
      </c>
      <c r="F169" s="52">
        <f>装备拆分数值生成!R54</f>
        <v>0</v>
      </c>
    </row>
    <row r="170" spans="1:6">
      <c r="A170">
        <f t="shared" si="2"/>
        <v>10224</v>
      </c>
      <c r="B170" s="52">
        <f>装备拆分数值生成!S60</f>
        <v>0</v>
      </c>
      <c r="C170" s="52">
        <f>装备拆分数值生成!T60</f>
        <v>125.92774814400002</v>
      </c>
      <c r="D170" s="52">
        <v>0</v>
      </c>
      <c r="E170" s="52">
        <f>装备拆分数值生成!U60</f>
        <v>180.25947819000001</v>
      </c>
      <c r="F170" s="52">
        <f>装备拆分数值生成!R60</f>
        <v>0</v>
      </c>
    </row>
    <row r="171" spans="1:6">
      <c r="A171">
        <f t="shared" si="2"/>
        <v>10225</v>
      </c>
      <c r="B171" s="52">
        <f>装备拆分数值生成!S66</f>
        <v>62.96387407200001</v>
      </c>
      <c r="C171" s="52">
        <f>装备拆分数值生成!T66</f>
        <v>0</v>
      </c>
      <c r="D171" s="52">
        <v>0</v>
      </c>
      <c r="E171" s="52">
        <f>装备拆分数值生成!U66</f>
        <v>0</v>
      </c>
      <c r="F171" s="52">
        <f>装备拆分数值生成!R66</f>
        <v>738.64071626400016</v>
      </c>
    </row>
    <row r="172" spans="1:6">
      <c r="A172">
        <f t="shared" si="2"/>
        <v>10226</v>
      </c>
      <c r="B172" s="52">
        <f>装备拆分数值生成!S72</f>
        <v>0</v>
      </c>
      <c r="C172" s="52">
        <f>装备拆分数值生成!T72</f>
        <v>251.85549628800004</v>
      </c>
      <c r="D172" s="52">
        <v>0</v>
      </c>
      <c r="E172" s="52">
        <f>装备拆分数值生成!U72</f>
        <v>0</v>
      </c>
      <c r="F172" s="52">
        <f>装备拆分数值生成!R72</f>
        <v>184.66017906600004</v>
      </c>
    </row>
    <row r="173" spans="1:6">
      <c r="A173">
        <f t="shared" si="2"/>
        <v>10231</v>
      </c>
      <c r="B173" s="52">
        <f>装备拆分数值生成!S43</f>
        <v>531.31715336356808</v>
      </c>
      <c r="C173" s="52">
        <f>装备拆分数值生成!T43</f>
        <v>1062.6343067271362</v>
      </c>
      <c r="D173" s="52">
        <v>0</v>
      </c>
      <c r="E173" s="52">
        <f>装备拆分数值生成!U43</f>
        <v>0</v>
      </c>
      <c r="F173" s="52">
        <f>装备拆分数值生成!R43</f>
        <v>0</v>
      </c>
    </row>
    <row r="174" spans="1:6">
      <c r="A174">
        <f t="shared" si="2"/>
        <v>10232</v>
      </c>
      <c r="B174" s="52">
        <f>装备拆分数值生成!S49</f>
        <v>0</v>
      </c>
      <c r="C174" s="52">
        <f>装备拆分数值生成!T49</f>
        <v>0</v>
      </c>
      <c r="D174" s="52">
        <v>0</v>
      </c>
      <c r="E174" s="52">
        <f>装备拆分数值生成!U49</f>
        <v>0</v>
      </c>
      <c r="F174" s="52">
        <f>装备拆分数值生成!R49</f>
        <v>1947.8058276870054</v>
      </c>
    </row>
    <row r="175" spans="1:6">
      <c r="A175">
        <f t="shared" si="2"/>
        <v>10233</v>
      </c>
      <c r="B175" s="52">
        <f>装备拆分数值生成!S55</f>
        <v>0</v>
      </c>
      <c r="C175" s="52">
        <f>装备拆分数值生成!T55</f>
        <v>0</v>
      </c>
      <c r="D175" s="52">
        <v>0</v>
      </c>
      <c r="E175" s="52">
        <f>装备拆分数值生成!U55</f>
        <v>507.03653076362008</v>
      </c>
      <c r="F175" s="52">
        <f>装备拆分数值生成!R55</f>
        <v>0</v>
      </c>
    </row>
    <row r="176" spans="1:6">
      <c r="A176">
        <f t="shared" si="2"/>
        <v>10234</v>
      </c>
      <c r="B176" s="52">
        <f>装备拆分数值生成!S61</f>
        <v>0</v>
      </c>
      <c r="C176" s="52">
        <f>装备拆分数值生成!T61</f>
        <v>265.65857668178404</v>
      </c>
      <c r="D176" s="52">
        <v>0</v>
      </c>
      <c r="E176" s="52">
        <f>装备拆分数值生成!U61</f>
        <v>380.27739807271502</v>
      </c>
      <c r="F176" s="52">
        <f>装备拆分数值生成!R61</f>
        <v>0</v>
      </c>
    </row>
    <row r="177" spans="1:6">
      <c r="A177">
        <f t="shared" si="2"/>
        <v>10235</v>
      </c>
      <c r="B177" s="52">
        <f>装备拆分数值生成!S67</f>
        <v>132.82928834089202</v>
      </c>
      <c r="C177" s="52">
        <f>装备拆分数值生成!T67</f>
        <v>0</v>
      </c>
      <c r="D177" s="52">
        <v>0</v>
      </c>
      <c r="E177" s="52">
        <f>装备拆分数值生成!U67</f>
        <v>0</v>
      </c>
      <c r="F177" s="52">
        <f>装备拆分数值生成!R67</f>
        <v>1558.2446621496044</v>
      </c>
    </row>
    <row r="178" spans="1:6">
      <c r="A178">
        <f t="shared" si="2"/>
        <v>10236</v>
      </c>
      <c r="B178" s="52">
        <f>装备拆分数值生成!S73</f>
        <v>0</v>
      </c>
      <c r="C178" s="52">
        <f>装备拆分数值生成!T73</f>
        <v>531.31715336356808</v>
      </c>
      <c r="D178" s="52">
        <v>0</v>
      </c>
      <c r="E178" s="52">
        <f>装备拆分数值生成!U73</f>
        <v>0</v>
      </c>
      <c r="F178" s="52">
        <f>装备拆分数值生成!R73</f>
        <v>389.56116553740111</v>
      </c>
    </row>
    <row r="179" spans="1:6">
      <c r="A179">
        <f t="shared" si="2"/>
        <v>10241</v>
      </c>
      <c r="B179" s="52">
        <f>装备拆分数值生成!S44</f>
        <v>1067.6981679041935</v>
      </c>
      <c r="C179" s="52">
        <f>装备拆分数值生成!T44</f>
        <v>2135.396335808387</v>
      </c>
      <c r="D179" s="52">
        <v>0</v>
      </c>
      <c r="E179" s="52">
        <f>装备拆分数值生成!U44</f>
        <v>0</v>
      </c>
      <c r="F179" s="52">
        <f>装备拆分数值生成!R44</f>
        <v>0</v>
      </c>
    </row>
    <row r="180" spans="1:6">
      <c r="A180">
        <f t="shared" si="2"/>
        <v>10242</v>
      </c>
      <c r="B180" s="52">
        <f>装备拆分数值生成!S50</f>
        <v>0</v>
      </c>
      <c r="C180" s="52">
        <f>装备拆分数值生成!T50</f>
        <v>0</v>
      </c>
      <c r="D180" s="52">
        <v>0</v>
      </c>
      <c r="E180" s="52">
        <f>装备拆分数值生成!U50</f>
        <v>0</v>
      </c>
      <c r="F180" s="52">
        <f>装备拆分数值生成!R50</f>
        <v>3914.1757432240424</v>
      </c>
    </row>
    <row r="181" spans="1:6">
      <c r="A181">
        <f t="shared" si="2"/>
        <v>10243</v>
      </c>
      <c r="B181" s="52">
        <f>装备拆分数值生成!S56</f>
        <v>0</v>
      </c>
      <c r="C181" s="52">
        <f>装备拆分数值生成!T56</f>
        <v>0</v>
      </c>
      <c r="D181" s="52">
        <v>0</v>
      </c>
      <c r="E181" s="52">
        <f>装备拆分数值生成!U56</f>
        <v>1018.905509693518</v>
      </c>
      <c r="F181" s="52">
        <f>装备拆分数值生成!R56</f>
        <v>0</v>
      </c>
    </row>
    <row r="182" spans="1:6">
      <c r="A182">
        <f t="shared" si="2"/>
        <v>10244</v>
      </c>
      <c r="B182" s="52">
        <f>装备拆分数值生成!S62</f>
        <v>0</v>
      </c>
      <c r="C182" s="52">
        <f>装备拆分数值生成!T62</f>
        <v>533.84908395209675</v>
      </c>
      <c r="D182" s="52">
        <v>0</v>
      </c>
      <c r="E182" s="52">
        <f>装备拆分数值生成!U62</f>
        <v>764.17913227013844</v>
      </c>
      <c r="F182" s="52">
        <f>装备拆分数值生成!R62</f>
        <v>0</v>
      </c>
    </row>
    <row r="183" spans="1:6">
      <c r="A183">
        <f>A153+100</f>
        <v>10245</v>
      </c>
      <c r="B183" s="52">
        <f>装备拆分数值生成!S68</f>
        <v>266.92454197604837</v>
      </c>
      <c r="C183" s="52">
        <f>装备拆分数值生成!T68</f>
        <v>0</v>
      </c>
      <c r="D183" s="52">
        <v>0</v>
      </c>
      <c r="E183" s="52">
        <f>装备拆分数值生成!U68</f>
        <v>0</v>
      </c>
      <c r="F183" s="52">
        <f>装备拆分数值生成!R68</f>
        <v>3131.3405945792342</v>
      </c>
    </row>
    <row r="184" spans="1:6">
      <c r="A184">
        <f t="shared" si="2"/>
        <v>10246</v>
      </c>
      <c r="B184" s="52">
        <f>装备拆分数值生成!S74</f>
        <v>0</v>
      </c>
      <c r="C184" s="52">
        <f>装备拆分数值生成!T74</f>
        <v>1067.6981679041935</v>
      </c>
      <c r="D184" s="52">
        <v>0</v>
      </c>
      <c r="E184" s="52">
        <f>装备拆分数值生成!U74</f>
        <v>0</v>
      </c>
      <c r="F184" s="52">
        <f>装备拆分数值生成!R74</f>
        <v>782.83514864480856</v>
      </c>
    </row>
    <row r="185" spans="1:6">
      <c r="A185">
        <f t="shared" si="2"/>
        <v>10301</v>
      </c>
      <c r="B185" s="52">
        <f>装备拆分数值生成!Z40</f>
        <v>102.30000000000001</v>
      </c>
      <c r="C185" s="52">
        <f>装备拆分数值生成!AA40</f>
        <v>102.30000000000001</v>
      </c>
      <c r="D185" s="52">
        <v>0</v>
      </c>
      <c r="E185" s="52">
        <f>装备拆分数值生成!AB40</f>
        <v>0</v>
      </c>
      <c r="F185" s="52">
        <f>装备拆分数值生成!Y40</f>
        <v>0</v>
      </c>
    </row>
    <row r="186" spans="1:6">
      <c r="A186">
        <f t="shared" si="2"/>
        <v>10302</v>
      </c>
      <c r="B186" s="52">
        <f>装备拆分数值生成!Z46</f>
        <v>0</v>
      </c>
      <c r="C186" s="52">
        <f>装备拆分数值生成!AA46</f>
        <v>0</v>
      </c>
      <c r="D186" s="52">
        <v>0</v>
      </c>
      <c r="E186" s="52">
        <f>装备拆分数值生成!AB46</f>
        <v>0</v>
      </c>
      <c r="F186" s="52">
        <f>装备拆分数值生成!Y46</f>
        <v>436.40000000000003</v>
      </c>
    </row>
    <row r="187" spans="1:6">
      <c r="A187">
        <f t="shared" si="2"/>
        <v>10303</v>
      </c>
      <c r="B187" s="52">
        <f>装备拆分数值生成!Z52</f>
        <v>0</v>
      </c>
      <c r="C187" s="52">
        <f>装备拆分数值生成!AA52</f>
        <v>0</v>
      </c>
      <c r="D187" s="52">
        <v>0</v>
      </c>
      <c r="E187" s="52">
        <f>装备拆分数值生成!AB52</f>
        <v>106.5</v>
      </c>
      <c r="F187" s="52">
        <f>装备拆分数值生成!Y52</f>
        <v>0</v>
      </c>
    </row>
    <row r="188" spans="1:6">
      <c r="A188">
        <f t="shared" si="2"/>
        <v>10304</v>
      </c>
      <c r="B188" s="52">
        <f>装备拆分数值生成!Z58</f>
        <v>0</v>
      </c>
      <c r="C188" s="52">
        <f>装备拆分数值生成!AA58</f>
        <v>0</v>
      </c>
      <c r="D188" s="52">
        <v>0</v>
      </c>
      <c r="E188" s="52">
        <f>装备拆分数值生成!AB58</f>
        <v>79.875</v>
      </c>
      <c r="F188" s="52">
        <f>装备拆分数值生成!Y58</f>
        <v>0</v>
      </c>
    </row>
    <row r="189" spans="1:6">
      <c r="A189">
        <f t="shared" si="2"/>
        <v>10305</v>
      </c>
      <c r="B189" s="52">
        <f>装备拆分数值生成!Z64</f>
        <v>0</v>
      </c>
      <c r="C189" s="52">
        <f>装备拆分数值生成!AA64</f>
        <v>0</v>
      </c>
      <c r="D189" s="52">
        <v>0</v>
      </c>
      <c r="E189" s="52">
        <f>装备拆分数值生成!AB64</f>
        <v>0</v>
      </c>
      <c r="F189" s="52">
        <f>装备拆分数值生成!Y64</f>
        <v>272.75</v>
      </c>
    </row>
    <row r="190" spans="1:6">
      <c r="A190">
        <f t="shared" si="2"/>
        <v>10306</v>
      </c>
      <c r="B190" s="52">
        <f>装备拆分数值生成!Z70</f>
        <v>0</v>
      </c>
      <c r="C190" s="52">
        <f>装备拆分数值生成!AA70</f>
        <v>0</v>
      </c>
      <c r="D190" s="52">
        <v>0</v>
      </c>
      <c r="E190" s="52">
        <f>装备拆分数值生成!AB70</f>
        <v>53.25</v>
      </c>
      <c r="F190" s="52">
        <f>装备拆分数值生成!Y70</f>
        <v>109.10000000000001</v>
      </c>
    </row>
    <row r="191" spans="1:6">
      <c r="A191">
        <f t="shared" si="2"/>
        <v>10311</v>
      </c>
      <c r="B191" s="52">
        <f>装备拆分数值生成!Z41</f>
        <v>192.80276400000002</v>
      </c>
      <c r="C191" s="52">
        <f>装备拆分数值生成!AA41</f>
        <v>192.80276400000002</v>
      </c>
      <c r="D191" s="52">
        <v>0</v>
      </c>
      <c r="E191" s="52">
        <f>装备拆分数值生成!AB41</f>
        <v>0</v>
      </c>
      <c r="F191" s="52">
        <f>装备拆分数值生成!Y41</f>
        <v>0</v>
      </c>
    </row>
    <row r="192" spans="1:6">
      <c r="A192">
        <f t="shared" si="2"/>
        <v>10312</v>
      </c>
      <c r="B192" s="52">
        <f>装备拆分数值生成!Z47</f>
        <v>0</v>
      </c>
      <c r="C192" s="52">
        <f>装备拆分数值生成!AA47</f>
        <v>0</v>
      </c>
      <c r="D192" s="52">
        <v>0</v>
      </c>
      <c r="E192" s="52">
        <f>装备拆分数值生成!AB47</f>
        <v>0</v>
      </c>
      <c r="F192" s="52">
        <f>装备拆分数值生成!Y47</f>
        <v>822.47435200000007</v>
      </c>
    </row>
    <row r="193" spans="1:6">
      <c r="A193">
        <f t="shared" si="2"/>
        <v>10313</v>
      </c>
      <c r="B193" s="52">
        <f>装备拆分数值生成!Z53</f>
        <v>0</v>
      </c>
      <c r="C193" s="52">
        <f>装备拆分数值生成!AA53</f>
        <v>0</v>
      </c>
      <c r="D193" s="52">
        <v>0</v>
      </c>
      <c r="E193" s="52">
        <f>装备拆分数值生成!AB53</f>
        <v>200.71841999999998</v>
      </c>
      <c r="F193" s="52">
        <f>装备拆分数值生成!Y53</f>
        <v>0</v>
      </c>
    </row>
    <row r="194" spans="1:6">
      <c r="A194">
        <f t="shared" si="2"/>
        <v>10314</v>
      </c>
      <c r="B194" s="52">
        <f>装备拆分数值生成!Z59</f>
        <v>0</v>
      </c>
      <c r="C194" s="52">
        <f>装备拆分数值生成!AA59</f>
        <v>0</v>
      </c>
      <c r="D194" s="52">
        <v>0</v>
      </c>
      <c r="E194" s="52">
        <f>装备拆分数值生成!AB59</f>
        <v>150.538815</v>
      </c>
      <c r="F194" s="52">
        <f>装备拆分数值生成!Y59</f>
        <v>0</v>
      </c>
    </row>
    <row r="195" spans="1:6">
      <c r="A195">
        <f t="shared" si="2"/>
        <v>10315</v>
      </c>
      <c r="B195" s="52">
        <f>装备拆分数值生成!Z65</f>
        <v>0</v>
      </c>
      <c r="C195" s="52">
        <f>装备拆分数值生成!AA65</f>
        <v>0</v>
      </c>
      <c r="D195" s="52">
        <v>0</v>
      </c>
      <c r="E195" s="52">
        <f>装备拆分数值生成!AB65</f>
        <v>0</v>
      </c>
      <c r="F195" s="52">
        <f>装备拆分数值生成!Y65</f>
        <v>514.04647</v>
      </c>
    </row>
    <row r="196" spans="1:6">
      <c r="A196">
        <f>A166+100</f>
        <v>10316</v>
      </c>
      <c r="B196" s="52">
        <f>装备拆分数值生成!Z71</f>
        <v>0</v>
      </c>
      <c r="C196" s="52">
        <f>装备拆分数值生成!AA71</f>
        <v>0</v>
      </c>
      <c r="D196" s="52">
        <v>0</v>
      </c>
      <c r="E196" s="52">
        <f>装备拆分数值生成!AB71</f>
        <v>100.35920999999999</v>
      </c>
      <c r="F196" s="52">
        <f>装备拆分数值生成!Y71</f>
        <v>205.61858800000002</v>
      </c>
    </row>
    <row r="197" spans="1:6">
      <c r="A197">
        <f t="shared" si="2"/>
        <v>10321</v>
      </c>
      <c r="B197" s="52">
        <f>装备拆分数值生成!Z42</f>
        <v>346.30130739600008</v>
      </c>
      <c r="C197" s="52">
        <f>装备拆分数值生成!AA42</f>
        <v>346.30130739600008</v>
      </c>
      <c r="D197" s="52">
        <v>0</v>
      </c>
      <c r="E197" s="52">
        <f>装备拆分数值生成!AB42</f>
        <v>0</v>
      </c>
      <c r="F197" s="52">
        <f>装备拆分数值生成!Y42</f>
        <v>0</v>
      </c>
    </row>
    <row r="198" spans="1:6">
      <c r="A198">
        <f t="shared" si="2"/>
        <v>10322</v>
      </c>
      <c r="B198" s="52">
        <f>装备拆分数值生成!Z48</f>
        <v>0</v>
      </c>
      <c r="C198" s="52">
        <f>装备拆分数值生成!AA48</f>
        <v>0</v>
      </c>
      <c r="D198" s="52">
        <v>0</v>
      </c>
      <c r="E198" s="52">
        <f>装备拆分数值生成!AB48</f>
        <v>0</v>
      </c>
      <c r="F198" s="52">
        <f>装备拆分数值生成!Y48</f>
        <v>1477.2814325280003</v>
      </c>
    </row>
    <row r="199" spans="1:6">
      <c r="A199">
        <f t="shared" si="2"/>
        <v>10323</v>
      </c>
      <c r="B199" s="52">
        <f>装备拆分数值生成!Z54</f>
        <v>0</v>
      </c>
      <c r="C199" s="52">
        <f>装备拆分数值生成!AA54</f>
        <v>0</v>
      </c>
      <c r="D199" s="52">
        <v>0</v>
      </c>
      <c r="E199" s="52">
        <f>装备拆分数值生成!AB54</f>
        <v>360.51895638000002</v>
      </c>
      <c r="F199" s="52">
        <f>装备拆分数值生成!Y54</f>
        <v>0</v>
      </c>
    </row>
    <row r="200" spans="1:6">
      <c r="A200">
        <f t="shared" si="2"/>
        <v>10324</v>
      </c>
      <c r="B200" s="52">
        <f>装备拆分数值生成!Z60</f>
        <v>0</v>
      </c>
      <c r="C200" s="52">
        <f>装备拆分数值生成!AA60</f>
        <v>0</v>
      </c>
      <c r="D200" s="52">
        <v>0</v>
      </c>
      <c r="E200" s="52">
        <f>装备拆分数值生成!AB60</f>
        <v>270.38921728500003</v>
      </c>
      <c r="F200" s="52">
        <f>装备拆分数值生成!Y60</f>
        <v>0</v>
      </c>
    </row>
    <row r="201" spans="1:6">
      <c r="A201">
        <f t="shared" si="2"/>
        <v>10325</v>
      </c>
      <c r="B201" s="52">
        <f>装备拆分数值生成!Z66</f>
        <v>0</v>
      </c>
      <c r="C201" s="52">
        <f>装备拆分数值生成!AA66</f>
        <v>0</v>
      </c>
      <c r="D201" s="52">
        <v>0</v>
      </c>
      <c r="E201" s="52">
        <f>装备拆分数值生成!AB66</f>
        <v>0</v>
      </c>
      <c r="F201" s="52">
        <f>装备拆分数值生成!Y66</f>
        <v>923.30089533000012</v>
      </c>
    </row>
    <row r="202" spans="1:6">
      <c r="A202">
        <f t="shared" si="2"/>
        <v>10326</v>
      </c>
      <c r="B202" s="52">
        <f>装备拆分数值生成!Z72</f>
        <v>0</v>
      </c>
      <c r="C202" s="52">
        <f>装备拆分数值生成!AA72</f>
        <v>0</v>
      </c>
      <c r="D202" s="52">
        <v>0</v>
      </c>
      <c r="E202" s="52">
        <f>装备拆分数值生成!AB72</f>
        <v>180.25947819000001</v>
      </c>
      <c r="F202" s="52">
        <f>装备拆分数值生成!Y72</f>
        <v>369.32035813200008</v>
      </c>
    </row>
    <row r="203" spans="1:6">
      <c r="A203">
        <f t="shared" si="2"/>
        <v>10331</v>
      </c>
      <c r="B203" s="52">
        <f>装备拆分数值生成!Z43</f>
        <v>730.56108587490621</v>
      </c>
      <c r="C203" s="52">
        <f>装备拆分数值生成!AA43</f>
        <v>730.56108587490621</v>
      </c>
      <c r="D203" s="52">
        <v>0</v>
      </c>
      <c r="E203" s="52">
        <f>装备拆分数值生成!AB42</f>
        <v>0</v>
      </c>
      <c r="F203" s="52">
        <f>装备拆分数值生成!Y42</f>
        <v>0</v>
      </c>
    </row>
    <row r="204" spans="1:6">
      <c r="A204">
        <f t="shared" si="2"/>
        <v>10332</v>
      </c>
      <c r="B204" s="52">
        <f>装备拆分数值生成!Z49</f>
        <v>0</v>
      </c>
      <c r="C204" s="52">
        <f>装备拆分数值生成!AA49</f>
        <v>0</v>
      </c>
      <c r="D204" s="52">
        <v>0</v>
      </c>
      <c r="E204" s="52">
        <f>装备拆分数值生成!AB48</f>
        <v>0</v>
      </c>
      <c r="F204" s="52">
        <f>装备拆分数值生成!Y48</f>
        <v>1477.2814325280003</v>
      </c>
    </row>
    <row r="205" spans="1:6">
      <c r="A205">
        <f t="shared" si="2"/>
        <v>10333</v>
      </c>
      <c r="B205" s="52">
        <f>装备拆分数值生成!Z55</f>
        <v>0</v>
      </c>
      <c r="C205" s="52">
        <f>装备拆分数值生成!AA55</f>
        <v>0</v>
      </c>
      <c r="D205" s="52">
        <v>0</v>
      </c>
      <c r="E205" s="52">
        <f>装备拆分数值生成!AB54</f>
        <v>360.51895638000002</v>
      </c>
      <c r="F205" s="52">
        <f>装备拆分数值生成!Y54</f>
        <v>0</v>
      </c>
    </row>
    <row r="206" spans="1:6">
      <c r="A206">
        <f t="shared" si="2"/>
        <v>10334</v>
      </c>
      <c r="B206" s="52">
        <f>装备拆分数值生成!Z61</f>
        <v>0</v>
      </c>
      <c r="C206" s="52">
        <f>装备拆分数值生成!AA61</f>
        <v>0</v>
      </c>
      <c r="D206" s="52">
        <v>0</v>
      </c>
      <c r="E206" s="52">
        <f>装备拆分数值生成!AB60</f>
        <v>270.38921728500003</v>
      </c>
      <c r="F206" s="52">
        <f>装备拆分数值生成!Y60</f>
        <v>0</v>
      </c>
    </row>
    <row r="207" spans="1:6">
      <c r="A207">
        <f t="shared" si="2"/>
        <v>10335</v>
      </c>
      <c r="B207" s="52">
        <f>装备拆分数值生成!Z67</f>
        <v>0</v>
      </c>
      <c r="C207" s="52">
        <f>装备拆分数值生成!AA67</f>
        <v>0</v>
      </c>
      <c r="D207" s="52">
        <v>0</v>
      </c>
      <c r="E207" s="52">
        <f>装备拆分数值生成!AB66</f>
        <v>0</v>
      </c>
      <c r="F207" s="52">
        <f>装备拆分数值生成!Y66</f>
        <v>923.30089533000012</v>
      </c>
    </row>
    <row r="208" spans="1:6">
      <c r="A208">
        <f>A178+100</f>
        <v>10336</v>
      </c>
      <c r="B208" s="52">
        <f>装备拆分数值生成!Z73</f>
        <v>0</v>
      </c>
      <c r="C208" s="52">
        <f>装备拆分数值生成!AA73</f>
        <v>0</v>
      </c>
      <c r="D208" s="52">
        <v>0</v>
      </c>
      <c r="E208" s="52">
        <f>装备拆分数值生成!AB72</f>
        <v>180.25947819000001</v>
      </c>
      <c r="F208" s="52">
        <f>装备拆分数值生成!Y72</f>
        <v>369.32035813200008</v>
      </c>
    </row>
    <row r="209" spans="1:6">
      <c r="A209">
        <f t="shared" si="2"/>
        <v>10341</v>
      </c>
      <c r="B209" s="52">
        <f>装备拆分数值生成!Z44</f>
        <v>1468.084980868266</v>
      </c>
      <c r="C209" s="52">
        <f>装备拆分数值生成!AA44</f>
        <v>1468.084980868266</v>
      </c>
      <c r="D209" s="52">
        <v>0</v>
      </c>
      <c r="E209" s="52">
        <f>装备拆分数值生成!AB44</f>
        <v>0</v>
      </c>
      <c r="F209" s="52">
        <f>装备拆分数值生成!Y44</f>
        <v>0</v>
      </c>
    </row>
    <row r="210" spans="1:6">
      <c r="A210">
        <f t="shared" si="2"/>
        <v>10342</v>
      </c>
      <c r="B210" s="52">
        <f>装备拆分数值生成!Z50</f>
        <v>0</v>
      </c>
      <c r="C210" s="52">
        <f>装备拆分数值生成!AA50</f>
        <v>0</v>
      </c>
      <c r="D210" s="52">
        <v>0</v>
      </c>
      <c r="E210" s="52">
        <f>装备拆分数值生成!AB50</f>
        <v>0</v>
      </c>
      <c r="F210" s="52">
        <f>装备拆分数值生成!Y50</f>
        <v>6262.6811891584684</v>
      </c>
    </row>
    <row r="211" spans="1:6">
      <c r="A211">
        <f t="shared" si="2"/>
        <v>10343</v>
      </c>
      <c r="B211" s="52">
        <f>装备拆分数值生成!Z56</f>
        <v>0</v>
      </c>
      <c r="C211" s="52">
        <f>装备拆分数值生成!AA56</f>
        <v>0</v>
      </c>
      <c r="D211" s="52">
        <v>0</v>
      </c>
      <c r="E211" s="52">
        <f>装备拆分数值生成!AB56</f>
        <v>1528.3582645402769</v>
      </c>
      <c r="F211" s="52">
        <f>装备拆分数值生成!Y56</f>
        <v>0</v>
      </c>
    </row>
    <row r="212" spans="1:6">
      <c r="A212">
        <f t="shared" si="2"/>
        <v>10344</v>
      </c>
      <c r="B212" s="52">
        <f>装备拆分数值生成!Z62</f>
        <v>0</v>
      </c>
      <c r="C212" s="52">
        <f>装备拆分数值生成!AA62</f>
        <v>0</v>
      </c>
      <c r="D212" s="52">
        <v>0</v>
      </c>
      <c r="E212" s="52">
        <f>装备拆分数值生成!AB62</f>
        <v>1146.2686984052077</v>
      </c>
      <c r="F212" s="52">
        <f>装备拆分数值生成!Y62</f>
        <v>0</v>
      </c>
    </row>
    <row r="213" spans="1:6">
      <c r="A213">
        <f t="shared" si="2"/>
        <v>10345</v>
      </c>
      <c r="B213" s="52">
        <f>装备拆分数值生成!Z68</f>
        <v>0</v>
      </c>
      <c r="C213" s="52">
        <f>装备拆分数值生成!AA68</f>
        <v>0</v>
      </c>
      <c r="D213" s="52">
        <v>0</v>
      </c>
      <c r="E213" s="52">
        <f>装备拆分数值生成!AB68</f>
        <v>0</v>
      </c>
      <c r="F213" s="52">
        <f>装备拆分数值生成!Y68</f>
        <v>3914.1757432240424</v>
      </c>
    </row>
    <row r="214" spans="1:6">
      <c r="A214">
        <f t="shared" si="2"/>
        <v>10346</v>
      </c>
      <c r="B214" s="52">
        <f>装备拆分数值生成!Z74</f>
        <v>0</v>
      </c>
      <c r="C214" s="52">
        <f>装备拆分数值生成!AA74</f>
        <v>0</v>
      </c>
      <c r="D214" s="52">
        <v>0</v>
      </c>
      <c r="E214" s="52">
        <f>装备拆分数值生成!AB74</f>
        <v>764.17913227013844</v>
      </c>
      <c r="F214" s="52">
        <f>装备拆分数值生成!Y74</f>
        <v>1565.6702972896171</v>
      </c>
    </row>
    <row r="215" spans="1:6">
      <c r="A215">
        <f t="shared" si="2"/>
        <v>10401</v>
      </c>
      <c r="B215" s="52">
        <f>装备拆分数值生成!AG40</f>
        <v>111.6</v>
      </c>
      <c r="C215" s="52">
        <f>装备拆分数值生成!AH40</f>
        <v>111.6</v>
      </c>
      <c r="D215" s="52">
        <v>0</v>
      </c>
      <c r="E215" s="52">
        <f>装备拆分数值生成!AI40</f>
        <v>0</v>
      </c>
      <c r="F215" s="52">
        <f>装备拆分数值生成!AF40</f>
        <v>0</v>
      </c>
    </row>
    <row r="216" spans="1:6">
      <c r="A216">
        <f>A186+100</f>
        <v>10402</v>
      </c>
      <c r="B216" s="52">
        <f>装备拆分数值生成!AG46</f>
        <v>0</v>
      </c>
      <c r="C216" s="52">
        <f>装备拆分数值生成!AH46</f>
        <v>0</v>
      </c>
      <c r="D216" s="52">
        <v>0</v>
      </c>
      <c r="E216" s="52">
        <f>装备拆分数值生成!AI46</f>
        <v>0</v>
      </c>
      <c r="F216" s="52">
        <f>装备拆分数值生成!AF46</f>
        <v>272.75</v>
      </c>
    </row>
    <row r="217" spans="1:6">
      <c r="A217">
        <f t="shared" si="2"/>
        <v>10403</v>
      </c>
      <c r="B217" s="52">
        <f>装备拆分数值生成!AG52</f>
        <v>0</v>
      </c>
      <c r="C217" s="52">
        <f>装备拆分数值生成!AH52</f>
        <v>0</v>
      </c>
      <c r="D217" s="52">
        <v>0</v>
      </c>
      <c r="E217" s="52">
        <f>装备拆分数值生成!AI52</f>
        <v>88.75</v>
      </c>
      <c r="F217" s="52">
        <f>装备拆分数值生成!AF52</f>
        <v>0</v>
      </c>
    </row>
    <row r="218" spans="1:6">
      <c r="A218">
        <f t="shared" si="2"/>
        <v>10404</v>
      </c>
      <c r="B218" s="52">
        <f>装备拆分数值生成!AG58</f>
        <v>0</v>
      </c>
      <c r="C218" s="52">
        <f>装备拆分数值生成!AH58</f>
        <v>0</v>
      </c>
      <c r="D218" s="52">
        <v>0</v>
      </c>
      <c r="E218" s="52">
        <f>装备拆分数值生成!AI58</f>
        <v>53.25</v>
      </c>
      <c r="F218" s="52">
        <f>装备拆分数值生成!AF58</f>
        <v>0</v>
      </c>
    </row>
    <row r="219" spans="1:6">
      <c r="A219">
        <f t="shared" si="2"/>
        <v>10405</v>
      </c>
      <c r="B219" s="52">
        <f>装备拆分数值生成!AG64</f>
        <v>0</v>
      </c>
      <c r="C219" s="52">
        <f>装备拆分数值生成!AH64</f>
        <v>37.200000000000003</v>
      </c>
      <c r="D219" s="52">
        <v>0</v>
      </c>
      <c r="E219" s="52">
        <f>装备拆分数值生成!AI64</f>
        <v>0</v>
      </c>
      <c r="F219" s="52">
        <f>装备拆分数值生成!AF64</f>
        <v>163.65</v>
      </c>
    </row>
    <row r="220" spans="1:6">
      <c r="A220">
        <f t="shared" ref="A220:A227" si="3">A190+100</f>
        <v>10406</v>
      </c>
      <c r="B220" s="52">
        <f>装备拆分数值生成!AG70</f>
        <v>0</v>
      </c>
      <c r="C220" s="52">
        <f>装备拆分数值生成!AH70</f>
        <v>0</v>
      </c>
      <c r="D220" s="52">
        <v>0</v>
      </c>
      <c r="E220" s="52">
        <f>装备拆分数值生成!AI70</f>
        <v>17.75</v>
      </c>
      <c r="F220" s="52">
        <f>装备拆分数值生成!AF70</f>
        <v>109.10000000000001</v>
      </c>
    </row>
    <row r="221" spans="1:6">
      <c r="A221">
        <f t="shared" si="3"/>
        <v>10411</v>
      </c>
      <c r="B221" s="52">
        <f>装备拆分数值生成!AG41</f>
        <v>210.330288</v>
      </c>
      <c r="C221" s="52">
        <f>装备拆分数值生成!AH41</f>
        <v>210.330288</v>
      </c>
      <c r="D221" s="52">
        <v>0</v>
      </c>
      <c r="E221" s="52">
        <f>装备拆分数值生成!AI41</f>
        <v>0</v>
      </c>
      <c r="F221" s="52">
        <f>装备拆分数值生成!AF41</f>
        <v>0</v>
      </c>
    </row>
    <row r="222" spans="1:6">
      <c r="A222">
        <f t="shared" si="3"/>
        <v>10412</v>
      </c>
      <c r="B222" s="52">
        <f>装备拆分数值生成!AG47</f>
        <v>0</v>
      </c>
      <c r="C222" s="52">
        <f>装备拆分数值生成!AH47</f>
        <v>0</v>
      </c>
      <c r="D222" s="52">
        <v>0</v>
      </c>
      <c r="E222" s="52">
        <f>装备拆分数值生成!AI47</f>
        <v>0</v>
      </c>
      <c r="F222" s="52">
        <f>装备拆分数值生成!AF47</f>
        <v>514.04647</v>
      </c>
    </row>
    <row r="223" spans="1:6">
      <c r="A223">
        <f t="shared" si="3"/>
        <v>10413</v>
      </c>
      <c r="B223" s="52">
        <f>装备拆分数值生成!AG53</f>
        <v>0</v>
      </c>
      <c r="C223" s="52">
        <f>装备拆分数值生成!AH53</f>
        <v>0</v>
      </c>
      <c r="D223" s="52">
        <v>0</v>
      </c>
      <c r="E223" s="52">
        <f>装备拆分数值生成!AI53</f>
        <v>167.26534999999998</v>
      </c>
      <c r="F223" s="52">
        <f>装备拆分数值生成!AF53</f>
        <v>0</v>
      </c>
    </row>
    <row r="224" spans="1:6">
      <c r="A224">
        <f t="shared" si="3"/>
        <v>10414</v>
      </c>
      <c r="B224" s="52">
        <f>装备拆分数值生成!AG59</f>
        <v>0</v>
      </c>
      <c r="C224" s="52">
        <f>装备拆分数值生成!AH59</f>
        <v>0</v>
      </c>
      <c r="D224" s="52">
        <v>0</v>
      </c>
      <c r="E224" s="52">
        <f>装备拆分数值生成!AI59</f>
        <v>100.35920999999999</v>
      </c>
      <c r="F224" s="52">
        <f>装备拆分数值生成!AF59</f>
        <v>0</v>
      </c>
    </row>
    <row r="225" spans="1:6">
      <c r="A225">
        <f t="shared" si="3"/>
        <v>10415</v>
      </c>
      <c r="B225" s="52">
        <f>装备拆分数值生成!AG65</f>
        <v>0</v>
      </c>
      <c r="C225" s="52">
        <f>装备拆分数值生成!AH65</f>
        <v>70.110095999999999</v>
      </c>
      <c r="D225" s="52">
        <v>0</v>
      </c>
      <c r="E225" s="52">
        <f>装备拆分数值生成!AI65</f>
        <v>0</v>
      </c>
      <c r="F225" s="52">
        <f>装备拆分数值生成!AF65</f>
        <v>308.42788200000001</v>
      </c>
    </row>
    <row r="226" spans="1:6">
      <c r="A226">
        <f t="shared" si="3"/>
        <v>10416</v>
      </c>
      <c r="B226" s="52">
        <f>装备拆分数值生成!AG71</f>
        <v>0</v>
      </c>
      <c r="C226" s="52">
        <f>装备拆分数值生成!AH71</f>
        <v>0</v>
      </c>
      <c r="D226" s="52">
        <v>0</v>
      </c>
      <c r="E226" s="52">
        <f>装备拆分数值生成!AI71</f>
        <v>33.453069999999997</v>
      </c>
      <c r="F226" s="52">
        <f>装备拆分数值生成!AF71</f>
        <v>205.61858800000002</v>
      </c>
    </row>
    <row r="227" spans="1:6">
      <c r="A227">
        <f t="shared" si="3"/>
        <v>10421</v>
      </c>
      <c r="B227" s="52">
        <f>装备拆分数值生成!AG42</f>
        <v>377.78324443200006</v>
      </c>
      <c r="C227" s="52">
        <f>装备拆分数值生成!AH42</f>
        <v>377.78324443200006</v>
      </c>
      <c r="D227" s="52">
        <v>0</v>
      </c>
      <c r="E227" s="52">
        <f>装备拆分数值生成!AI42</f>
        <v>0</v>
      </c>
      <c r="F227" s="52">
        <f>装备拆分数值生成!AF42</f>
        <v>0</v>
      </c>
    </row>
    <row r="228" spans="1:6">
      <c r="A228">
        <f>A198+100</f>
        <v>10422</v>
      </c>
      <c r="B228" s="52">
        <f>装备拆分数值生成!AG48</f>
        <v>0</v>
      </c>
      <c r="C228" s="52">
        <f>装备拆分数值生成!AH48</f>
        <v>0</v>
      </c>
      <c r="D228" s="52">
        <v>0</v>
      </c>
      <c r="E228" s="52">
        <f>装备拆分数值生成!AI48</f>
        <v>0</v>
      </c>
      <c r="F228" s="52">
        <f>装备拆分数值生成!AF48</f>
        <v>923.30089533000012</v>
      </c>
    </row>
    <row r="229" spans="1:6">
      <c r="A229">
        <f t="shared" ref="A229:A241" si="4">A199+100</f>
        <v>10423</v>
      </c>
      <c r="B229" s="52">
        <f>装备拆分数值生成!AG54</f>
        <v>0</v>
      </c>
      <c r="C229" s="52">
        <f>装备拆分数值生成!AH54</f>
        <v>0</v>
      </c>
      <c r="D229" s="52">
        <v>0</v>
      </c>
      <c r="E229" s="52">
        <f>装备拆分数值生成!AI54</f>
        <v>300.43246365000005</v>
      </c>
      <c r="F229" s="52">
        <f>装备拆分数值生成!AF54</f>
        <v>0</v>
      </c>
    </row>
    <row r="230" spans="1:6">
      <c r="A230">
        <f t="shared" si="4"/>
        <v>10424</v>
      </c>
      <c r="B230" s="52">
        <f>装备拆分数值生成!AG60</f>
        <v>0</v>
      </c>
      <c r="C230" s="52">
        <f>装备拆分数值生成!AH60</f>
        <v>0</v>
      </c>
      <c r="D230" s="52">
        <v>0</v>
      </c>
      <c r="E230" s="52">
        <f>装备拆分数值生成!AI60</f>
        <v>180.25947819000001</v>
      </c>
      <c r="F230" s="52">
        <f>装备拆分数值生成!AF60</f>
        <v>0</v>
      </c>
    </row>
    <row r="231" spans="1:6">
      <c r="A231">
        <f t="shared" si="4"/>
        <v>10425</v>
      </c>
      <c r="B231" s="52">
        <f>装备拆分数值生成!AG66</f>
        <v>0</v>
      </c>
      <c r="C231" s="52">
        <f>装备拆分数值生成!AH66</f>
        <v>125.92774814400002</v>
      </c>
      <c r="D231" s="52">
        <v>0</v>
      </c>
      <c r="E231" s="52">
        <f>装备拆分数值生成!AI66</f>
        <v>0</v>
      </c>
      <c r="F231" s="52">
        <f>装备拆分数值生成!AF66</f>
        <v>553.98053719800009</v>
      </c>
    </row>
    <row r="232" spans="1:6">
      <c r="A232">
        <f t="shared" si="4"/>
        <v>10426</v>
      </c>
      <c r="B232" s="52">
        <f>装备拆分数值生成!AG72</f>
        <v>0</v>
      </c>
      <c r="C232" s="52">
        <f>装备拆分数值生成!AH72</f>
        <v>0</v>
      </c>
      <c r="D232" s="52">
        <v>0</v>
      </c>
      <c r="E232" s="52">
        <f>装备拆分数值生成!AI72</f>
        <v>60.08649273000001</v>
      </c>
      <c r="F232" s="52">
        <f>装备拆分数值生成!AF72</f>
        <v>369.32035813200008</v>
      </c>
    </row>
    <row r="233" spans="1:6">
      <c r="A233">
        <f t="shared" si="4"/>
        <v>10431</v>
      </c>
      <c r="B233" s="52">
        <f>装备拆分数值生成!AG43</f>
        <v>796.97573004535218</v>
      </c>
      <c r="C233" s="52">
        <f>装备拆分数值生成!AH43</f>
        <v>796.97573004535218</v>
      </c>
      <c r="D233" s="52">
        <v>0</v>
      </c>
      <c r="E233" s="52">
        <f>装备拆分数值生成!AI43</f>
        <v>0</v>
      </c>
      <c r="F233" s="52">
        <f>装备拆分数值生成!AF43</f>
        <v>0</v>
      </c>
    </row>
    <row r="234" spans="1:6">
      <c r="A234">
        <f t="shared" si="4"/>
        <v>10432</v>
      </c>
      <c r="B234" s="52">
        <f>装备拆分数值生成!AG49</f>
        <v>0</v>
      </c>
      <c r="C234" s="52">
        <f>装备拆分数值生成!AH49</f>
        <v>0</v>
      </c>
      <c r="D234" s="52">
        <v>0</v>
      </c>
      <c r="E234" s="52">
        <f>装备拆分数值生成!AI49</f>
        <v>0</v>
      </c>
      <c r="F234" s="52">
        <f>装备拆分数值生成!AF49</f>
        <v>1947.8058276870054</v>
      </c>
    </row>
    <row r="235" spans="1:6">
      <c r="A235">
        <f t="shared" si="4"/>
        <v>10433</v>
      </c>
      <c r="B235" s="52">
        <f>装备拆分数值生成!AG55</f>
        <v>0</v>
      </c>
      <c r="C235" s="52">
        <f>装备拆分数值生成!AH55</f>
        <v>0</v>
      </c>
      <c r="D235" s="52">
        <v>0</v>
      </c>
      <c r="E235" s="52">
        <f>装备拆分数值生成!AI55</f>
        <v>633.79566345452508</v>
      </c>
      <c r="F235" s="52">
        <f>装备拆分数值生成!AF55</f>
        <v>0</v>
      </c>
    </row>
    <row r="236" spans="1:6">
      <c r="A236">
        <f t="shared" si="4"/>
        <v>10434</v>
      </c>
      <c r="B236" s="52">
        <f>装备拆分数值生成!AG61</f>
        <v>0</v>
      </c>
      <c r="C236" s="52">
        <f>装备拆分数值生成!AH61</f>
        <v>0</v>
      </c>
      <c r="D236" s="52">
        <v>0</v>
      </c>
      <c r="E236" s="52">
        <f>装备拆分数值生成!AI61</f>
        <v>380.27739807271502</v>
      </c>
      <c r="F236" s="52">
        <f>装备拆分数值生成!AF61</f>
        <v>0</v>
      </c>
    </row>
    <row r="237" spans="1:6">
      <c r="A237">
        <f t="shared" si="4"/>
        <v>10435</v>
      </c>
      <c r="B237" s="52">
        <f>装备拆分数值生成!AG67</f>
        <v>0</v>
      </c>
      <c r="C237" s="52">
        <f>装备拆分数值生成!AH67</f>
        <v>265.65857668178404</v>
      </c>
      <c r="D237" s="52">
        <v>0</v>
      </c>
      <c r="E237" s="52">
        <f>装备拆分数值生成!AI67</f>
        <v>0</v>
      </c>
      <c r="F237" s="52">
        <f>装备拆分数值生成!AF67</f>
        <v>1168.6834966122033</v>
      </c>
    </row>
    <row r="238" spans="1:6">
      <c r="A238">
        <f t="shared" si="4"/>
        <v>10436</v>
      </c>
      <c r="B238" s="52">
        <f>装备拆分数值生成!AG73</f>
        <v>0</v>
      </c>
      <c r="C238" s="52">
        <f>装备拆分数值生成!AH73</f>
        <v>0</v>
      </c>
      <c r="D238" s="52">
        <v>0</v>
      </c>
      <c r="E238" s="52">
        <f>装备拆分数值生成!AI73</f>
        <v>126.75913269090502</v>
      </c>
      <c r="F238" s="52">
        <f>装备拆分数值生成!AF73</f>
        <v>779.12233107480222</v>
      </c>
    </row>
    <row r="239" spans="1:6">
      <c r="A239">
        <f t="shared" si="4"/>
        <v>10441</v>
      </c>
      <c r="B239" s="52">
        <f>装备拆分数值生成!AG44</f>
        <v>1601.5472518562899</v>
      </c>
      <c r="C239" s="52">
        <f>装备拆分数值生成!AH44</f>
        <v>1601.5472518562899</v>
      </c>
      <c r="D239" s="52">
        <v>0</v>
      </c>
      <c r="E239" s="52">
        <f>装备拆分数值生成!AI44</f>
        <v>0</v>
      </c>
      <c r="F239" s="52">
        <f>装备拆分数值生成!AF44</f>
        <v>0</v>
      </c>
    </row>
    <row r="240" spans="1:6">
      <c r="A240">
        <f t="shared" si="4"/>
        <v>10442</v>
      </c>
      <c r="B240" s="52">
        <f>装备拆分数值生成!AG50</f>
        <v>0</v>
      </c>
      <c r="C240" s="52">
        <f>装备拆分数值生成!AH50</f>
        <v>0</v>
      </c>
      <c r="D240" s="52">
        <v>0</v>
      </c>
      <c r="E240" s="52">
        <f>装备拆分数值生成!AI50</f>
        <v>0</v>
      </c>
      <c r="F240" s="52">
        <f>装备拆分数值生成!AF50</f>
        <v>3914.1757432240424</v>
      </c>
    </row>
    <row r="241" spans="1:6">
      <c r="A241">
        <f t="shared" si="4"/>
        <v>10443</v>
      </c>
      <c r="B241" s="52">
        <f>装备拆分数值生成!AG56</f>
        <v>0</v>
      </c>
      <c r="C241" s="52">
        <f>装备拆分数值生成!AH56</f>
        <v>0</v>
      </c>
      <c r="D241" s="52">
        <v>0</v>
      </c>
      <c r="E241" s="52">
        <f>装备拆分数值生成!AI56</f>
        <v>1273.6318871168974</v>
      </c>
      <c r="F241" s="52">
        <f>装备拆分数值生成!AF56</f>
        <v>0</v>
      </c>
    </row>
    <row r="242" spans="1:6">
      <c r="A242">
        <f>A212+100</f>
        <v>10444</v>
      </c>
      <c r="B242" s="52">
        <f>装备拆分数值生成!AG62</f>
        <v>0</v>
      </c>
      <c r="C242" s="52">
        <f>装备拆分数值生成!AH62</f>
        <v>0</v>
      </c>
      <c r="D242" s="52">
        <v>0</v>
      </c>
      <c r="E242" s="52">
        <f>装备拆分数值生成!AI62</f>
        <v>764.17913227013844</v>
      </c>
      <c r="F242" s="52">
        <f>装备拆分数值生成!AF62</f>
        <v>0</v>
      </c>
    </row>
    <row r="243" spans="1:6">
      <c r="A243">
        <f t="shared" ref="A243:A244" si="5">A213+100</f>
        <v>10445</v>
      </c>
      <c r="B243" s="52">
        <f>装备拆分数值生成!AG68</f>
        <v>0</v>
      </c>
      <c r="C243" s="52">
        <f>装备拆分数值生成!AH68</f>
        <v>533.84908395209675</v>
      </c>
      <c r="D243" s="52">
        <v>0</v>
      </c>
      <c r="E243" s="52">
        <f>装备拆分数值生成!AI68</f>
        <v>0</v>
      </c>
      <c r="F243" s="52">
        <f>装备拆分数值生成!AF68</f>
        <v>2348.5054459344256</v>
      </c>
    </row>
    <row r="244" spans="1:6">
      <c r="A244">
        <f t="shared" si="5"/>
        <v>10446</v>
      </c>
      <c r="B244" s="52">
        <f>装备拆分数值生成!AG74</f>
        <v>0</v>
      </c>
      <c r="C244" s="52">
        <f>装备拆分数值生成!AH74</f>
        <v>0</v>
      </c>
      <c r="D244" s="52">
        <v>0</v>
      </c>
      <c r="E244" s="52">
        <f>装备拆分数值生成!AI74</f>
        <v>254.72637742337949</v>
      </c>
      <c r="F244" s="52">
        <f>装备拆分数值生成!AF74</f>
        <v>1565.6702972896171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14"/>
  <sheetViews>
    <sheetView workbookViewId="0">
      <pane xSplit="37" ySplit="1" topLeftCell="AL2" activePane="bottomRight" state="frozen"/>
      <selection pane="topRight" activeCell="AL1" sqref="AL1"/>
      <selection pane="bottomLeft" activeCell="A2" sqref="A2"/>
      <selection pane="bottomRight" activeCell="G32" sqref="G32"/>
    </sheetView>
  </sheetViews>
  <sheetFormatPr defaultRowHeight="13.5"/>
  <cols>
    <col min="4" max="4" width="8.5" bestFit="1" customWidth="1"/>
    <col min="5" max="5" width="12.75" bestFit="1" customWidth="1"/>
    <col min="6" max="7" width="5.25" bestFit="1" customWidth="1"/>
    <col min="25" max="25" width="10.5" bestFit="1" customWidth="1"/>
    <col min="32" max="32" width="9.5" bestFit="1" customWidth="1"/>
    <col min="33" max="35" width="9.125" bestFit="1" customWidth="1"/>
    <col min="36" max="36" width="9.125" style="9" customWidth="1"/>
  </cols>
  <sheetData>
    <row r="1" spans="2:48">
      <c r="B1" t="s">
        <v>175</v>
      </c>
      <c r="AK1">
        <v>1</v>
      </c>
      <c r="AL1">
        <v>2</v>
      </c>
      <c r="AM1">
        <v>3</v>
      </c>
      <c r="AN1">
        <v>4</v>
      </c>
      <c r="AO1">
        <v>5</v>
      </c>
      <c r="AP1">
        <v>6</v>
      </c>
      <c r="AQ1">
        <v>7</v>
      </c>
      <c r="AR1">
        <v>8</v>
      </c>
      <c r="AS1">
        <v>9</v>
      </c>
      <c r="AT1">
        <v>10</v>
      </c>
      <c r="AU1">
        <v>11</v>
      </c>
      <c r="AV1">
        <v>12</v>
      </c>
    </row>
    <row r="2" spans="2:48">
      <c r="AL2" t="s">
        <v>461</v>
      </c>
      <c r="AM2" t="s">
        <v>450</v>
      </c>
      <c r="AO2" t="s">
        <v>465</v>
      </c>
      <c r="AP2" t="s">
        <v>467</v>
      </c>
      <c r="AQ2" t="s">
        <v>469</v>
      </c>
      <c r="AS2" t="s">
        <v>486</v>
      </c>
      <c r="AU2" t="s">
        <v>487</v>
      </c>
    </row>
    <row r="3" spans="2:48">
      <c r="I3" t="s">
        <v>191</v>
      </c>
      <c r="K3" t="s">
        <v>69</v>
      </c>
      <c r="L3" t="s">
        <v>70</v>
      </c>
      <c r="M3" t="s">
        <v>71</v>
      </c>
      <c r="N3" t="s">
        <v>223</v>
      </c>
      <c r="P3" t="s">
        <v>231</v>
      </c>
      <c r="R3" t="s">
        <v>69</v>
      </c>
      <c r="S3" t="s">
        <v>70</v>
      </c>
      <c r="T3" t="s">
        <v>71</v>
      </c>
      <c r="U3" t="s">
        <v>223</v>
      </c>
      <c r="W3" t="s">
        <v>232</v>
      </c>
      <c r="Y3" t="s">
        <v>69</v>
      </c>
      <c r="Z3" t="s">
        <v>70</v>
      </c>
      <c r="AA3" t="s">
        <v>71</v>
      </c>
      <c r="AB3" t="s">
        <v>223</v>
      </c>
      <c r="AD3" t="s">
        <v>233</v>
      </c>
      <c r="AF3" t="s">
        <v>69</v>
      </c>
      <c r="AG3" t="s">
        <v>70</v>
      </c>
      <c r="AH3" t="s">
        <v>71</v>
      </c>
      <c r="AI3" t="s">
        <v>223</v>
      </c>
      <c r="AM3" t="s">
        <v>463</v>
      </c>
      <c r="AN3" t="s">
        <v>464</v>
      </c>
      <c r="AO3" t="s">
        <v>466</v>
      </c>
      <c r="AP3" t="s">
        <v>468</v>
      </c>
      <c r="AQ3" t="s">
        <v>484</v>
      </c>
      <c r="AR3" t="s">
        <v>485</v>
      </c>
      <c r="AS3" t="s">
        <v>466</v>
      </c>
      <c r="AT3" t="s">
        <v>464</v>
      </c>
      <c r="AU3" t="s">
        <v>466</v>
      </c>
      <c r="AV3" t="s">
        <v>463</v>
      </c>
    </row>
    <row r="4" spans="2:48">
      <c r="I4">
        <v>1</v>
      </c>
      <c r="J4" t="s">
        <v>224</v>
      </c>
      <c r="K4" s="55">
        <f>D8*装备能力拆分!C$26</f>
        <v>0</v>
      </c>
      <c r="L4" s="55">
        <f>E8*装备能力拆分!D$26</f>
        <v>12.888888888888889</v>
      </c>
      <c r="M4" s="55">
        <f>F8*装备能力拆分!E$26</f>
        <v>6.4444444444444446</v>
      </c>
      <c r="N4" s="55">
        <f>G8*装备能力拆分!F$26</f>
        <v>0</v>
      </c>
      <c r="O4" s="52"/>
      <c r="Q4" t="s">
        <v>224</v>
      </c>
      <c r="R4" s="56">
        <f>D17*装备能力拆分!C$26</f>
        <v>0</v>
      </c>
      <c r="S4" s="56">
        <f>E17*装备能力拆分!D$26</f>
        <v>6.4444444444444446</v>
      </c>
      <c r="T4" s="56">
        <f>F17*装备能力拆分!E$26</f>
        <v>12.888888888888889</v>
      </c>
      <c r="U4" s="56">
        <f>G17*装备能力拆分!F$26</f>
        <v>0</v>
      </c>
      <c r="X4" t="s">
        <v>224</v>
      </c>
      <c r="Y4" s="55">
        <f>D26*装备能力拆分!C$26</f>
        <v>0</v>
      </c>
      <c r="Z4" s="55">
        <f>E26*装备能力拆分!D$26</f>
        <v>8.8611111111111125</v>
      </c>
      <c r="AA4" s="55">
        <f>F26*装备能力拆分!E$26</f>
        <v>8.8611111111111125</v>
      </c>
      <c r="AB4" s="55">
        <f>G26*装备能力拆分!F$26</f>
        <v>0</v>
      </c>
      <c r="AE4" t="s">
        <v>224</v>
      </c>
      <c r="AF4" s="56">
        <f>D35*装备能力拆分!C$26</f>
        <v>0</v>
      </c>
      <c r="AG4" s="56">
        <f>E35*装备能力拆分!D$26</f>
        <v>9.6666666666666661</v>
      </c>
      <c r="AH4" s="56">
        <f>F35*装备能力拆分!E$26</f>
        <v>9.6666666666666661</v>
      </c>
      <c r="AI4" s="56">
        <f>G35*装备能力拆分!F$26</f>
        <v>0</v>
      </c>
      <c r="AJ4" s="87"/>
      <c r="AK4">
        <v>1</v>
      </c>
      <c r="AL4" t="s">
        <v>456</v>
      </c>
      <c r="AM4">
        <f>INT(装备拆分数值生成!L$40+(装备拆分数值生成!$AK4-1)*装备拆分数值生成!L$4)</f>
        <v>148</v>
      </c>
      <c r="AN4">
        <f>INT(装备拆分数值生成!M$40+(装备拆分数值生成!$AK4-1)*装备拆分数值生成!M$4)</f>
        <v>74</v>
      </c>
      <c r="AO4">
        <f>INT(装备拆分数值生成!K$46+(装备拆分数值生成!$AK4-1)*装备拆分数值生成!K$10)</f>
        <v>272</v>
      </c>
      <c r="AP4">
        <f>INT(装备拆分数值生成!N$52+(装备拆分数值生成!$AK4-1)*装备拆分数值生成!N$16)</f>
        <v>71</v>
      </c>
      <c r="AQ4">
        <f>INT(装备拆分数值生成!L$58+(装备拆分数值生成!$AK4-1)*装备拆分数值生成!L$22)</f>
        <v>37</v>
      </c>
      <c r="AR4">
        <f>INT(装备拆分数值生成!N$58+(装备拆分数值生成!$AK4-1)*装备拆分数值生成!N$22)</f>
        <v>53</v>
      </c>
      <c r="AS4">
        <f>INT(装备拆分数值生成!K$64+(装备拆分数值生成!$AK4-1)*装备拆分数值生成!K$28)</f>
        <v>218</v>
      </c>
      <c r="AT4">
        <f>INT(装备拆分数值生成!M$64+(装备拆分数值生成!$AK4-1)*装备拆分数值生成!M$28)</f>
        <v>18</v>
      </c>
      <c r="AU4">
        <f>INT(装备拆分数值生成!K$70+(装备拆分数值生成!$AK4-1)*装备拆分数值生成!K$34)</f>
        <v>54</v>
      </c>
      <c r="AV4">
        <f>INT(装备拆分数值生成!L$70+(装备拆分数值生成!$AK4-1)*装备拆分数值生成!L$34)</f>
        <v>74</v>
      </c>
    </row>
    <row r="5" spans="2:48">
      <c r="I5">
        <v>2</v>
      </c>
      <c r="J5" t="s">
        <v>197</v>
      </c>
      <c r="K5" s="55">
        <f>D8*装备能力拆分!C$38</f>
        <v>0</v>
      </c>
      <c r="L5" s="55">
        <f>E8*装备能力拆分!D$38</f>
        <v>19.733333333333334</v>
      </c>
      <c r="M5" s="55">
        <f>F8*装备能力拆分!E$38</f>
        <v>9.8666666666666671</v>
      </c>
      <c r="N5" s="55">
        <f>G8*装备能力拆分!F$38</f>
        <v>0</v>
      </c>
      <c r="O5" s="52"/>
      <c r="Q5" t="s">
        <v>197</v>
      </c>
      <c r="R5" s="56">
        <f>D17*装备能力拆分!C$38</f>
        <v>0</v>
      </c>
      <c r="S5" s="56">
        <f>E17*装备能力拆分!D$38</f>
        <v>9.8666666666666671</v>
      </c>
      <c r="T5" s="56">
        <f>F17*装备能力拆分!E$38</f>
        <v>19.733333333333334</v>
      </c>
      <c r="U5" s="56">
        <f>G17*装备能力拆分!F$38</f>
        <v>0</v>
      </c>
      <c r="X5" t="s">
        <v>197</v>
      </c>
      <c r="Y5" s="55">
        <f>D26*装备能力拆分!C$38</f>
        <v>0</v>
      </c>
      <c r="Z5" s="55">
        <f>E26*装备能力拆分!D$38</f>
        <v>13.566666666666668</v>
      </c>
      <c r="AA5" s="55">
        <f>F26*装备能力拆分!E$38</f>
        <v>13.566666666666668</v>
      </c>
      <c r="AB5" s="55">
        <f>G26*装备能力拆分!F$38</f>
        <v>0</v>
      </c>
      <c r="AE5" t="s">
        <v>197</v>
      </c>
      <c r="AF5" s="55">
        <f>D35*装备能力拆分!C$38</f>
        <v>0</v>
      </c>
      <c r="AG5" s="55">
        <f>E35*装备能力拆分!D$38</f>
        <v>14.8</v>
      </c>
      <c r="AH5" s="55">
        <f>F35*装备能力拆分!E$38</f>
        <v>14.8</v>
      </c>
      <c r="AI5" s="55">
        <f>G35*装备能力拆分!F$38</f>
        <v>0</v>
      </c>
      <c r="AJ5" s="57"/>
      <c r="AK5">
        <v>2</v>
      </c>
      <c r="AL5" t="s">
        <v>451</v>
      </c>
      <c r="AM5">
        <f>INT(装备拆分数值生成!L$40+(装备拆分数值生成!$AK5-1)*装备拆分数值生成!L$4)</f>
        <v>161</v>
      </c>
      <c r="AN5">
        <f>INT(装备拆分数值生成!M$40+(装备拆分数值生成!$AK5-1)*装备拆分数值生成!M$4)</f>
        <v>80</v>
      </c>
      <c r="AO5">
        <f>INT(装备拆分数值生成!K$46+(装备拆分数值生成!$AK5-1)*装备拆分数值生成!K$10)</f>
        <v>296</v>
      </c>
      <c r="AP5">
        <f>INT(装备拆分数值生成!N$52+(装备拆分数值生成!$AK5-1)*装备拆分数值生成!N$16)</f>
        <v>77</v>
      </c>
      <c r="AQ5">
        <f>INT(装备拆分数值生成!L$58+(装备拆分数值生成!$AK5-1)*装备拆分数值生成!L$22)</f>
        <v>40</v>
      </c>
      <c r="AR5">
        <f>INT(装备拆分数值生成!N$58+(装备拆分数值生成!$AK5-1)*装备拆分数值生成!N$22)</f>
        <v>57</v>
      </c>
      <c r="AS5">
        <f>INT(装备拆分数值生成!K$64+(装备拆分数值生成!$AK5-1)*装备拆分数值生成!K$28)</f>
        <v>237</v>
      </c>
      <c r="AT5">
        <f>INT(装备拆分数值生成!M$64+(装备拆分数值生成!$AK5-1)*装备拆分数值生成!M$28)</f>
        <v>20</v>
      </c>
      <c r="AU5">
        <f>INT(装备拆分数值生成!K$70+(装备拆分数值生成!$AK5-1)*装备拆分数值生成!K$34)</f>
        <v>59</v>
      </c>
      <c r="AV5">
        <f>INT(装备拆分数值生成!L$70+(装备拆分数值生成!$AK5-1)*装备拆分数值生成!L$34)</f>
        <v>80</v>
      </c>
    </row>
    <row r="6" spans="2:48">
      <c r="C6" t="s">
        <v>136</v>
      </c>
      <c r="D6" s="3">
        <f>SUM(D8:D13)</f>
        <v>1</v>
      </c>
      <c r="E6" s="3">
        <f>SUM(E8:E13)</f>
        <v>1.4</v>
      </c>
      <c r="F6" s="3">
        <f>SUM(F8:F13)</f>
        <v>0.5</v>
      </c>
      <c r="G6" s="3">
        <f>SUM(G8:G13)</f>
        <v>0.7</v>
      </c>
      <c r="H6">
        <f>E6+F6/(G6*D6)</f>
        <v>2.1142857142857143</v>
      </c>
      <c r="I6">
        <v>3</v>
      </c>
      <c r="J6" t="s">
        <v>203</v>
      </c>
      <c r="K6" s="55">
        <f>D8*装备能力拆分!C$50</f>
        <v>0</v>
      </c>
      <c r="L6" s="55">
        <f>E8*装备能力拆分!D$50</f>
        <v>30.933333333333334</v>
      </c>
      <c r="M6" s="55">
        <f>F8*装备能力拆分!E$50</f>
        <v>15.466666666666667</v>
      </c>
      <c r="N6" s="55">
        <f>G8*装备能力拆分!F$50</f>
        <v>0</v>
      </c>
      <c r="O6" s="52"/>
      <c r="Q6" t="s">
        <v>203</v>
      </c>
      <c r="R6" s="55">
        <f>D17*装备能力拆分!C$50</f>
        <v>0</v>
      </c>
      <c r="S6" s="55">
        <f>E17*装备能力拆分!D$50</f>
        <v>15.466666666666667</v>
      </c>
      <c r="T6" s="55">
        <f>F17*装备能力拆分!E$50</f>
        <v>30.933333333333334</v>
      </c>
      <c r="U6" s="55">
        <f>G17*装备能力拆分!F$50</f>
        <v>0</v>
      </c>
      <c r="X6" t="s">
        <v>203</v>
      </c>
      <c r="Y6" s="55">
        <f>D26*装备能力拆分!C$50</f>
        <v>0</v>
      </c>
      <c r="Z6" s="55">
        <f>E26*装备能力拆分!D$50</f>
        <v>21.266666666666666</v>
      </c>
      <c r="AA6" s="55">
        <f>F26*装备能力拆分!E$50</f>
        <v>21.266666666666666</v>
      </c>
      <c r="AB6" s="55">
        <f>G26*装备能力拆分!F$50</f>
        <v>0</v>
      </c>
      <c r="AE6" t="s">
        <v>203</v>
      </c>
      <c r="AF6" s="55">
        <f>D35*装备能力拆分!C$50</f>
        <v>0</v>
      </c>
      <c r="AG6" s="55">
        <f>E35*装备能力拆分!D$50</f>
        <v>23.2</v>
      </c>
      <c r="AH6" s="55">
        <f>F35*装备能力拆分!E$50</f>
        <v>23.2</v>
      </c>
      <c r="AI6" s="55">
        <f>G35*装备能力拆分!F$50</f>
        <v>0</v>
      </c>
      <c r="AJ6" s="57"/>
      <c r="AK6">
        <v>3</v>
      </c>
      <c r="AL6" t="s">
        <v>192</v>
      </c>
      <c r="AM6">
        <f>INT(装备拆分数值生成!L$40+(装备拆分数值生成!$AK6-1)*装备拆分数值生成!L$4)</f>
        <v>174</v>
      </c>
      <c r="AN6">
        <f>INT(装备拆分数值生成!M$40+(装备拆分数值生成!$AK6-1)*装备拆分数值生成!M$4)</f>
        <v>87</v>
      </c>
      <c r="AO6">
        <f>INT(装备拆分数值生成!K$46+(装备拆分数值生成!$AK6-1)*装备拆分数值生成!K$10)</f>
        <v>319</v>
      </c>
      <c r="AP6">
        <f>INT(装备拆分数值生成!N$52+(装备拆分数值生成!$AK6-1)*装备拆分数值生成!N$16)</f>
        <v>83</v>
      </c>
      <c r="AQ6">
        <f>INT(装备拆分数值生成!L$58+(装备拆分数值生成!$AK6-1)*装备拆分数值生成!L$22)</f>
        <v>43</v>
      </c>
      <c r="AR6">
        <f>INT(装备拆分数值生成!N$58+(装备拆分数值生成!$AK6-1)*装备拆分数值生成!N$22)</f>
        <v>62</v>
      </c>
      <c r="AS6">
        <f>INT(装备拆分数值生成!K$64+(装备拆分数值生成!$AK6-1)*装备拆分数值生成!K$28)</f>
        <v>255</v>
      </c>
      <c r="AT6">
        <f>INT(装备拆分数值生成!M$64+(装备拆分数值生成!$AK6-1)*装备拆分数值生成!M$28)</f>
        <v>21</v>
      </c>
      <c r="AU6">
        <f>INT(装备拆分数值生成!K$70+(装备拆分数值生成!$AK6-1)*装备拆分数值生成!K$34)</f>
        <v>63</v>
      </c>
      <c r="AV6">
        <f>INT(装备拆分数值生成!L$70+(装备拆分数值生成!$AK6-1)*装备拆分数值生成!L$34)</f>
        <v>87</v>
      </c>
    </row>
    <row r="7" spans="2:48">
      <c r="B7" t="s">
        <v>147</v>
      </c>
      <c r="D7" t="s">
        <v>145</v>
      </c>
      <c r="E7" t="s">
        <v>144</v>
      </c>
      <c r="F7" t="s">
        <v>143</v>
      </c>
      <c r="G7" t="s">
        <v>146</v>
      </c>
      <c r="I7">
        <v>4</v>
      </c>
      <c r="J7" t="s">
        <v>209</v>
      </c>
      <c r="K7" s="55">
        <f>D8*装备能力拆分!C$62</f>
        <v>0</v>
      </c>
      <c r="L7" s="55">
        <f>E8*装备能力拆分!D$62</f>
        <v>78.044444444444451</v>
      </c>
      <c r="M7" s="55">
        <f>F8*装备能力拆分!E$62</f>
        <v>39.022222222222226</v>
      </c>
      <c r="N7" s="55">
        <f>G8*装备能力拆分!F$62</f>
        <v>0</v>
      </c>
      <c r="O7" s="52"/>
      <c r="Q7" t="s">
        <v>209</v>
      </c>
      <c r="R7" s="55">
        <f>D17*装备能力拆分!C$62</f>
        <v>0</v>
      </c>
      <c r="S7" s="55">
        <f>E17*装备能力拆分!D$62</f>
        <v>39.022222222222226</v>
      </c>
      <c r="T7" s="55">
        <f>F17*装备能力拆分!E$62</f>
        <v>78.044444444444451</v>
      </c>
      <c r="U7" s="55">
        <f>G17*装备能力拆分!F$62</f>
        <v>0</v>
      </c>
      <c r="X7" t="s">
        <v>209</v>
      </c>
      <c r="Y7" s="55">
        <f>D26*装备能力拆分!C$62</f>
        <v>0</v>
      </c>
      <c r="Z7" s="55">
        <f>E26*装备能力拆分!D$62</f>
        <v>53.655555555555559</v>
      </c>
      <c r="AA7" s="55">
        <f>F26*装备能力拆分!E$62</f>
        <v>53.655555555555559</v>
      </c>
      <c r="AB7" s="55">
        <f>G26*装备能力拆分!F$62</f>
        <v>0</v>
      </c>
      <c r="AE7" t="s">
        <v>209</v>
      </c>
      <c r="AF7" s="55">
        <f>D35*装备能力拆分!C$62</f>
        <v>0</v>
      </c>
      <c r="AG7" s="55">
        <f>E35*装备能力拆分!D$62</f>
        <v>58.533333333333331</v>
      </c>
      <c r="AH7" s="55">
        <f>F35*装备能力拆分!E$62</f>
        <v>58.533333333333331</v>
      </c>
      <c r="AI7" s="55">
        <f>G35*装备能力拆分!F$62</f>
        <v>0</v>
      </c>
      <c r="AJ7" s="57"/>
      <c r="AK7">
        <v>4</v>
      </c>
      <c r="AL7" t="s">
        <v>193</v>
      </c>
      <c r="AM7">
        <f>INT(装备拆分数值生成!L$40+(装备拆分数值生成!$AK7-1)*装备拆分数值生成!L$4)</f>
        <v>187</v>
      </c>
      <c r="AN7">
        <f>INT(装备拆分数值生成!M$40+(装备拆分数值生成!$AK7-1)*装备拆分数值生成!M$4)</f>
        <v>93</v>
      </c>
      <c r="AO7">
        <f>INT(装备拆分数值生成!K$46+(装备拆分数值生成!$AK7-1)*装备拆分数值生成!K$10)</f>
        <v>343</v>
      </c>
      <c r="AP7">
        <f>INT(装备拆分数值生成!N$52+(装备拆分数值生成!$AK7-1)*装备拆分数值生成!N$16)</f>
        <v>89</v>
      </c>
      <c r="AQ7">
        <f>INT(装备拆分数值生成!L$58+(装备拆分数值生成!$AK7-1)*装备拆分数值生成!L$22)</f>
        <v>46</v>
      </c>
      <c r="AR7">
        <f>INT(装备拆分数值生成!N$58+(装备拆分数值生成!$AK7-1)*装备拆分数值生成!N$22)</f>
        <v>67</v>
      </c>
      <c r="AS7">
        <f>INT(装备拆分数值生成!K$64+(装备拆分数值生成!$AK7-1)*装备拆分数值生成!K$28)</f>
        <v>274</v>
      </c>
      <c r="AT7">
        <f>INT(装备拆分数值生成!M$64+(装备拆分数值生成!$AK7-1)*装备拆分数值生成!M$28)</f>
        <v>23</v>
      </c>
      <c r="AU7">
        <f>INT(装备拆分数值生成!K$70+(装备拆分数值生成!$AK7-1)*装备拆分数值生成!K$34)</f>
        <v>68</v>
      </c>
      <c r="AV7">
        <f>INT(装备拆分数值生成!L$70+(装备拆分数值生成!$AK7-1)*装备拆分数值生成!L$34)</f>
        <v>93</v>
      </c>
    </row>
    <row r="8" spans="2:48">
      <c r="C8" t="s">
        <v>137</v>
      </c>
      <c r="E8">
        <v>0.8</v>
      </c>
      <c r="F8">
        <v>0.4</v>
      </c>
      <c r="I8">
        <v>5</v>
      </c>
      <c r="J8" t="s">
        <v>215</v>
      </c>
      <c r="K8" s="55">
        <f>D8*装备能力拆分!C$74</f>
        <v>0</v>
      </c>
      <c r="L8" s="55">
        <f>E8*装备能力拆分!D$74</f>
        <v>170.4</v>
      </c>
      <c r="M8" s="55">
        <f>F8*装备能力拆分!E$74</f>
        <v>85.2</v>
      </c>
      <c r="N8" s="55">
        <f>G8*装备能力拆分!F$74</f>
        <v>0</v>
      </c>
      <c r="O8" s="52"/>
      <c r="Q8" t="s">
        <v>215</v>
      </c>
      <c r="R8" s="55">
        <f>D17*装备能力拆分!C$74</f>
        <v>0</v>
      </c>
      <c r="S8" s="55">
        <f>E17*装备能力拆分!D$74</f>
        <v>85.2</v>
      </c>
      <c r="T8" s="55">
        <f>F17*装备能力拆分!E$74</f>
        <v>170.4</v>
      </c>
      <c r="U8" s="55">
        <f>G17*装备能力拆分!F$74</f>
        <v>0</v>
      </c>
      <c r="X8" t="s">
        <v>215</v>
      </c>
      <c r="Y8" s="55">
        <f>D26*装备能力拆分!C$74</f>
        <v>0</v>
      </c>
      <c r="Z8" s="55">
        <f>E26*装备能力拆分!D$74</f>
        <v>117.15</v>
      </c>
      <c r="AA8" s="55">
        <f>F26*装备能力拆分!E$74</f>
        <v>117.15</v>
      </c>
      <c r="AB8" s="55">
        <f>G26*装备能力拆分!F$74</f>
        <v>0</v>
      </c>
      <c r="AC8" s="50"/>
      <c r="AE8" t="s">
        <v>215</v>
      </c>
      <c r="AF8" s="55">
        <f>D35*装备能力拆分!C$74</f>
        <v>0</v>
      </c>
      <c r="AG8" s="55">
        <f>E35*装备能力拆分!D$74</f>
        <v>127.8</v>
      </c>
      <c r="AH8" s="55">
        <f>F35*装备能力拆分!E$74</f>
        <v>127.8</v>
      </c>
      <c r="AI8" s="55">
        <f>G35*装备能力拆分!F$74</f>
        <v>0</v>
      </c>
      <c r="AJ8" s="57"/>
      <c r="AK8">
        <v>5</v>
      </c>
      <c r="AL8" t="s">
        <v>194</v>
      </c>
      <c r="AM8">
        <f>INT(装备拆分数值生成!L$40+(装备拆分数值生成!$AK8-1)*装备拆分数值生成!L$4)</f>
        <v>200</v>
      </c>
      <c r="AN8">
        <f>INT(装备拆分数值生成!M$40+(装备拆分数值生成!$AK8-1)*装备拆分数值生成!M$4)</f>
        <v>100</v>
      </c>
      <c r="AO8">
        <f>INT(装备拆分数值生成!K$46+(装备拆分数值生成!$AK8-1)*装备拆分数值生成!K$10)</f>
        <v>366</v>
      </c>
      <c r="AP8">
        <f>INT(装备拆分数值生成!N$52+(装备拆分数值生成!$AK8-1)*装备拆分数值生成!N$16)</f>
        <v>95</v>
      </c>
      <c r="AQ8">
        <f>INT(装备拆分数值生成!L$58+(装备拆分数值生成!$AK8-1)*装备拆分数值生成!L$22)</f>
        <v>50</v>
      </c>
      <c r="AR8">
        <f>INT(装备拆分数值生成!N$58+(装备拆分数值生成!$AK8-1)*装备拆分数值生成!N$22)</f>
        <v>71</v>
      </c>
      <c r="AS8">
        <f>INT(装备拆分数值生成!K$64+(装备拆分数值生成!$AK8-1)*装备拆分数值生成!K$28)</f>
        <v>293</v>
      </c>
      <c r="AT8">
        <f>INT(装备拆分数值生成!M$64+(装备拆分数值生成!$AK8-1)*装备拆分数值生成!M$28)</f>
        <v>25</v>
      </c>
      <c r="AU8">
        <f>INT(装备拆分数值生成!K$70+(装备拆分数值生成!$AK8-1)*装备拆分数值生成!K$34)</f>
        <v>73</v>
      </c>
      <c r="AV8">
        <f>INT(装备拆分数值生成!L$70+(装备拆分数值生成!$AK8-1)*装备拆分数值生成!L$34)</f>
        <v>100</v>
      </c>
    </row>
    <row r="9" spans="2:48">
      <c r="C9" t="s">
        <v>138</v>
      </c>
      <c r="D9">
        <v>0.5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  <c r="AJ9" s="87"/>
      <c r="AK9">
        <v>6</v>
      </c>
      <c r="AL9" t="s">
        <v>195</v>
      </c>
      <c r="AM9">
        <f>INT(装备拆分数值生成!L$40+(装备拆分数值生成!$AK9-1)*装备拆分数值生成!L$4)</f>
        <v>213</v>
      </c>
      <c r="AN9">
        <f>INT(装备拆分数值生成!M$40+(装备拆分数值生成!$AK9-1)*装备拆分数值生成!M$4)</f>
        <v>106</v>
      </c>
      <c r="AO9">
        <f>INT(装备拆分数值生成!K$46+(装备拆分数值生成!$AK9-1)*装备拆分数值生成!K$10)</f>
        <v>390</v>
      </c>
      <c r="AP9">
        <f>INT(装备拆分数值生成!N$52+(装备拆分数值生成!$AK9-1)*装备拆分数值生成!N$16)</f>
        <v>101</v>
      </c>
      <c r="AQ9">
        <f>INT(装备拆分数值生成!L$58+(装备拆分数值生成!$AK9-1)*装备拆分数值生成!L$22)</f>
        <v>53</v>
      </c>
      <c r="AR9">
        <f>INT(装备拆分数值生成!N$58+(装备拆分数值生成!$AK9-1)*装备拆分数值生成!N$22)</f>
        <v>76</v>
      </c>
      <c r="AS9">
        <f>INT(装备拆分数值生成!K$64+(装备拆分数值生成!$AK9-1)*装备拆分数值生成!K$28)</f>
        <v>312</v>
      </c>
      <c r="AT9">
        <f>INT(装备拆分数值生成!M$64+(装备拆分数值生成!$AK9-1)*装备拆分数值生成!M$28)</f>
        <v>26</v>
      </c>
      <c r="AU9">
        <f>INT(装备拆分数值生成!K$70+(装备拆分数值生成!$AK9-1)*装备拆分数值生成!K$34)</f>
        <v>78</v>
      </c>
      <c r="AV9">
        <f>INT(装备拆分数值生成!L$70+(装备拆分数值生成!$AK9-1)*装备拆分数值生成!L$34)</f>
        <v>106</v>
      </c>
    </row>
    <row r="10" spans="2:48">
      <c r="C10" t="s">
        <v>139</v>
      </c>
      <c r="G10">
        <v>0.4</v>
      </c>
      <c r="I10">
        <v>1</v>
      </c>
      <c r="J10" t="s">
        <v>192</v>
      </c>
      <c r="K10" s="55">
        <f>D9*装备能力拆分!C$26</f>
        <v>23.555555555555557</v>
      </c>
      <c r="L10" s="55">
        <f>E9*装备能力拆分!D$26</f>
        <v>0</v>
      </c>
      <c r="M10" s="55">
        <f>F9*装备能力拆分!E$26</f>
        <v>0</v>
      </c>
      <c r="N10" s="55">
        <f>G9*装备能力拆分!F$26</f>
        <v>0</v>
      </c>
      <c r="O10" s="52"/>
      <c r="Q10" t="s">
        <v>192</v>
      </c>
      <c r="R10" s="56">
        <f>D18*装备能力拆分!C$26</f>
        <v>23.555555555555557</v>
      </c>
      <c r="S10" s="56">
        <f>E18*装备能力拆分!D$26</f>
        <v>0</v>
      </c>
      <c r="T10" s="56">
        <f>F18*装备能力拆分!E$26</f>
        <v>0</v>
      </c>
      <c r="U10" s="56">
        <f>G18*装备能力拆分!F$26</f>
        <v>0</v>
      </c>
      <c r="X10" t="s">
        <v>192</v>
      </c>
      <c r="Y10" s="55">
        <f>D27*装备能力拆分!C$26</f>
        <v>37.68888888888889</v>
      </c>
      <c r="Z10" s="55">
        <f>E27*装备能力拆分!D$26</f>
        <v>0</v>
      </c>
      <c r="AA10" s="55">
        <f>F27*装备能力拆分!E$26</f>
        <v>0</v>
      </c>
      <c r="AB10" s="55">
        <f>G27*装备能力拆分!F$26</f>
        <v>0</v>
      </c>
      <c r="AE10" t="s">
        <v>192</v>
      </c>
      <c r="AF10" s="56">
        <f>D36*装备能力拆分!C$26</f>
        <v>23.555555555555557</v>
      </c>
      <c r="AG10" s="56">
        <f>E36*装备能力拆分!D$26</f>
        <v>0</v>
      </c>
      <c r="AH10" s="56">
        <f>F36*装备能力拆分!E$26</f>
        <v>0</v>
      </c>
      <c r="AI10" s="56">
        <f>G36*装备能力拆分!F$26</f>
        <v>0</v>
      </c>
      <c r="AJ10" s="57"/>
      <c r="AK10">
        <v>7</v>
      </c>
      <c r="AL10" t="s">
        <v>196</v>
      </c>
      <c r="AM10">
        <f>INT(装备拆分数值生成!L$40+(装备拆分数值生成!$AK10-1)*装备拆分数值生成!L$4)</f>
        <v>226</v>
      </c>
      <c r="AN10">
        <f>INT(装备拆分数值生成!M$40+(装备拆分数值生成!$AK10-1)*装备拆分数值生成!M$4)</f>
        <v>113</v>
      </c>
      <c r="AO10">
        <f>INT(装备拆分数值生成!K$46+(装备拆分数值生成!$AK10-1)*装备拆分数值生成!K$10)</f>
        <v>414</v>
      </c>
      <c r="AP10">
        <f>INT(装备拆分数值生成!N$52+(装备拆分数值生成!$AK10-1)*装备拆分数值生成!N$16)</f>
        <v>107</v>
      </c>
      <c r="AQ10">
        <f>INT(装备拆分数值生成!L$58+(装备拆分数值生成!$AK10-1)*装备拆分数值生成!L$22)</f>
        <v>56</v>
      </c>
      <c r="AR10">
        <f>INT(装备拆分数值生成!N$58+(装备拆分数值生成!$AK10-1)*装备拆分数值生成!N$22)</f>
        <v>80</v>
      </c>
      <c r="AS10">
        <f>INT(装备拆分数值生成!K$64+(装备拆分数值生成!$AK10-1)*装备拆分数值生成!K$28)</f>
        <v>331</v>
      </c>
      <c r="AT10">
        <f>INT(装备拆分数值生成!M$64+(装备拆分数值生成!$AK10-1)*装备拆分数值生成!M$28)</f>
        <v>28</v>
      </c>
      <c r="AU10">
        <f>INT(装备拆分数值生成!K$70+(装备拆分数值生成!$AK10-1)*装备拆分数值生成!K$34)</f>
        <v>82</v>
      </c>
      <c r="AV10">
        <f>INT(装备拆分数值生成!L$70+(装备拆分数值生成!$AK10-1)*装备拆分数值生成!L$34)</f>
        <v>113</v>
      </c>
    </row>
    <row r="11" spans="2:48">
      <c r="C11" t="s">
        <v>140</v>
      </c>
      <c r="E11">
        <v>0.2</v>
      </c>
      <c r="G11">
        <v>0.3</v>
      </c>
      <c r="I11">
        <v>2</v>
      </c>
      <c r="J11" t="s">
        <v>198</v>
      </c>
      <c r="K11" s="55">
        <f>D9*装备能力拆分!C$38</f>
        <v>36.166666666666664</v>
      </c>
      <c r="L11" s="55">
        <f>E9*装备能力拆分!D$38</f>
        <v>0</v>
      </c>
      <c r="M11" s="55">
        <f>F9*装备能力拆分!E$38</f>
        <v>0</v>
      </c>
      <c r="N11" s="55">
        <f>G9*装备能力拆分!F$38</f>
        <v>0</v>
      </c>
      <c r="O11" s="52"/>
      <c r="Q11" t="s">
        <v>198</v>
      </c>
      <c r="R11" s="56">
        <f>D18*装备能力拆分!C$38</f>
        <v>36.166666666666664</v>
      </c>
      <c r="S11" s="56">
        <f>E18*装备能力拆分!D$38</f>
        <v>0</v>
      </c>
      <c r="T11" s="56">
        <f>F18*装备能力拆分!E$38</f>
        <v>0</v>
      </c>
      <c r="U11" s="56">
        <f>G18*装备能力拆分!F$38</f>
        <v>0</v>
      </c>
      <c r="X11" t="s">
        <v>198</v>
      </c>
      <c r="Y11" s="55">
        <f>D27*装备能力拆分!C$38</f>
        <v>57.866666666666667</v>
      </c>
      <c r="Z11" s="55">
        <f>E27*装备能力拆分!D$38</f>
        <v>0</v>
      </c>
      <c r="AA11" s="55">
        <f>F27*装备能力拆分!E$38</f>
        <v>0</v>
      </c>
      <c r="AB11" s="55">
        <f>G27*装备能力拆分!F$38</f>
        <v>0</v>
      </c>
      <c r="AE11" t="s">
        <v>198</v>
      </c>
      <c r="AF11" s="55">
        <f>D36*装备能力拆分!C$38</f>
        <v>36.166666666666664</v>
      </c>
      <c r="AG11" s="55">
        <f>E36*装备能力拆分!D$38</f>
        <v>0</v>
      </c>
      <c r="AH11" s="55">
        <f>F36*装备能力拆分!E$38</f>
        <v>0</v>
      </c>
      <c r="AI11" s="55">
        <f>G36*装备能力拆分!F$38</f>
        <v>0</v>
      </c>
      <c r="AJ11" s="57"/>
      <c r="AK11">
        <v>8</v>
      </c>
      <c r="AL11" t="s">
        <v>452</v>
      </c>
      <c r="AM11">
        <f>INT(装备拆分数值生成!L$40+(装备拆分数值生成!$AK11-1)*装备拆分数值生成!L$4)</f>
        <v>239</v>
      </c>
      <c r="AN11">
        <f>INT(装备拆分数值生成!M$40+(装备拆分数值生成!$AK11-1)*装备拆分数值生成!M$4)</f>
        <v>119</v>
      </c>
      <c r="AO11">
        <f>INT(装备拆分数值生成!K$46+(装备拆分数值生成!$AK11-1)*装备拆分数值生成!K$10)</f>
        <v>437</v>
      </c>
      <c r="AP11">
        <f>INT(装备拆分数值生成!N$52+(装备拆分数值生成!$AK11-1)*装备拆分数值生成!N$16)</f>
        <v>113</v>
      </c>
      <c r="AQ11">
        <f>INT(装备拆分数值生成!L$58+(装备拆分数值生成!$AK11-1)*装备拆分数值生成!L$22)</f>
        <v>59</v>
      </c>
      <c r="AR11">
        <f>INT(装备拆分数值生成!N$58+(装备拆分数值生成!$AK11-1)*装备拆分数值生成!N$22)</f>
        <v>85</v>
      </c>
      <c r="AS11">
        <f>INT(装备拆分数值生成!K$64+(装备拆分数值生成!$AK11-1)*装备拆分数值生成!K$28)</f>
        <v>350</v>
      </c>
      <c r="AT11">
        <f>INT(装备拆分数值生成!M$64+(装备拆分数值生成!$AK11-1)*装备拆分数值生成!M$28)</f>
        <v>29</v>
      </c>
      <c r="AU11">
        <f>INT(装备拆分数值生成!K$70+(装备拆分数值生成!$AK11-1)*装备拆分数值生成!K$34)</f>
        <v>87</v>
      </c>
      <c r="AV11">
        <f>INT(装备拆分数值生成!L$70+(装备拆分数值生成!$AK11-1)*装备拆分数值生成!L$34)</f>
        <v>119</v>
      </c>
    </row>
    <row r="12" spans="2:48">
      <c r="C12" t="s">
        <v>141</v>
      </c>
      <c r="D12">
        <v>0.4</v>
      </c>
      <c r="F12">
        <v>0.1</v>
      </c>
      <c r="I12">
        <v>3</v>
      </c>
      <c r="J12" t="s">
        <v>204</v>
      </c>
      <c r="K12" s="55">
        <f>D9*装备能力拆分!C$50</f>
        <v>56.666666666666664</v>
      </c>
      <c r="L12" s="55">
        <f>E9*装备能力拆分!D$50</f>
        <v>0</v>
      </c>
      <c r="M12" s="55">
        <f>F9*装备能力拆分!E$50</f>
        <v>0</v>
      </c>
      <c r="N12" s="55">
        <f>G9*装备能力拆分!F$50</f>
        <v>0</v>
      </c>
      <c r="O12" s="52"/>
      <c r="Q12" t="s">
        <v>204</v>
      </c>
      <c r="R12" s="55">
        <f>D18*装备能力拆分!C$50</f>
        <v>56.666666666666664</v>
      </c>
      <c r="S12" s="55">
        <f>E18*装备能力拆分!D$50</f>
        <v>0</v>
      </c>
      <c r="T12" s="55">
        <f>F18*装备能力拆分!E$50</f>
        <v>0</v>
      </c>
      <c r="U12" s="55">
        <f>G18*装备能力拆分!F$50</f>
        <v>0</v>
      </c>
      <c r="X12" t="s">
        <v>204</v>
      </c>
      <c r="Y12" s="55">
        <f>D27*装备能力拆分!C$50</f>
        <v>90.666666666666671</v>
      </c>
      <c r="Z12" s="55">
        <f>E27*装备能力拆分!D$50</f>
        <v>0</v>
      </c>
      <c r="AA12" s="55">
        <f>F27*装备能力拆分!E$50</f>
        <v>0</v>
      </c>
      <c r="AB12" s="55">
        <f>G27*装备能力拆分!F$50</f>
        <v>0</v>
      </c>
      <c r="AE12" t="s">
        <v>204</v>
      </c>
      <c r="AF12" s="55">
        <f>D36*装备能力拆分!C$50</f>
        <v>56.666666666666664</v>
      </c>
      <c r="AG12" s="55">
        <f>E36*装备能力拆分!D$50</f>
        <v>0</v>
      </c>
      <c r="AH12" s="55">
        <f>F36*装备能力拆分!E$50</f>
        <v>0</v>
      </c>
      <c r="AI12" s="55">
        <f>G36*装备能力拆分!F$50</f>
        <v>0</v>
      </c>
      <c r="AJ12" s="87"/>
      <c r="AK12">
        <v>9</v>
      </c>
      <c r="AL12" t="s">
        <v>453</v>
      </c>
      <c r="AM12">
        <f>INT(装备拆分数值生成!L$40+(装备拆分数值生成!$AK12-1)*装备拆分数值生成!L$4)</f>
        <v>251</v>
      </c>
      <c r="AN12">
        <f>INT(装备拆分数值生成!M$40+(装备拆分数值生成!$AK12-1)*装备拆分数值生成!M$4)</f>
        <v>125</v>
      </c>
      <c r="AO12">
        <f>INT(装备拆分数值生成!K$46+(装备拆分数值生成!$AK12-1)*装备拆分数值生成!K$10)</f>
        <v>461</v>
      </c>
      <c r="AP12">
        <f>INT(装备拆分数值生成!N$52+(装备拆分数值生成!$AK12-1)*装备拆分数值生成!N$16)</f>
        <v>120</v>
      </c>
      <c r="AQ12">
        <f>INT(装备拆分数值生成!L$58+(装备拆分数值生成!$AK12-1)*装备拆分数值生成!L$22)</f>
        <v>62</v>
      </c>
      <c r="AR12">
        <f>INT(装备拆分数值生成!N$58+(装备拆分数值生成!$AK12-1)*装备拆分数值生成!N$22)</f>
        <v>90</v>
      </c>
      <c r="AS12">
        <f>INT(装备拆分数值生成!K$64+(装备拆分数值生成!$AK12-1)*装备拆分数值生成!K$28)</f>
        <v>368</v>
      </c>
      <c r="AT12">
        <f>INT(装备拆分数值生成!M$64+(装备拆分数值生成!$AK12-1)*装备拆分数值生成!M$28)</f>
        <v>31</v>
      </c>
      <c r="AU12">
        <f>INT(装备拆分数值生成!K$70+(装备拆分数值生成!$AK12-1)*装备拆分数值生成!K$34)</f>
        <v>92</v>
      </c>
      <c r="AV12">
        <f>INT(装备拆分数值生成!L$70+(装备拆分数值生成!$AK12-1)*装备拆分数值生成!L$34)</f>
        <v>125</v>
      </c>
    </row>
    <row r="13" spans="2:48">
      <c r="C13" t="s">
        <v>142</v>
      </c>
      <c r="D13">
        <v>0.1</v>
      </c>
      <c r="E13">
        <v>0.4</v>
      </c>
      <c r="I13">
        <v>4</v>
      </c>
      <c r="J13" t="s">
        <v>210</v>
      </c>
      <c r="K13" s="55">
        <f>D9*装备能力拆分!C$62</f>
        <v>143</v>
      </c>
      <c r="L13" s="55">
        <f>E9*装备能力拆分!D$62</f>
        <v>0</v>
      </c>
      <c r="M13" s="55">
        <f>F9*装备能力拆分!E$62</f>
        <v>0</v>
      </c>
      <c r="N13" s="55">
        <f>G9*装备能力拆分!F$62</f>
        <v>0</v>
      </c>
      <c r="O13" s="52"/>
      <c r="Q13" t="s">
        <v>210</v>
      </c>
      <c r="R13" s="55">
        <f>D18*装备能力拆分!C$62</f>
        <v>143</v>
      </c>
      <c r="S13" s="55">
        <f>E18*装备能力拆分!D$62</f>
        <v>0</v>
      </c>
      <c r="T13" s="55">
        <f>F18*装备能力拆分!E$62</f>
        <v>0</v>
      </c>
      <c r="U13" s="55">
        <f>G18*装备能力拆分!F$62</f>
        <v>0</v>
      </c>
      <c r="X13" t="s">
        <v>210</v>
      </c>
      <c r="Y13" s="55">
        <f>D27*装备能力拆分!C$62</f>
        <v>228.8</v>
      </c>
      <c r="Z13" s="55">
        <f>E27*装备能力拆分!D$62</f>
        <v>0</v>
      </c>
      <c r="AA13" s="55">
        <f>F27*装备能力拆分!E$62</f>
        <v>0</v>
      </c>
      <c r="AB13" s="55">
        <f>G27*装备能力拆分!F$62</f>
        <v>0</v>
      </c>
      <c r="AE13" t="s">
        <v>210</v>
      </c>
      <c r="AF13" s="55">
        <f>D36*装备能力拆分!C$62</f>
        <v>143</v>
      </c>
      <c r="AG13" s="55">
        <f>E36*装备能力拆分!D$62</f>
        <v>0</v>
      </c>
      <c r="AH13" s="55">
        <f>F36*装备能力拆分!E$62</f>
        <v>0</v>
      </c>
      <c r="AI13" s="55">
        <f>G36*装备能力拆分!F$62</f>
        <v>0</v>
      </c>
      <c r="AJ13" s="57"/>
      <c r="AK13">
        <v>10</v>
      </c>
      <c r="AL13" t="s">
        <v>454</v>
      </c>
      <c r="AM13">
        <f>INT(装备拆分数值生成!L$40+(装备拆分数值生成!$AK13-1)*装备拆分数值生成!L$4)</f>
        <v>264</v>
      </c>
      <c r="AN13">
        <f>INT(装备拆分数值生成!M$40+(装备拆分数值生成!$AK13-1)*装备拆分数值生成!M$4)</f>
        <v>132</v>
      </c>
      <c r="AO13">
        <f>INT(装备拆分数值生成!K$46+(装备拆分数值生成!$AK13-1)*装备拆分数值生成!K$10)</f>
        <v>484</v>
      </c>
      <c r="AP13">
        <f>INT(装备拆分数值生成!N$52+(装备拆分数值生成!$AK13-1)*装备拆分数值生成!N$16)</f>
        <v>126</v>
      </c>
      <c r="AQ13">
        <f>INT(装备拆分数值生成!L$58+(装备拆分数值生成!$AK13-1)*装备拆分数值生成!L$22)</f>
        <v>66</v>
      </c>
      <c r="AR13">
        <f>INT(装备拆分数值生成!N$58+(装备拆分数值生成!$AK13-1)*装备拆分数值生成!N$22)</f>
        <v>94</v>
      </c>
      <c r="AS13">
        <f>INT(装备拆分数值生成!K$64+(装备拆分数值生成!$AK13-1)*装备拆分数值生成!K$28)</f>
        <v>387</v>
      </c>
      <c r="AT13">
        <f>INT(装备拆分数值生成!M$64+(装备拆分数值生成!$AK13-1)*装备拆分数值生成!M$28)</f>
        <v>33</v>
      </c>
      <c r="AU13">
        <f>INT(装备拆分数值生成!K$70+(装备拆分数值生成!$AK13-1)*装备拆分数值生成!K$34)</f>
        <v>96</v>
      </c>
      <c r="AV13">
        <f>INT(装备拆分数值生成!L$70+(装备拆分数值生成!$AK13-1)*装备拆分数值生成!L$34)</f>
        <v>132</v>
      </c>
    </row>
    <row r="14" spans="2:48">
      <c r="I14">
        <v>5</v>
      </c>
      <c r="J14" t="s">
        <v>216</v>
      </c>
      <c r="K14" s="55">
        <f>D9*装备能力拆分!C$74</f>
        <v>312.38888888888891</v>
      </c>
      <c r="L14" s="55">
        <f>E9*装备能力拆分!D$74</f>
        <v>0</v>
      </c>
      <c r="M14" s="55">
        <f>F9*装备能力拆分!E$74</f>
        <v>0</v>
      </c>
      <c r="N14" s="55">
        <f>G9*装备能力拆分!F$74</f>
        <v>0</v>
      </c>
      <c r="O14" s="52"/>
      <c r="Q14" t="s">
        <v>216</v>
      </c>
      <c r="R14" s="55">
        <f>D18*装备能力拆分!C$74</f>
        <v>312.38888888888891</v>
      </c>
      <c r="S14" s="55">
        <f>E18*装备能力拆分!D$74</f>
        <v>0</v>
      </c>
      <c r="T14" s="55">
        <f>F18*装备能力拆分!E$74</f>
        <v>0</v>
      </c>
      <c r="U14" s="55">
        <f>G18*装备能力拆分!F$74</f>
        <v>0</v>
      </c>
      <c r="X14" t="s">
        <v>216</v>
      </c>
      <c r="Y14" s="55">
        <f>D27*装备能力拆分!C$74</f>
        <v>499.82222222222231</v>
      </c>
      <c r="Z14" s="55">
        <f>E27*装备能力拆分!D$74</f>
        <v>0</v>
      </c>
      <c r="AA14" s="55">
        <f>F27*装备能力拆分!E$74</f>
        <v>0</v>
      </c>
      <c r="AB14" s="55">
        <f>G27*装备能力拆分!F$74</f>
        <v>0</v>
      </c>
      <c r="AC14" s="50"/>
      <c r="AE14" t="s">
        <v>216</v>
      </c>
      <c r="AF14" s="55">
        <f>D36*装备能力拆分!C$74</f>
        <v>312.38888888888891</v>
      </c>
      <c r="AG14" s="55">
        <f>E36*装备能力拆分!D$74</f>
        <v>0</v>
      </c>
      <c r="AH14" s="55">
        <f>F36*装备能力拆分!E$74</f>
        <v>0</v>
      </c>
      <c r="AI14" s="55">
        <f>G36*装备能力拆分!F$74</f>
        <v>0</v>
      </c>
      <c r="AJ14" s="57"/>
      <c r="AK14">
        <v>11</v>
      </c>
      <c r="AL14" t="s">
        <v>455</v>
      </c>
      <c r="AM14">
        <f>INT(装备拆分数值生成!L$41+(装备拆分数值生成!$AK14-11)*装备拆分数值生成!L$5)</f>
        <v>280</v>
      </c>
      <c r="AN14">
        <f>INT(装备拆分数值生成!M$41+(装备拆分数值生成!$AK14-11)*装备拆分数值生成!M$5)</f>
        <v>140</v>
      </c>
      <c r="AO14">
        <f>INT(装备拆分数值生成!K$47+(装备拆分数值生成!$AK14-11)*装备拆分数值生成!K$11)</f>
        <v>514</v>
      </c>
      <c r="AP14">
        <f>INT(装备拆分数值生成!N$53+(装备拆分数值生成!$AK14-11)*装备拆分数值生成!N$17)</f>
        <v>133</v>
      </c>
      <c r="AQ14">
        <f>INT(装备拆分数值生成!L$59+(装备拆分数值生成!$AK14-11)*装备拆分数值生成!L$23)</f>
        <v>70</v>
      </c>
      <c r="AR14">
        <f>INT(装备拆分数值生成!N$59+(装备拆分数值生成!$AK14-11)*装备拆分数值生成!N$23)</f>
        <v>100</v>
      </c>
      <c r="AS14">
        <f>INT(装备拆分数值生成!K$65+(装备拆分数值生成!$AK14-11)*装备拆分数值生成!K$29)</f>
        <v>411</v>
      </c>
      <c r="AT14">
        <f>INT(装备拆分数值生成!M$65+(装备拆分数值生成!$AK14-11)*装备拆分数值生成!M$29)</f>
        <v>35</v>
      </c>
      <c r="AU14">
        <f>INT(装备拆分数值生成!K$71+(装备拆分数值生成!$AK14-11)*装备拆分数值生成!K$35)</f>
        <v>102</v>
      </c>
      <c r="AV14">
        <f>INT(装备拆分数值生成!L$71+(装备拆分数值生成!$AK14-11)*装备拆分数值生成!L$35)</f>
        <v>140</v>
      </c>
    </row>
    <row r="15" spans="2:48">
      <c r="D15">
        <f>SUM(D17:D22)</f>
        <v>1</v>
      </c>
      <c r="E15">
        <f>SUM(E17:E22)</f>
        <v>0.5</v>
      </c>
      <c r="F15">
        <f>SUM(F17:F22)</f>
        <v>1.4</v>
      </c>
      <c r="G15">
        <f>SUM(G17:G22)</f>
        <v>0.7</v>
      </c>
      <c r="H15">
        <f>E15+F15/(G15*D15)</f>
        <v>2.5</v>
      </c>
      <c r="K15" s="55"/>
      <c r="L15" s="55"/>
      <c r="M15" s="55"/>
      <c r="N15" s="55"/>
      <c r="O15" s="52"/>
      <c r="R15" s="56"/>
      <c r="S15" s="56"/>
      <c r="T15" s="56"/>
      <c r="U15" s="56"/>
      <c r="Y15" s="55"/>
      <c r="Z15" s="55"/>
      <c r="AA15" s="55"/>
      <c r="AB15" s="55"/>
      <c r="AF15" s="55"/>
      <c r="AG15" s="55"/>
      <c r="AH15" s="55"/>
      <c r="AI15" s="55"/>
      <c r="AJ15" s="57"/>
      <c r="AK15">
        <v>12</v>
      </c>
      <c r="AL15" t="s">
        <v>457</v>
      </c>
      <c r="AM15">
        <f>INT(装备拆分数值生成!L$41+(装备拆分数值生成!$AK15-11)*装备拆分数值生成!L$5)</f>
        <v>300</v>
      </c>
      <c r="AN15">
        <f>INT(装备拆分数值生成!M$41+(装备拆分数值生成!$AK15-11)*装备拆分数值生成!M$5)</f>
        <v>150</v>
      </c>
      <c r="AO15">
        <f>INT(装备拆分数值生成!K$47+(装备拆分数值生成!$AK15-11)*装备拆分数值生成!K$11)</f>
        <v>550</v>
      </c>
      <c r="AP15">
        <f>INT(装备拆分数值生成!N$53+(装备拆分数值生成!$AK15-11)*装备拆分数值生成!N$17)</f>
        <v>143</v>
      </c>
      <c r="AQ15">
        <f>INT(装备拆分数值生成!L$59+(装备拆分数值生成!$AK15-11)*装备拆分数值生成!L$23)</f>
        <v>75</v>
      </c>
      <c r="AR15">
        <f>INT(装备拆分数值生成!N$59+(装备拆分数值生成!$AK15-11)*装备拆分数值生成!N$23)</f>
        <v>107</v>
      </c>
      <c r="AS15">
        <f>INT(装备拆分数值生成!K$65+(装备拆分数值生成!$AK15-11)*装备拆分数值生成!K$29)</f>
        <v>440</v>
      </c>
      <c r="AT15">
        <f>INT(装备拆分数值生成!M$65+(装备拆分数值生成!$AK15-11)*装备拆分数值生成!M$29)</f>
        <v>37</v>
      </c>
      <c r="AU15">
        <f>INT(装备拆分数值生成!K$71+(装备拆分数值生成!$AK15-11)*装备拆分数值生成!K$35)</f>
        <v>110</v>
      </c>
      <c r="AV15">
        <f>INT(装备拆分数值生成!L$71+(装备拆分数值生成!$AK15-11)*装备拆分数值生成!L$35)</f>
        <v>150</v>
      </c>
    </row>
    <row r="16" spans="2:48">
      <c r="B16" t="s">
        <v>148</v>
      </c>
      <c r="D16" t="s">
        <v>145</v>
      </c>
      <c r="E16" t="s">
        <v>144</v>
      </c>
      <c r="F16" t="s">
        <v>143</v>
      </c>
      <c r="G16" t="s">
        <v>146</v>
      </c>
      <c r="I16">
        <v>1</v>
      </c>
      <c r="J16" t="s">
        <v>193</v>
      </c>
      <c r="K16" s="55">
        <f>D10*装备能力拆分!C$26</f>
        <v>0</v>
      </c>
      <c r="L16" s="55">
        <f>E10*装备能力拆分!D$26</f>
        <v>0</v>
      </c>
      <c r="M16" s="55">
        <f>F10*装备能力拆分!E$26</f>
        <v>0</v>
      </c>
      <c r="N16" s="55">
        <f>G10*装备能力拆分!F$26</f>
        <v>6.1333333333333337</v>
      </c>
      <c r="O16" s="52"/>
      <c r="Q16" t="s">
        <v>193</v>
      </c>
      <c r="R16" s="56">
        <f>D19*装备能力拆分!C$26</f>
        <v>0</v>
      </c>
      <c r="S16" s="56">
        <f>E19*装备能力拆分!D$26</f>
        <v>0</v>
      </c>
      <c r="T16" s="56">
        <f>F19*装备能力拆分!E$26</f>
        <v>0</v>
      </c>
      <c r="U16" s="56">
        <f>G19*装备能力拆分!F$26</f>
        <v>6.1333333333333337</v>
      </c>
      <c r="X16" t="s">
        <v>193</v>
      </c>
      <c r="Y16" s="55">
        <f>D28*装备能力拆分!C$26</f>
        <v>0</v>
      </c>
      <c r="Z16" s="55">
        <f>E28*装备能力拆分!D$26</f>
        <v>0</v>
      </c>
      <c r="AA16" s="55">
        <f>F28*装备能力拆分!E$26</f>
        <v>0</v>
      </c>
      <c r="AB16" s="55">
        <f>G28*装备能力拆分!F$26</f>
        <v>9.1999999999999993</v>
      </c>
      <c r="AE16" t="s">
        <v>193</v>
      </c>
      <c r="AF16" s="56">
        <f>D37*装备能力拆分!C$26</f>
        <v>0</v>
      </c>
      <c r="AG16" s="56">
        <f>E37*装备能力拆分!D$26</f>
        <v>0</v>
      </c>
      <c r="AH16" s="56">
        <f>F37*装备能力拆分!E$26</f>
        <v>0</v>
      </c>
      <c r="AI16" s="56">
        <f>G37*装备能力拆分!F$26</f>
        <v>7.666666666666667</v>
      </c>
      <c r="AJ16" s="57"/>
      <c r="AK16">
        <v>13</v>
      </c>
      <c r="AL16" t="s">
        <v>198</v>
      </c>
      <c r="AM16">
        <f>INT(装备拆分数值生成!L$41+(装备拆分数值生成!$AK16-11)*装备拆分数值生成!L$5)</f>
        <v>319</v>
      </c>
      <c r="AN16">
        <f>INT(装备拆分数值生成!M$41+(装备拆分数值生成!$AK16-11)*装备拆分数值生成!M$5)</f>
        <v>159</v>
      </c>
      <c r="AO16">
        <f>INT(装备拆分数值生成!K$47+(装备拆分数值生成!$AK16-11)*装备拆分数值生成!K$11)</f>
        <v>586</v>
      </c>
      <c r="AP16">
        <f>INT(装备拆分数值生成!N$53+(装备拆分数值生成!$AK16-11)*装备拆分数值生成!N$17)</f>
        <v>152</v>
      </c>
      <c r="AQ16">
        <f>INT(装备拆分数值生成!L$59+(装备拆分数值生成!$AK16-11)*装备拆分数值生成!L$23)</f>
        <v>79</v>
      </c>
      <c r="AR16">
        <f>INT(装备拆分数值生成!N$59+(装备拆分数值生成!$AK16-11)*装备拆分数值生成!N$23)</f>
        <v>114</v>
      </c>
      <c r="AS16">
        <f>INT(装备拆分数值生成!K$65+(装备拆分数值生成!$AK16-11)*装备拆分数值生成!K$29)</f>
        <v>469</v>
      </c>
      <c r="AT16">
        <f>INT(装备拆分数值生成!M$65+(装备拆分数值生成!$AK16-11)*装备拆分数值生成!M$29)</f>
        <v>39</v>
      </c>
      <c r="AU16">
        <f>INT(装备拆分数值生成!K$71+(装备拆分数值生成!$AK16-11)*装备拆分数值生成!K$35)</f>
        <v>117</v>
      </c>
      <c r="AV16">
        <f>INT(装备拆分数值生成!L$71+(装备拆分数值生成!$AK16-11)*装备拆分数值生成!L$35)</f>
        <v>159</v>
      </c>
    </row>
    <row r="17" spans="2:48">
      <c r="C17" t="s">
        <v>137</v>
      </c>
      <c r="E17">
        <v>0.4</v>
      </c>
      <c r="F17">
        <v>0.8</v>
      </c>
      <c r="I17">
        <v>2</v>
      </c>
      <c r="J17" t="s">
        <v>199</v>
      </c>
      <c r="K17" s="55">
        <f>D10*装备能力拆分!C$38</f>
        <v>0</v>
      </c>
      <c r="L17" s="55">
        <f>E10*装备能力拆分!D$38</f>
        <v>0</v>
      </c>
      <c r="M17" s="55">
        <f>F10*装备能力拆分!E$38</f>
        <v>0</v>
      </c>
      <c r="N17" s="55">
        <f>G10*装备能力拆分!F$38</f>
        <v>9.4222222222222225</v>
      </c>
      <c r="O17" s="52"/>
      <c r="Q17" t="s">
        <v>199</v>
      </c>
      <c r="R17" s="56">
        <f>D19*装备能力拆分!C$38</f>
        <v>0</v>
      </c>
      <c r="S17" s="56">
        <f>E19*装备能力拆分!D$38</f>
        <v>0</v>
      </c>
      <c r="T17" s="56">
        <f>F19*装备能力拆分!E$38</f>
        <v>0</v>
      </c>
      <c r="U17" s="56">
        <f>G19*装备能力拆分!F$38</f>
        <v>9.4222222222222225</v>
      </c>
      <c r="X17" t="s">
        <v>199</v>
      </c>
      <c r="Y17" s="55">
        <f>D28*装备能力拆分!C$38</f>
        <v>0</v>
      </c>
      <c r="Z17" s="55">
        <f>E28*装备能力拆分!D$38</f>
        <v>0</v>
      </c>
      <c r="AA17" s="55">
        <f>F28*装备能力拆分!E$38</f>
        <v>0</v>
      </c>
      <c r="AB17" s="55">
        <f>G28*装备能力拆分!F$38</f>
        <v>14.133333333333335</v>
      </c>
      <c r="AE17" t="s">
        <v>199</v>
      </c>
      <c r="AF17" s="55">
        <f>D37*装备能力拆分!C$38</f>
        <v>0</v>
      </c>
      <c r="AG17" s="55">
        <f>E37*装备能力拆分!D$38</f>
        <v>0</v>
      </c>
      <c r="AH17" s="55">
        <f>F37*装备能力拆分!E$38</f>
        <v>0</v>
      </c>
      <c r="AI17" s="55">
        <f>G37*装备能力拆分!F$38</f>
        <v>11.777777777777779</v>
      </c>
      <c r="AJ17" s="57"/>
      <c r="AK17">
        <v>14</v>
      </c>
      <c r="AL17" t="s">
        <v>199</v>
      </c>
      <c r="AM17">
        <f>INT(装备拆分数值生成!L$41+(装备拆分数值生成!$AK17-11)*装备拆分数值生成!L$5)</f>
        <v>339</v>
      </c>
      <c r="AN17">
        <f>INT(装备拆分数值生成!M$41+(装备拆分数值生成!$AK17-11)*装备拆分数值生成!M$5)</f>
        <v>169</v>
      </c>
      <c r="AO17">
        <f>INT(装备拆分数值生成!K$47+(装备拆分数值生成!$AK17-11)*装备拆分数值生成!K$11)</f>
        <v>622</v>
      </c>
      <c r="AP17">
        <f>INT(装备拆分数值生成!N$53+(装备拆分数值生成!$AK17-11)*装备拆分数值生成!N$17)</f>
        <v>162</v>
      </c>
      <c r="AQ17">
        <f>INT(装备拆分数值生成!L$59+(装备拆分数值生成!$AK17-11)*装备拆分数值生成!L$23)</f>
        <v>84</v>
      </c>
      <c r="AR17">
        <f>INT(装备拆分数值生成!N$59+(装备拆分数值生成!$AK17-11)*装备拆分数值生成!N$23)</f>
        <v>121</v>
      </c>
      <c r="AS17">
        <f>INT(装备拆分数值生成!K$65+(装备拆分数值生成!$AK17-11)*装备拆分数值生成!K$29)</f>
        <v>498</v>
      </c>
      <c r="AT17">
        <f>INT(装备拆分数值生成!M$65+(装备拆分数值生成!$AK17-11)*装备拆分数值生成!M$29)</f>
        <v>42</v>
      </c>
      <c r="AU17">
        <f>INT(装备拆分数值生成!K$71+(装备拆分数值生成!$AK17-11)*装备拆分数值生成!K$35)</f>
        <v>124</v>
      </c>
      <c r="AV17">
        <f>INT(装备拆分数值生成!L$71+(装备拆分数值生成!$AK17-11)*装备拆分数值生成!L$35)</f>
        <v>169</v>
      </c>
    </row>
    <row r="18" spans="2:48">
      <c r="C18" t="s">
        <v>138</v>
      </c>
      <c r="D18">
        <v>0.5</v>
      </c>
      <c r="I18">
        <v>3</v>
      </c>
      <c r="J18" t="s">
        <v>205</v>
      </c>
      <c r="K18" s="55">
        <f>D10*装备能力拆分!C$50</f>
        <v>0</v>
      </c>
      <c r="L18" s="55">
        <f>E10*装备能力拆分!D$50</f>
        <v>0</v>
      </c>
      <c r="M18" s="55">
        <f>F10*装备能力拆分!E$50</f>
        <v>0</v>
      </c>
      <c r="N18" s="55">
        <f>G10*装备能力拆分!F$50</f>
        <v>14.755555555555555</v>
      </c>
      <c r="O18" s="52"/>
      <c r="Q18" t="s">
        <v>205</v>
      </c>
      <c r="R18" s="55">
        <f>D19*装备能力拆分!C$50</f>
        <v>0</v>
      </c>
      <c r="S18" s="55">
        <f>E19*装备能力拆分!D$50</f>
        <v>0</v>
      </c>
      <c r="T18" s="55">
        <f>F19*装备能力拆分!E$50</f>
        <v>0</v>
      </c>
      <c r="U18" s="55">
        <f>G19*装备能力拆分!F$50</f>
        <v>14.755555555555555</v>
      </c>
      <c r="X18" t="s">
        <v>205</v>
      </c>
      <c r="Y18" s="55">
        <f>D28*装备能力拆分!C$50</f>
        <v>0</v>
      </c>
      <c r="Z18" s="55">
        <f>E28*装备能力拆分!D$50</f>
        <v>0</v>
      </c>
      <c r="AA18" s="55">
        <f>F28*装备能力拆分!E$50</f>
        <v>0</v>
      </c>
      <c r="AB18" s="55">
        <f>G28*装备能力拆分!F$50</f>
        <v>22.133333333333329</v>
      </c>
      <c r="AE18" t="s">
        <v>205</v>
      </c>
      <c r="AF18" s="55">
        <f>D37*装备能力拆分!C$50</f>
        <v>0</v>
      </c>
      <c r="AG18" s="55">
        <f>E37*装备能力拆分!D$50</f>
        <v>0</v>
      </c>
      <c r="AH18" s="55">
        <f>F37*装备能力拆分!E$50</f>
        <v>0</v>
      </c>
      <c r="AI18" s="55">
        <f>G37*装备能力拆分!F$50</f>
        <v>18.444444444444443</v>
      </c>
      <c r="AJ18" s="87"/>
      <c r="AK18">
        <v>15</v>
      </c>
      <c r="AL18" t="s">
        <v>200</v>
      </c>
      <c r="AM18">
        <f>INT(装备拆分数值生成!L$41+(装备拆分数值生成!$AK18-11)*装备拆分数值生成!L$5)</f>
        <v>359</v>
      </c>
      <c r="AN18">
        <f>INT(装备拆分数值生成!M$41+(装备拆分数值生成!$AK18-11)*装备拆分数值生成!M$5)</f>
        <v>179</v>
      </c>
      <c r="AO18">
        <f>INT(装备拆分数值生成!K$47+(装备拆分数值生成!$AK18-11)*装备拆分数值生成!K$11)</f>
        <v>658</v>
      </c>
      <c r="AP18">
        <f>INT(装备拆分数值生成!N$53+(装备拆分数值生成!$AK18-11)*装备拆分数值生成!N$17)</f>
        <v>171</v>
      </c>
      <c r="AQ18">
        <f>INT(装备拆分数值生成!L$59+(装备拆分数值生成!$AK18-11)*装备拆分数值生成!L$23)</f>
        <v>89</v>
      </c>
      <c r="AR18">
        <f>INT(装备拆分数值生成!N$59+(装备拆分数值生成!$AK18-11)*装备拆分数值生成!N$23)</f>
        <v>128</v>
      </c>
      <c r="AS18">
        <f>INT(装备拆分数值生成!K$65+(装备拆分数值生成!$AK18-11)*装备拆分数值生成!K$29)</f>
        <v>526</v>
      </c>
      <c r="AT18">
        <f>INT(装备拆分数值生成!M$65+(装备拆分数值生成!$AK18-11)*装备拆分数值生成!M$29)</f>
        <v>44</v>
      </c>
      <c r="AU18">
        <f>INT(装备拆分数值生成!K$71+(装备拆分数值生成!$AK18-11)*装备拆分数值生成!K$35)</f>
        <v>131</v>
      </c>
      <c r="AV18">
        <f>INT(装备拆分数值生成!L$71+(装备拆分数值生成!$AK18-11)*装备拆分数值生成!L$35)</f>
        <v>179</v>
      </c>
    </row>
    <row r="19" spans="2:48">
      <c r="C19" t="s">
        <v>139</v>
      </c>
      <c r="G19">
        <v>0.4</v>
      </c>
      <c r="I19">
        <v>4</v>
      </c>
      <c r="J19" t="s">
        <v>211</v>
      </c>
      <c r="K19" s="55">
        <f>D10*装备能力拆分!C$62</f>
        <v>0</v>
      </c>
      <c r="L19" s="55">
        <f>E10*装备能力拆分!D$62</f>
        <v>0</v>
      </c>
      <c r="M19" s="55">
        <f>F10*装备能力拆分!E$62</f>
        <v>0</v>
      </c>
      <c r="N19" s="55">
        <f>G10*装备能力拆分!F$62</f>
        <v>37.244444444444447</v>
      </c>
      <c r="O19" s="52"/>
      <c r="Q19" t="s">
        <v>211</v>
      </c>
      <c r="R19" s="55">
        <f>D19*装备能力拆分!C$62</f>
        <v>0</v>
      </c>
      <c r="S19" s="55">
        <f>E19*装备能力拆分!D$62</f>
        <v>0</v>
      </c>
      <c r="T19" s="55">
        <f>F19*装备能力拆分!E$62</f>
        <v>0</v>
      </c>
      <c r="U19" s="55">
        <f>G19*装备能力拆分!F$62</f>
        <v>37.244444444444447</v>
      </c>
      <c r="X19" t="s">
        <v>211</v>
      </c>
      <c r="Y19" s="55">
        <f>D28*装备能力拆分!C$62</f>
        <v>0</v>
      </c>
      <c r="Z19" s="55">
        <f>E28*装备能力拆分!D$62</f>
        <v>0</v>
      </c>
      <c r="AA19" s="55">
        <f>F28*装备能力拆分!E$62</f>
        <v>0</v>
      </c>
      <c r="AB19" s="55">
        <f>G28*装备能力拆分!F$62</f>
        <v>55.866666666666667</v>
      </c>
      <c r="AE19" t="s">
        <v>211</v>
      </c>
      <c r="AF19" s="55">
        <f>D37*装备能力拆分!C$62</f>
        <v>0</v>
      </c>
      <c r="AG19" s="55">
        <f>E37*装备能力拆分!D$62</f>
        <v>0</v>
      </c>
      <c r="AH19" s="55">
        <f>F37*装备能力拆分!E$62</f>
        <v>0</v>
      </c>
      <c r="AI19" s="55">
        <f>G37*装备能力拆分!F$62</f>
        <v>46.555555555555557</v>
      </c>
      <c r="AJ19" s="57"/>
      <c r="AK19">
        <v>16</v>
      </c>
      <c r="AL19" t="s">
        <v>201</v>
      </c>
      <c r="AM19">
        <f>INT(装备拆分数值生成!L$41+(装备拆分数值生成!$AK19-11)*装备拆分数值生成!L$5)</f>
        <v>379</v>
      </c>
      <c r="AN19">
        <f>INT(装备拆分数值生成!M$41+(装备拆分数值生成!$AK19-11)*装备拆分数值生成!M$5)</f>
        <v>189</v>
      </c>
      <c r="AO19">
        <f>INT(装备拆分数值生成!K$47+(装备拆分数值生成!$AK19-11)*装备拆分数值生成!K$11)</f>
        <v>694</v>
      </c>
      <c r="AP19">
        <f>INT(装备拆分数值生成!N$53+(装备拆分数值生成!$AK19-11)*装备拆分数值生成!N$17)</f>
        <v>180</v>
      </c>
      <c r="AQ19">
        <f>INT(装备拆分数值生成!L$59+(装备拆分数值生成!$AK19-11)*装备拆分数值生成!L$23)</f>
        <v>94</v>
      </c>
      <c r="AR19">
        <f>INT(装备拆分数值生成!N$59+(装备拆分数值生成!$AK19-11)*装备拆分数值生成!N$23)</f>
        <v>135</v>
      </c>
      <c r="AS19">
        <f>INT(装备拆分数值生成!K$65+(装备拆分数值生成!$AK19-11)*装备拆分数值生成!K$29)</f>
        <v>555</v>
      </c>
      <c r="AT19">
        <f>INT(装备拆分数值生成!M$65+(装备拆分数值生成!$AK19-11)*装备拆分数值生成!M$29)</f>
        <v>47</v>
      </c>
      <c r="AU19">
        <f>INT(装备拆分数值生成!K$71+(装备拆分数值生成!$AK19-11)*装备拆分数值生成!K$35)</f>
        <v>138</v>
      </c>
      <c r="AV19">
        <f>INT(装备拆分数值生成!L$71+(装备拆分数值生成!$AK19-11)*装备拆分数值生成!L$35)</f>
        <v>189</v>
      </c>
    </row>
    <row r="20" spans="2:48">
      <c r="C20" t="s">
        <v>140</v>
      </c>
      <c r="F20">
        <v>0.2</v>
      </c>
      <c r="G20">
        <v>0.3</v>
      </c>
      <c r="I20">
        <v>5</v>
      </c>
      <c r="J20" t="s">
        <v>217</v>
      </c>
      <c r="K20" s="55">
        <f>D10*装备能力拆分!C$74</f>
        <v>0</v>
      </c>
      <c r="L20" s="55">
        <f>E10*装备能力拆分!D$74</f>
        <v>0</v>
      </c>
      <c r="M20" s="55">
        <f>F10*装备能力拆分!E$74</f>
        <v>0</v>
      </c>
      <c r="N20" s="55">
        <f>G10*装备能力拆分!F$74</f>
        <v>81.333333333333343</v>
      </c>
      <c r="O20" s="52"/>
      <c r="Q20" t="s">
        <v>217</v>
      </c>
      <c r="R20" s="55">
        <f>D19*装备能力拆分!C$74</f>
        <v>0</v>
      </c>
      <c r="S20" s="55">
        <f>E19*装备能力拆分!D$74</f>
        <v>0</v>
      </c>
      <c r="T20" s="55">
        <f>F19*装备能力拆分!E$74</f>
        <v>0</v>
      </c>
      <c r="U20" s="55">
        <f>G19*装备能力拆分!F$74</f>
        <v>81.333333333333343</v>
      </c>
      <c r="X20" t="s">
        <v>217</v>
      </c>
      <c r="Y20" s="55">
        <f>D28*装备能力拆分!C$74</f>
        <v>0</v>
      </c>
      <c r="Z20" s="55">
        <f>E28*装备能力拆分!D$74</f>
        <v>0</v>
      </c>
      <c r="AA20" s="55">
        <f>F28*装备能力拆分!E$74</f>
        <v>0</v>
      </c>
      <c r="AB20" s="55">
        <f>G28*装备能力拆分!F$74</f>
        <v>122</v>
      </c>
      <c r="AC20" s="50"/>
      <c r="AE20" t="s">
        <v>217</v>
      </c>
      <c r="AF20" s="55">
        <f>D37*装备能力拆分!C$74</f>
        <v>0</v>
      </c>
      <c r="AG20" s="55">
        <f>E37*装备能力拆分!D$74</f>
        <v>0</v>
      </c>
      <c r="AH20" s="55">
        <f>F37*装备能力拆分!E$74</f>
        <v>0</v>
      </c>
      <c r="AI20" s="55">
        <f>G37*装备能力拆分!F$74</f>
        <v>101.66666666666667</v>
      </c>
      <c r="AJ20" s="57"/>
      <c r="AK20">
        <v>17</v>
      </c>
      <c r="AL20" t="s">
        <v>202</v>
      </c>
      <c r="AM20">
        <f>INT(装备拆分数值生成!L$41+(装备拆分数值生成!$AK20-11)*装备拆分数值生成!L$5)</f>
        <v>398</v>
      </c>
      <c r="AN20">
        <f>INT(装备拆分数值生成!M$41+(装备拆分数值生成!$AK20-11)*装备拆分数值生成!M$5)</f>
        <v>199</v>
      </c>
      <c r="AO20">
        <f>INT(装备拆分数值生成!K$47+(装备拆分数值生成!$AK20-11)*装备拆分数值生成!K$11)</f>
        <v>731</v>
      </c>
      <c r="AP20">
        <f>INT(装备拆分数值生成!N$53+(装备拆分数值生成!$AK20-11)*装备拆分数值生成!N$17)</f>
        <v>190</v>
      </c>
      <c r="AQ20">
        <f>INT(装备拆分数值生成!L$59+(装备拆分数值生成!$AK20-11)*装备拆分数值生成!L$23)</f>
        <v>99</v>
      </c>
      <c r="AR20">
        <f>INT(装备拆分数值生成!N$59+(装备拆分数值生成!$AK20-11)*装备拆分数值生成!N$23)</f>
        <v>142</v>
      </c>
      <c r="AS20">
        <f>INT(装备拆分数值生成!K$65+(装备拆分数值生成!$AK20-11)*装备拆分数值生成!K$29)</f>
        <v>584</v>
      </c>
      <c r="AT20">
        <f>INT(装备拆分数值生成!M$65+(装备拆分数值生成!$AK20-11)*装备拆分数值生成!M$29)</f>
        <v>49</v>
      </c>
      <c r="AU20">
        <f>INT(装备拆分数值生成!K$71+(装备拆分数值生成!$AK20-11)*装备拆分数值生成!K$35)</f>
        <v>146</v>
      </c>
      <c r="AV20">
        <f>INT(装备拆分数值生成!L$71+(装备拆分数值生成!$AK20-11)*装备拆分数值生成!L$35)</f>
        <v>199</v>
      </c>
    </row>
    <row r="21" spans="2:48">
      <c r="C21" t="s">
        <v>141</v>
      </c>
      <c r="D21">
        <v>0.4</v>
      </c>
      <c r="E21">
        <v>0.1</v>
      </c>
      <c r="K21" s="55"/>
      <c r="L21" s="55"/>
      <c r="M21" s="55"/>
      <c r="N21" s="55"/>
      <c r="O21" s="52"/>
      <c r="R21" s="55"/>
      <c r="S21" s="55"/>
      <c r="T21" s="55"/>
      <c r="U21" s="55"/>
      <c r="Y21" s="55"/>
      <c r="Z21" s="55"/>
      <c r="AA21" s="55"/>
      <c r="AB21" s="55"/>
      <c r="AF21" s="55"/>
      <c r="AG21" s="55"/>
      <c r="AH21" s="55"/>
      <c r="AI21" s="55"/>
      <c r="AJ21" s="57"/>
      <c r="AK21">
        <v>18</v>
      </c>
      <c r="AL21" t="s">
        <v>458</v>
      </c>
      <c r="AM21">
        <f>INT(装备拆分数值生成!L$41+(装备拆分数值生成!$AK21-11)*装备拆分数值生成!L$5)</f>
        <v>418</v>
      </c>
      <c r="AN21">
        <f>INT(装备拆分数值生成!M$41+(装备拆分数值生成!$AK21-11)*装备拆分数值生成!M$5)</f>
        <v>209</v>
      </c>
      <c r="AO21">
        <f>INT(装备拆分数值生成!K$47+(装备拆分数值生成!$AK21-11)*装备拆分数值生成!K$11)</f>
        <v>767</v>
      </c>
      <c r="AP21">
        <f>INT(装备拆分数值生成!N$53+(装备拆分数值生成!$AK21-11)*装备拆分数值生成!N$17)</f>
        <v>199</v>
      </c>
      <c r="AQ21">
        <f>INT(装备拆分数值生成!L$59+(装备拆分数值生成!$AK21-11)*装备拆分数值生成!L$23)</f>
        <v>104</v>
      </c>
      <c r="AR21">
        <f>INT(装备拆分数值生成!N$59+(装备拆分数值生成!$AK21-11)*装备拆分数值生成!N$23)</f>
        <v>149</v>
      </c>
      <c r="AS21">
        <f>INT(装备拆分数值生成!K$65+(装备拆分数值生成!$AK21-11)*装备拆分数值生成!K$29)</f>
        <v>613</v>
      </c>
      <c r="AT21">
        <f>INT(装备拆分数值生成!M$65+(装备拆分数值生成!$AK21-11)*装备拆分数值生成!M$29)</f>
        <v>52</v>
      </c>
      <c r="AU21">
        <f>INT(装备拆分数值生成!K$71+(装备拆分数值生成!$AK21-11)*装备拆分数值生成!K$35)</f>
        <v>153</v>
      </c>
      <c r="AV21">
        <f>INT(装备拆分数值生成!L$71+(装备拆分数值生成!$AK21-11)*装备拆分数值生成!L$35)</f>
        <v>209</v>
      </c>
    </row>
    <row r="22" spans="2:48">
      <c r="C22" t="s">
        <v>142</v>
      </c>
      <c r="D22">
        <v>0.1</v>
      </c>
      <c r="F22">
        <v>0.4</v>
      </c>
      <c r="I22">
        <v>1</v>
      </c>
      <c r="J22" t="s">
        <v>194</v>
      </c>
      <c r="K22" s="55">
        <f>D11*装备能力拆分!C$26</f>
        <v>0</v>
      </c>
      <c r="L22" s="55">
        <f>E11*装备能力拆分!D$26</f>
        <v>3.2222222222222223</v>
      </c>
      <c r="M22" s="55">
        <f>F11*装备能力拆分!E$26</f>
        <v>0</v>
      </c>
      <c r="N22" s="55">
        <f>G11*装备能力拆分!F$26</f>
        <v>4.5999999999999996</v>
      </c>
      <c r="O22" s="52"/>
      <c r="Q22" t="s">
        <v>194</v>
      </c>
      <c r="R22" s="56">
        <f>D20*装备能力拆分!C$26</f>
        <v>0</v>
      </c>
      <c r="S22" s="56">
        <f>E20*装备能力拆分!D$26</f>
        <v>0</v>
      </c>
      <c r="T22" s="56">
        <f>F20*装备能力拆分!E$26</f>
        <v>3.2222222222222223</v>
      </c>
      <c r="U22" s="56">
        <f>G20*装备能力拆分!F$26</f>
        <v>4.5999999999999996</v>
      </c>
      <c r="X22" t="s">
        <v>194</v>
      </c>
      <c r="Y22" s="55">
        <f>D29*装备能力拆分!C$26</f>
        <v>0</v>
      </c>
      <c r="Z22" s="55">
        <f>E29*装备能力拆分!D$26</f>
        <v>0</v>
      </c>
      <c r="AA22" s="55">
        <f>F29*装备能力拆分!E$26</f>
        <v>0</v>
      </c>
      <c r="AB22" s="55">
        <f>G29*装备能力拆分!F$26</f>
        <v>6.9</v>
      </c>
      <c r="AE22" t="s">
        <v>194</v>
      </c>
      <c r="AF22" s="56">
        <f>D38*装备能力拆分!C$26</f>
        <v>0</v>
      </c>
      <c r="AG22" s="56">
        <f>E38*装备能力拆分!D$26</f>
        <v>0</v>
      </c>
      <c r="AH22" s="56">
        <f>F38*装备能力拆分!E$26</f>
        <v>0</v>
      </c>
      <c r="AI22" s="56">
        <f>G38*装备能力拆分!F$26</f>
        <v>4.5999999999999996</v>
      </c>
      <c r="AJ22" s="57"/>
      <c r="AK22">
        <v>19</v>
      </c>
      <c r="AL22" t="s">
        <v>459</v>
      </c>
      <c r="AM22">
        <f>INT(装备拆分数值生成!L$41+(装备拆分数值生成!$AK22-11)*装备拆分数值生成!L$5)</f>
        <v>438</v>
      </c>
      <c r="AN22">
        <f>INT(装备拆分数值生成!M$41+(装备拆分数值生成!$AK22-11)*装备拆分数值生成!M$5)</f>
        <v>219</v>
      </c>
      <c r="AO22">
        <f>INT(装备拆分数值生成!K$47+(装备拆分数值生成!$AK22-11)*装备拆分数值生成!K$11)</f>
        <v>803</v>
      </c>
      <c r="AP22">
        <f>INT(装备拆分数值生成!N$53+(装备拆分数值生成!$AK22-11)*装备拆分数值生成!N$17)</f>
        <v>209</v>
      </c>
      <c r="AQ22">
        <f>INT(装备拆分数值生成!L$59+(装备拆分数值生成!$AK22-11)*装备拆分数值生成!L$23)</f>
        <v>109</v>
      </c>
      <c r="AR22">
        <f>INT(装备拆分数值生成!N$59+(装备拆分数值生成!$AK22-11)*装备拆分数值生成!N$23)</f>
        <v>156</v>
      </c>
      <c r="AS22">
        <f>INT(装备拆分数值生成!K$65+(装备拆分数值生成!$AK22-11)*装备拆分数值生成!K$29)</f>
        <v>642</v>
      </c>
      <c r="AT22">
        <f>INT(装备拆分数值生成!M$65+(装备拆分数值生成!$AK22-11)*装备拆分数值生成!M$29)</f>
        <v>54</v>
      </c>
      <c r="AU22">
        <f>INT(装备拆分数值生成!K$71+(装备拆分数值生成!$AK22-11)*装备拆分数值生成!K$35)</f>
        <v>160</v>
      </c>
      <c r="AV22">
        <f>INT(装备拆分数值生成!L$71+(装备拆分数值生成!$AK22-11)*装备拆分数值生成!L$35)</f>
        <v>219</v>
      </c>
    </row>
    <row r="23" spans="2:48">
      <c r="I23">
        <v>2</v>
      </c>
      <c r="J23" t="s">
        <v>200</v>
      </c>
      <c r="K23" s="55">
        <f>D11*装备能力拆分!C$38</f>
        <v>0</v>
      </c>
      <c r="L23" s="55">
        <f>E11*装备能力拆分!D$38</f>
        <v>4.9333333333333336</v>
      </c>
      <c r="M23" s="55">
        <f>F11*装备能力拆分!E$38</f>
        <v>0</v>
      </c>
      <c r="N23" s="55">
        <f>G11*装备能力拆分!F$38</f>
        <v>7.0666666666666673</v>
      </c>
      <c r="O23" s="52"/>
      <c r="Q23" t="s">
        <v>200</v>
      </c>
      <c r="R23" s="55">
        <f>D20*装备能力拆分!C$38</f>
        <v>0</v>
      </c>
      <c r="S23" s="55">
        <f>E20*装备能力拆分!D$38</f>
        <v>0</v>
      </c>
      <c r="T23" s="55">
        <f>F20*装备能力拆分!E$38</f>
        <v>4.9333333333333336</v>
      </c>
      <c r="U23" s="55">
        <f>G20*装备能力拆分!F$38</f>
        <v>7.0666666666666673</v>
      </c>
      <c r="X23" t="s">
        <v>200</v>
      </c>
      <c r="Y23" s="55">
        <f>D29*装备能力拆分!C$38</f>
        <v>0</v>
      </c>
      <c r="Z23" s="55">
        <f>E29*装备能力拆分!D$38</f>
        <v>0</v>
      </c>
      <c r="AA23" s="55">
        <f>F29*装备能力拆分!E$38</f>
        <v>0</v>
      </c>
      <c r="AB23" s="55">
        <f>G29*装备能力拆分!F$38</f>
        <v>10.600000000000001</v>
      </c>
      <c r="AE23" t="s">
        <v>200</v>
      </c>
      <c r="AF23" s="55">
        <f>D38*装备能力拆分!C$38</f>
        <v>0</v>
      </c>
      <c r="AG23" s="55">
        <f>E38*装备能力拆分!D$38</f>
        <v>0</v>
      </c>
      <c r="AH23" s="55">
        <f>F38*装备能力拆分!E$38</f>
        <v>0</v>
      </c>
      <c r="AI23" s="55">
        <f>G38*装备能力拆分!F$38</f>
        <v>7.0666666666666673</v>
      </c>
      <c r="AJ23" s="57"/>
      <c r="AK23">
        <v>20</v>
      </c>
      <c r="AL23" t="s">
        <v>460</v>
      </c>
      <c r="AM23">
        <f>INT(装备拆分数值生成!L$41+(装备拆分数值生成!$AK23-11)*装备拆分数值生成!L$5)</f>
        <v>458</v>
      </c>
      <c r="AN23">
        <f>INT(装备拆分数值生成!M$41+(装备拆分数值生成!$AK23-11)*装备拆分数值生成!M$5)</f>
        <v>229</v>
      </c>
      <c r="AO23">
        <f>INT(装备拆分数值生成!K$47+(装备拆分数值生成!$AK23-11)*装备拆分数值生成!K$11)</f>
        <v>839</v>
      </c>
      <c r="AP23">
        <f>INT(装备拆分数值生成!N$53+(装备拆分数值生成!$AK23-11)*装备拆分数值生成!N$17)</f>
        <v>218</v>
      </c>
      <c r="AQ23">
        <f>INT(装备拆分数值生成!L$59+(装备拆分数值生成!$AK23-11)*装备拆分数值生成!L$23)</f>
        <v>114</v>
      </c>
      <c r="AR23">
        <f>INT(装备拆分数值生成!N$59+(装备拆分数值生成!$AK23-11)*装备拆分数值生成!N$23)</f>
        <v>163</v>
      </c>
      <c r="AS23">
        <f>INT(装备拆分数值生成!K$65+(装备拆分数值生成!$AK23-11)*装备拆分数值生成!K$29)</f>
        <v>671</v>
      </c>
      <c r="AT23">
        <f>INT(装备拆分数值生成!M$65+(装备拆分数值生成!$AK23-11)*装备拆分数值生成!M$29)</f>
        <v>57</v>
      </c>
      <c r="AU23">
        <f>INT(装备拆分数值生成!K$71+(装备拆分数值生成!$AK23-11)*装备拆分数值生成!K$35)</f>
        <v>167</v>
      </c>
      <c r="AV23">
        <f>INT(装备拆分数值生成!L$71+(装备拆分数值生成!$AK23-11)*装备拆分数值生成!L$35)</f>
        <v>229</v>
      </c>
    </row>
    <row r="24" spans="2:48">
      <c r="D24">
        <f>SUM(D26:D31)</f>
        <v>1.5</v>
      </c>
      <c r="E24">
        <f>SUM(E26:E31)</f>
        <v>0.55000000000000004</v>
      </c>
      <c r="F24">
        <f>SUM(F26:F31)</f>
        <v>0.55000000000000004</v>
      </c>
      <c r="G24">
        <f>SUM(G26:G31)</f>
        <v>1.35</v>
      </c>
      <c r="H24">
        <f>E24+F24/(G24*D24)</f>
        <v>0.82160493827160497</v>
      </c>
      <c r="I24">
        <v>3</v>
      </c>
      <c r="J24" t="s">
        <v>206</v>
      </c>
      <c r="K24" s="55">
        <f>D11*装备能力拆分!C$50</f>
        <v>0</v>
      </c>
      <c r="L24" s="55">
        <f>E11*装备能力拆分!D$50</f>
        <v>7.7333333333333334</v>
      </c>
      <c r="M24" s="55">
        <f>F11*装备能力拆分!E$50</f>
        <v>0</v>
      </c>
      <c r="N24" s="55">
        <f>G11*装备能力拆分!F$50</f>
        <v>11.066666666666665</v>
      </c>
      <c r="O24" s="52"/>
      <c r="Q24" t="s">
        <v>206</v>
      </c>
      <c r="R24" s="55">
        <f>D20*装备能力拆分!C$50</f>
        <v>0</v>
      </c>
      <c r="S24" s="55">
        <f>E20*装备能力拆分!D$50</f>
        <v>0</v>
      </c>
      <c r="T24" s="55">
        <f>F20*装备能力拆分!E$50</f>
        <v>7.7333333333333334</v>
      </c>
      <c r="U24" s="55">
        <f>G20*装备能力拆分!F$50</f>
        <v>11.066666666666665</v>
      </c>
      <c r="X24" t="s">
        <v>206</v>
      </c>
      <c r="Y24" s="55">
        <f>D29*装备能力拆分!C$50</f>
        <v>0</v>
      </c>
      <c r="Z24" s="55">
        <f>E29*装备能力拆分!D$50</f>
        <v>0</v>
      </c>
      <c r="AA24" s="55">
        <f>F29*装备能力拆分!E$50</f>
        <v>0</v>
      </c>
      <c r="AB24" s="55">
        <f>G29*装备能力拆分!F$50</f>
        <v>16.599999999999998</v>
      </c>
      <c r="AE24" t="s">
        <v>206</v>
      </c>
      <c r="AF24" s="55">
        <f>D38*装备能力拆分!C$50</f>
        <v>0</v>
      </c>
      <c r="AG24" s="55">
        <f>E38*装备能力拆分!D$50</f>
        <v>0</v>
      </c>
      <c r="AH24" s="55">
        <f>F38*装备能力拆分!E$50</f>
        <v>0</v>
      </c>
      <c r="AI24" s="55">
        <f>G38*装备能力拆分!F$50</f>
        <v>11.066666666666665</v>
      </c>
      <c r="AJ24" s="57"/>
      <c r="AK24">
        <v>21</v>
      </c>
      <c r="AL24" t="s">
        <v>462</v>
      </c>
      <c r="AM24">
        <f>INT(装备拆分数值生成!L$42+(装备拆分数值生成!$AK24-21)*装备拆分数值生成!L$6)</f>
        <v>503</v>
      </c>
      <c r="AN24">
        <f>INT(装备拆分数值生成!M$42+(装备拆分数值生成!$AK24-21)*装备拆分数值生成!M$6)</f>
        <v>251</v>
      </c>
      <c r="AO24">
        <f>INT(装备拆分数值生成!K$48+(装备拆分数值生成!$AK24-21)*装备拆分数值生成!K$12)</f>
        <v>923</v>
      </c>
      <c r="AP24">
        <f>INT(装备拆分数值生成!N$54+(装备拆分数值生成!$AK24-21)*装备拆分数值生成!N$18)</f>
        <v>240</v>
      </c>
      <c r="AQ24">
        <f>INT(装备拆分数值生成!L$60+(装备拆分数值生成!$AK24-21)*装备拆分数值生成!L$24)</f>
        <v>125</v>
      </c>
      <c r="AR24">
        <f>INT(装备拆分数值生成!N$60+(装备拆分数值生成!$AK24-21)*装备拆分数值生成!N$24)</f>
        <v>180</v>
      </c>
      <c r="AS24">
        <f>INT(装备拆分数值生成!K$66+(装备拆分数值生成!$AK24-21)*装备拆分数值生成!K$30)</f>
        <v>738</v>
      </c>
      <c r="AT24">
        <f>INT(装备拆分数值生成!M$66+(装备拆分数值生成!$AK24-21)*装备拆分数值生成!M$30)</f>
        <v>62</v>
      </c>
      <c r="AU24">
        <f>INT(装备拆分数值生成!K$72+(装备拆分数值生成!$AK24-21)*装备拆分数值生成!K$36)</f>
        <v>184</v>
      </c>
      <c r="AV24">
        <f>INT(装备拆分数值生成!L$72+(装备拆分数值生成!$AK24-21)*装备拆分数值生成!L$36)</f>
        <v>251</v>
      </c>
    </row>
    <row r="25" spans="2:48">
      <c r="B25" t="s">
        <v>166</v>
      </c>
      <c r="D25" t="s">
        <v>145</v>
      </c>
      <c r="E25" t="s">
        <v>144</v>
      </c>
      <c r="F25" t="s">
        <v>143</v>
      </c>
      <c r="G25" t="s">
        <v>146</v>
      </c>
      <c r="I25">
        <v>4</v>
      </c>
      <c r="J25" t="s">
        <v>212</v>
      </c>
      <c r="K25" s="55">
        <f>D11*装备能力拆分!C$62</f>
        <v>0</v>
      </c>
      <c r="L25" s="55">
        <f>E11*装备能力拆分!D$62</f>
        <v>19.511111111111113</v>
      </c>
      <c r="M25" s="55">
        <f>F11*装备能力拆分!E$62</f>
        <v>0</v>
      </c>
      <c r="N25" s="55">
        <f>G11*装备能力拆分!F$62</f>
        <v>27.933333333333334</v>
      </c>
      <c r="O25" s="52"/>
      <c r="Q25" t="s">
        <v>212</v>
      </c>
      <c r="R25" s="55">
        <f>D20*装备能力拆分!C$62</f>
        <v>0</v>
      </c>
      <c r="S25" s="55">
        <f>E20*装备能力拆分!D$62</f>
        <v>0</v>
      </c>
      <c r="T25" s="55">
        <f>F20*装备能力拆分!E$62</f>
        <v>19.511111111111113</v>
      </c>
      <c r="U25" s="55">
        <f>G20*装备能力拆分!F$62</f>
        <v>27.933333333333334</v>
      </c>
      <c r="X25" t="s">
        <v>212</v>
      </c>
      <c r="Y25" s="55">
        <f>D29*装备能力拆分!C$62</f>
        <v>0</v>
      </c>
      <c r="Z25" s="55">
        <f>E29*装备能力拆分!D$62</f>
        <v>0</v>
      </c>
      <c r="AA25" s="55">
        <f>F29*装备能力拆分!E$62</f>
        <v>0</v>
      </c>
      <c r="AB25" s="55">
        <f>G29*装备能力拆分!F$62</f>
        <v>41.900000000000006</v>
      </c>
      <c r="AE25" t="s">
        <v>212</v>
      </c>
      <c r="AF25" s="55">
        <f>D38*装备能力拆分!C$62</f>
        <v>0</v>
      </c>
      <c r="AG25" s="55">
        <f>E38*装备能力拆分!D$62</f>
        <v>0</v>
      </c>
      <c r="AH25" s="55">
        <f>F38*装备能力拆分!E$62</f>
        <v>0</v>
      </c>
      <c r="AI25" s="55">
        <f>G38*装备能力拆分!F$62</f>
        <v>27.933333333333334</v>
      </c>
      <c r="AJ25" s="57"/>
      <c r="AK25">
        <v>22</v>
      </c>
      <c r="AL25" t="s">
        <v>470</v>
      </c>
      <c r="AM25">
        <f>INT(装备拆分数值生成!L$42+(装备拆分数值生成!$AK25-21)*装备拆分数值生成!L$6)</f>
        <v>534</v>
      </c>
      <c r="AN25">
        <f>INT(装备拆分数值生成!M$42+(装备拆分数值生成!$AK25-21)*装备拆分数值生成!M$6)</f>
        <v>267</v>
      </c>
      <c r="AO25">
        <f>INT(装备拆分数值生成!K$48+(装备拆分数值生成!$AK25-21)*装备拆分数值生成!K$12)</f>
        <v>979</v>
      </c>
      <c r="AP25">
        <f>INT(装备拆分数值生成!N$54+(装备拆分数值生成!$AK25-21)*装备拆分数值生成!N$18)</f>
        <v>255</v>
      </c>
      <c r="AQ25">
        <f>INT(装备拆分数值生成!L$60+(装备拆分数值生成!$AK25-21)*装备拆分数值生成!L$24)</f>
        <v>133</v>
      </c>
      <c r="AR25">
        <f>INT(装备拆分数值生成!N$60+(装备拆分数值生成!$AK25-21)*装备拆分数值生成!N$24)</f>
        <v>191</v>
      </c>
      <c r="AS25">
        <f>INT(装备拆分数值生成!K$66+(装备拆分数值生成!$AK25-21)*装备拆分数值生成!K$30)</f>
        <v>783</v>
      </c>
      <c r="AT25">
        <f>INT(装备拆分数值生成!M$66+(装备拆分数值生成!$AK25-21)*装备拆分数值生成!M$30)</f>
        <v>66</v>
      </c>
      <c r="AU25">
        <f>INT(装备拆分数值生成!K$72+(装备拆分数值生成!$AK25-21)*装备拆分数值生成!K$36)</f>
        <v>195</v>
      </c>
      <c r="AV25">
        <f>INT(装备拆分数值生成!L$72+(装备拆分数值生成!$AK25-21)*装备拆分数值生成!L$36)</f>
        <v>267</v>
      </c>
    </row>
    <row r="26" spans="2:48">
      <c r="C26" t="s">
        <v>137</v>
      </c>
      <c r="E26">
        <v>0.55000000000000004</v>
      </c>
      <c r="F26">
        <v>0.55000000000000004</v>
      </c>
      <c r="I26">
        <v>5</v>
      </c>
      <c r="J26" t="s">
        <v>218</v>
      </c>
      <c r="K26" s="55">
        <f>D11*装备能力拆分!C$74</f>
        <v>0</v>
      </c>
      <c r="L26" s="55">
        <f>E11*装备能力拆分!D$74</f>
        <v>42.6</v>
      </c>
      <c r="M26" s="55">
        <f>F11*装备能力拆分!E$74</f>
        <v>0</v>
      </c>
      <c r="N26" s="55">
        <f>G11*装备能力拆分!F$74</f>
        <v>61</v>
      </c>
      <c r="O26" s="52"/>
      <c r="Q26" t="s">
        <v>218</v>
      </c>
      <c r="R26" s="55">
        <f>D20*装备能力拆分!C$74</f>
        <v>0</v>
      </c>
      <c r="S26" s="55">
        <f>E20*装备能力拆分!D$74</f>
        <v>0</v>
      </c>
      <c r="T26" s="55">
        <f>F20*装备能力拆分!E$74</f>
        <v>42.6</v>
      </c>
      <c r="U26" s="55">
        <f>G20*装备能力拆分!F$74</f>
        <v>61</v>
      </c>
      <c r="X26" t="s">
        <v>218</v>
      </c>
      <c r="Y26" s="55">
        <f>D29*装备能力拆分!C$74</f>
        <v>0</v>
      </c>
      <c r="Z26" s="55">
        <f>E29*装备能力拆分!D$74</f>
        <v>0</v>
      </c>
      <c r="AA26" s="55">
        <f>F29*装备能力拆分!E$74</f>
        <v>0</v>
      </c>
      <c r="AB26" s="55">
        <f>G29*装备能力拆分!F$74</f>
        <v>91.5</v>
      </c>
      <c r="AC26" s="50"/>
      <c r="AE26" t="s">
        <v>218</v>
      </c>
      <c r="AF26" s="55">
        <f>D38*装备能力拆分!C$74</f>
        <v>0</v>
      </c>
      <c r="AG26" s="55">
        <f>E38*装备能力拆分!D$74</f>
        <v>0</v>
      </c>
      <c r="AH26" s="55">
        <f>F38*装备能力拆分!E$74</f>
        <v>0</v>
      </c>
      <c r="AI26" s="55">
        <f>G38*装备能力拆分!F$74</f>
        <v>61</v>
      </c>
      <c r="AJ26" s="87"/>
      <c r="AK26">
        <v>23</v>
      </c>
      <c r="AL26" t="s">
        <v>204</v>
      </c>
      <c r="AM26">
        <f>INT(装备拆分数值生成!L$42+(装备拆分数值生成!$AK26-21)*装备拆分数值生成!L$6)</f>
        <v>565</v>
      </c>
      <c r="AN26">
        <f>INT(装备拆分数值生成!M$42+(装备拆分数值生成!$AK26-21)*装备拆分数值生成!M$6)</f>
        <v>282</v>
      </c>
      <c r="AO26">
        <f>INT(装备拆分数值生成!K$48+(装备拆分数值生成!$AK26-21)*装备拆分数值生成!K$12)</f>
        <v>1036</v>
      </c>
      <c r="AP26">
        <f>INT(装备拆分数值生成!N$54+(装备拆分数值生成!$AK26-21)*装备拆分数值生成!N$18)</f>
        <v>269</v>
      </c>
      <c r="AQ26">
        <f>INT(装备拆分数值生成!L$60+(装备拆分数值生成!$AK26-21)*装备拆分数值生成!L$24)</f>
        <v>141</v>
      </c>
      <c r="AR26">
        <f>INT(装备拆分数值生成!N$60+(装备拆分数值生成!$AK26-21)*装备拆分数值生成!N$24)</f>
        <v>202</v>
      </c>
      <c r="AS26">
        <f>INT(装备拆分数值生成!K$66+(装备拆分数值生成!$AK26-21)*装备拆分数值生成!K$30)</f>
        <v>829</v>
      </c>
      <c r="AT26">
        <f>INT(装备拆分数值生成!M$66+(装备拆分数值生成!$AK26-21)*装备拆分数值生成!M$30)</f>
        <v>70</v>
      </c>
      <c r="AU26">
        <f>INT(装备拆分数值生成!K$72+(装备拆分数值生成!$AK26-21)*装备拆分数值生成!K$36)</f>
        <v>207</v>
      </c>
      <c r="AV26">
        <f>INT(装备拆分数值生成!L$72+(装备拆分数值生成!$AK26-21)*装备拆分数值生成!L$36)</f>
        <v>282</v>
      </c>
    </row>
    <row r="27" spans="2:48">
      <c r="C27" t="s">
        <v>138</v>
      </c>
      <c r="D27">
        <v>0.8</v>
      </c>
      <c r="K27" s="55"/>
      <c r="L27" s="55"/>
      <c r="M27" s="55"/>
      <c r="N27" s="55"/>
      <c r="O27" s="52"/>
      <c r="R27" s="55"/>
      <c r="S27" s="55"/>
      <c r="T27" s="55"/>
      <c r="U27" s="55"/>
      <c r="Y27" s="55"/>
      <c r="Z27" s="55"/>
      <c r="AA27" s="55"/>
      <c r="AB27" s="55"/>
      <c r="AF27" s="55"/>
      <c r="AG27" s="55"/>
      <c r="AH27" s="55"/>
      <c r="AI27" s="55"/>
      <c r="AJ27" s="57"/>
      <c r="AK27">
        <v>24</v>
      </c>
      <c r="AL27" t="s">
        <v>205</v>
      </c>
      <c r="AM27">
        <f>INT(装备拆分数值生成!L$42+(装备拆分数值生成!$AK27-21)*装备拆分数值生成!L$6)</f>
        <v>596</v>
      </c>
      <c r="AN27">
        <f>INT(装备拆分数值生成!M$42+(装备拆分数值生成!$AK27-21)*装备拆分数值生成!M$6)</f>
        <v>298</v>
      </c>
      <c r="AO27">
        <f>INT(装备拆分数值生成!K$48+(装备拆分数值生成!$AK27-21)*装备拆分数值生成!K$12)</f>
        <v>1093</v>
      </c>
      <c r="AP27">
        <f>INT(装备拆分数值生成!N$54+(装备拆分数值生成!$AK27-21)*装备拆分数值生成!N$18)</f>
        <v>284</v>
      </c>
      <c r="AQ27">
        <f>INT(装备拆分数值生成!L$60+(装备拆分数值生成!$AK27-21)*装备拆分数值生成!L$24)</f>
        <v>149</v>
      </c>
      <c r="AR27">
        <f>INT(装备拆分数值生成!N$60+(装备拆分数值生成!$AK27-21)*装备拆分数值生成!N$24)</f>
        <v>213</v>
      </c>
      <c r="AS27">
        <f>INT(装备拆分数值生成!K$66+(装备拆分数值生成!$AK27-21)*装备拆分数值生成!K$30)</f>
        <v>874</v>
      </c>
      <c r="AT27">
        <f>INT(装备拆分数值生成!M$66+(装备拆分数值生成!$AK27-21)*装备拆分数值生成!M$30)</f>
        <v>74</v>
      </c>
      <c r="AU27">
        <f>INT(装备拆分数值生成!K$72+(装备拆分数值生成!$AK27-21)*装备拆分数值生成!K$36)</f>
        <v>218</v>
      </c>
      <c r="AV27">
        <f>INT(装备拆分数值生成!L$72+(装备拆分数值生成!$AK27-21)*装备拆分数值生成!L$36)</f>
        <v>298</v>
      </c>
    </row>
    <row r="28" spans="2:48">
      <c r="C28" t="s">
        <v>139</v>
      </c>
      <c r="G28">
        <v>0.6</v>
      </c>
      <c r="I28">
        <v>1</v>
      </c>
      <c r="J28" t="s">
        <v>195</v>
      </c>
      <c r="K28" s="55">
        <f>D12*装备能力拆分!C$26</f>
        <v>18.844444444444445</v>
      </c>
      <c r="L28" s="55">
        <f>E12*装备能力拆分!D$26</f>
        <v>0</v>
      </c>
      <c r="M28" s="55">
        <f>F12*装备能力拆分!E$26</f>
        <v>1.6111111111111112</v>
      </c>
      <c r="N28" s="55">
        <f>G12*装备能力拆分!F$26</f>
        <v>0</v>
      </c>
      <c r="O28" s="52"/>
      <c r="Q28" t="s">
        <v>195</v>
      </c>
      <c r="R28" s="56">
        <f>D21*装备能力拆分!C$26</f>
        <v>18.844444444444445</v>
      </c>
      <c r="S28" s="56">
        <f>E21*装备能力拆分!D$26</f>
        <v>1.6111111111111112</v>
      </c>
      <c r="T28" s="56">
        <f>F21*装备能力拆分!E$26</f>
        <v>0</v>
      </c>
      <c r="U28" s="56">
        <f>G21*装备能力拆分!F$26</f>
        <v>0</v>
      </c>
      <c r="X28" t="s">
        <v>195</v>
      </c>
      <c r="Y28" s="55">
        <f>D30*装备能力拆分!C$26</f>
        <v>23.555555555555557</v>
      </c>
      <c r="Z28" s="55">
        <f>E30*装备能力拆分!D$26</f>
        <v>0</v>
      </c>
      <c r="AA28" s="55">
        <f>F30*装备能力拆分!E$26</f>
        <v>0</v>
      </c>
      <c r="AB28" s="55">
        <f>G30*装备能力拆分!F$26</f>
        <v>0</v>
      </c>
      <c r="AE28" t="s">
        <v>195</v>
      </c>
      <c r="AF28" s="56">
        <f>D39*装备能力拆分!C$26</f>
        <v>14.133333333333335</v>
      </c>
      <c r="AG28" s="56">
        <f>E39*装备能力拆分!D$26</f>
        <v>0</v>
      </c>
      <c r="AH28" s="56">
        <f>F39*装备能力拆分!E$26</f>
        <v>3.2222222222222223</v>
      </c>
      <c r="AI28" s="56">
        <f>G39*装备能力拆分!F$26</f>
        <v>0</v>
      </c>
      <c r="AJ28" s="57"/>
      <c r="AK28">
        <v>25</v>
      </c>
      <c r="AL28" t="s">
        <v>206</v>
      </c>
      <c r="AM28">
        <f>INT(装备拆分数值生成!L$42+(装备拆分数值生成!$AK28-21)*装备拆分数值生成!L$6)</f>
        <v>627</v>
      </c>
      <c r="AN28">
        <f>INT(装备拆分数值生成!M$42+(装备拆分数值生成!$AK28-21)*装备拆分数值生成!M$6)</f>
        <v>313</v>
      </c>
      <c r="AO28">
        <f>INT(装备拆分数值生成!K$48+(装备拆分数值生成!$AK28-21)*装备拆分数值生成!K$12)</f>
        <v>1149</v>
      </c>
      <c r="AP28">
        <f>INT(装备拆分数值生成!N$54+(装备拆分数值生成!$AK28-21)*装备拆分数值生成!N$18)</f>
        <v>299</v>
      </c>
      <c r="AQ28">
        <f>INT(装备拆分数值生成!L$60+(装备拆分数值生成!$AK28-21)*装备拆分数值生成!L$24)</f>
        <v>156</v>
      </c>
      <c r="AR28">
        <f>INT(装备拆分数值生成!N$60+(装备拆分数值生成!$AK28-21)*装备拆分数值生成!N$24)</f>
        <v>224</v>
      </c>
      <c r="AS28">
        <f>INT(装备拆分数值生成!K$66+(装备拆分数值生成!$AK28-21)*装备拆分数值生成!K$30)</f>
        <v>919</v>
      </c>
      <c r="AT28">
        <f>INT(装备拆分数值生成!M$66+(装备拆分数值生成!$AK28-21)*装备拆分数值生成!M$30)</f>
        <v>78</v>
      </c>
      <c r="AU28">
        <f>INT(装备拆分数值生成!K$72+(装备拆分数值生成!$AK28-21)*装备拆分数值生成!K$36)</f>
        <v>229</v>
      </c>
      <c r="AV28">
        <f>INT(装备拆分数值生成!L$72+(装备拆分数值生成!$AK28-21)*装备拆分数值生成!L$36)</f>
        <v>313</v>
      </c>
    </row>
    <row r="29" spans="2:48">
      <c r="C29" t="s">
        <v>140</v>
      </c>
      <c r="G29">
        <v>0.45</v>
      </c>
      <c r="I29">
        <v>2</v>
      </c>
      <c r="J29" t="s">
        <v>201</v>
      </c>
      <c r="K29" s="55">
        <f>D12*装备能力拆分!C$38</f>
        <v>28.933333333333334</v>
      </c>
      <c r="L29" s="55">
        <f>E12*装备能力拆分!D$38</f>
        <v>0</v>
      </c>
      <c r="M29" s="55">
        <f>F12*装备能力拆分!E$38</f>
        <v>2.4666666666666668</v>
      </c>
      <c r="N29" s="55">
        <f>G12*装备能力拆分!F$38</f>
        <v>0</v>
      </c>
      <c r="O29" s="52"/>
      <c r="Q29" t="s">
        <v>201</v>
      </c>
      <c r="R29" s="55">
        <f>D21*装备能力拆分!C$38</f>
        <v>28.933333333333334</v>
      </c>
      <c r="S29" s="55">
        <f>E21*装备能力拆分!D$38</f>
        <v>2.4666666666666668</v>
      </c>
      <c r="T29" s="55">
        <f>F21*装备能力拆分!E$38</f>
        <v>0</v>
      </c>
      <c r="U29" s="55">
        <f>G21*装备能力拆分!F$38</f>
        <v>0</v>
      </c>
      <c r="X29" t="s">
        <v>201</v>
      </c>
      <c r="Y29" s="55">
        <f>D30*装备能力拆分!C$38</f>
        <v>36.166666666666664</v>
      </c>
      <c r="Z29" s="55">
        <f>E30*装备能力拆分!D$38</f>
        <v>0</v>
      </c>
      <c r="AA29" s="55">
        <f>F30*装备能力拆分!E$38</f>
        <v>0</v>
      </c>
      <c r="AB29" s="55">
        <f>G30*装备能力拆分!F$38</f>
        <v>0</v>
      </c>
      <c r="AE29" t="s">
        <v>201</v>
      </c>
      <c r="AF29" s="55">
        <f>D39*装备能力拆分!C$38</f>
        <v>21.7</v>
      </c>
      <c r="AG29" s="55">
        <f>E39*装备能力拆分!D$38</f>
        <v>0</v>
      </c>
      <c r="AH29" s="55">
        <f>F39*装备能力拆分!E$38</f>
        <v>4.9333333333333336</v>
      </c>
      <c r="AI29" s="55">
        <f>G39*装备能力拆分!F$38</f>
        <v>0</v>
      </c>
      <c r="AJ29" s="57"/>
      <c r="AK29">
        <v>26</v>
      </c>
      <c r="AL29" t="s">
        <v>207</v>
      </c>
      <c r="AM29">
        <f>INT(装备拆分数值生成!L$42+(装备拆分数值生成!$AK29-21)*装备拆分数值生成!L$6)</f>
        <v>658</v>
      </c>
      <c r="AN29">
        <f>INT(装备拆分数值生成!M$42+(装备拆分数值生成!$AK29-21)*装备拆分数值生成!M$6)</f>
        <v>329</v>
      </c>
      <c r="AO29">
        <f>INT(装备拆分数值生成!K$48+(装备拆分数值生成!$AK29-21)*装备拆分数值生成!K$12)</f>
        <v>1206</v>
      </c>
      <c r="AP29">
        <f>INT(装备拆分数值生成!N$54+(装备拆分数值生成!$AK29-21)*装备拆分数值生成!N$18)</f>
        <v>314</v>
      </c>
      <c r="AQ29">
        <f>INT(装备拆分数值生成!L$60+(装备拆分数值生成!$AK29-21)*装备拆分数值生成!L$24)</f>
        <v>164</v>
      </c>
      <c r="AR29">
        <f>INT(装备拆分数值生成!N$60+(装备拆分数值生成!$AK29-21)*装备拆分数值生成!N$24)</f>
        <v>235</v>
      </c>
      <c r="AS29">
        <f>INT(装备拆分数值生成!K$66+(装备拆分数值生成!$AK29-21)*装备拆分数值生成!K$30)</f>
        <v>965</v>
      </c>
      <c r="AT29">
        <f>INT(装备拆分数值生成!M$66+(装备拆分数值生成!$AK29-21)*装备拆分数值生成!M$30)</f>
        <v>82</v>
      </c>
      <c r="AU29">
        <f>INT(装备拆分数值生成!K$72+(装备拆分数值生成!$AK29-21)*装备拆分数值生成!K$36)</f>
        <v>241</v>
      </c>
      <c r="AV29">
        <f>INT(装备拆分数值生成!L$72+(装备拆分数值生成!$AK29-21)*装备拆分数值生成!L$36)</f>
        <v>329</v>
      </c>
    </row>
    <row r="30" spans="2:48">
      <c r="C30" t="s">
        <v>141</v>
      </c>
      <c r="D30">
        <v>0.5</v>
      </c>
      <c r="I30">
        <v>3</v>
      </c>
      <c r="J30" t="s">
        <v>207</v>
      </c>
      <c r="K30" s="55">
        <f>D12*装备能力拆分!C$50</f>
        <v>45.333333333333336</v>
      </c>
      <c r="L30" s="55">
        <f>E12*装备能力拆分!D$50</f>
        <v>0</v>
      </c>
      <c r="M30" s="55">
        <f>F12*装备能力拆分!E$50</f>
        <v>3.8666666666666667</v>
      </c>
      <c r="N30" s="55">
        <f>G12*装备能力拆分!F$50</f>
        <v>0</v>
      </c>
      <c r="O30" s="52"/>
      <c r="Q30" t="s">
        <v>207</v>
      </c>
      <c r="R30" s="55">
        <f>D21*装备能力拆分!C$50</f>
        <v>45.333333333333336</v>
      </c>
      <c r="S30" s="55">
        <f>E21*装备能力拆分!D$50</f>
        <v>3.8666666666666667</v>
      </c>
      <c r="T30" s="55">
        <f>F21*装备能力拆分!E$50</f>
        <v>0</v>
      </c>
      <c r="U30" s="55">
        <f>G21*装备能力拆分!F$50</f>
        <v>0</v>
      </c>
      <c r="X30" t="s">
        <v>207</v>
      </c>
      <c r="Y30" s="55">
        <f>D30*装备能力拆分!C$50</f>
        <v>56.666666666666664</v>
      </c>
      <c r="Z30" s="55">
        <f>E30*装备能力拆分!D$50</f>
        <v>0</v>
      </c>
      <c r="AA30" s="55">
        <f>F30*装备能力拆分!E$50</f>
        <v>0</v>
      </c>
      <c r="AB30" s="55">
        <f>G30*装备能力拆分!F$50</f>
        <v>0</v>
      </c>
      <c r="AE30" t="s">
        <v>207</v>
      </c>
      <c r="AF30" s="55">
        <f>D39*装备能力拆分!C$50</f>
        <v>34</v>
      </c>
      <c r="AG30" s="55">
        <f>E39*装备能力拆分!D$50</f>
        <v>0</v>
      </c>
      <c r="AH30" s="55">
        <f>F39*装备能力拆分!E$50</f>
        <v>7.7333333333333334</v>
      </c>
      <c r="AI30" s="55">
        <f>G39*装备能力拆分!F$50</f>
        <v>0</v>
      </c>
      <c r="AJ30" s="57"/>
      <c r="AK30">
        <v>27</v>
      </c>
      <c r="AL30" t="s">
        <v>208</v>
      </c>
      <c r="AM30">
        <f>INT(装备拆分数值生成!L$42+(装备拆分数值生成!$AK30-21)*装备拆分数值生成!L$6)</f>
        <v>689</v>
      </c>
      <c r="AN30">
        <f>INT(装备拆分数值生成!M$42+(装备拆分数值生成!$AK30-21)*装备拆分数值生成!M$6)</f>
        <v>344</v>
      </c>
      <c r="AO30">
        <f>INT(装备拆分数值生成!K$48+(装备拆分数值生成!$AK30-21)*装备拆分数值生成!K$12)</f>
        <v>1263</v>
      </c>
      <c r="AP30">
        <f>INT(装备拆分数值生成!N$54+(装备拆分数值生成!$AK30-21)*装备拆分数值生成!N$18)</f>
        <v>328</v>
      </c>
      <c r="AQ30">
        <f>INT(装备拆分数值生成!L$60+(装备拆分数值生成!$AK30-21)*装备拆分数值生成!L$24)</f>
        <v>172</v>
      </c>
      <c r="AR30">
        <f>INT(装备拆分数值生成!N$60+(装备拆分数值生成!$AK30-21)*装备拆分数值生成!N$24)</f>
        <v>246</v>
      </c>
      <c r="AS30">
        <f>INT(装备拆分数值生成!K$66+(装备拆分数值生成!$AK30-21)*装备拆分数值生成!K$30)</f>
        <v>1010</v>
      </c>
      <c r="AT30">
        <f>INT(装备拆分数值生成!M$66+(装备拆分数值生成!$AK30-21)*装备拆分数值生成!M$30)</f>
        <v>86</v>
      </c>
      <c r="AU30">
        <f>INT(装备拆分数值生成!K$72+(装备拆分数值生成!$AK30-21)*装备拆分数值生成!K$36)</f>
        <v>252</v>
      </c>
      <c r="AV30">
        <f>INT(装备拆分数值生成!L$72+(装备拆分数值生成!$AK30-21)*装备拆分数值生成!L$36)</f>
        <v>344</v>
      </c>
    </row>
    <row r="31" spans="2:48">
      <c r="C31" t="s">
        <v>142</v>
      </c>
      <c r="D31">
        <v>0.2</v>
      </c>
      <c r="G31">
        <v>0.3</v>
      </c>
      <c r="I31">
        <v>4</v>
      </c>
      <c r="J31" t="s">
        <v>213</v>
      </c>
      <c r="K31" s="55">
        <f>D12*装备能力拆分!C$62</f>
        <v>114.4</v>
      </c>
      <c r="L31" s="55">
        <f>E12*装备能力拆分!D$62</f>
        <v>0</v>
      </c>
      <c r="M31" s="55">
        <f>F12*装备能力拆分!E$62</f>
        <v>9.7555555555555564</v>
      </c>
      <c r="N31" s="55">
        <f>G12*装备能力拆分!F$62</f>
        <v>0</v>
      </c>
      <c r="O31" s="52"/>
      <c r="Q31" t="s">
        <v>213</v>
      </c>
      <c r="R31" s="55">
        <f>D21*装备能力拆分!C$62</f>
        <v>114.4</v>
      </c>
      <c r="S31" s="55">
        <f>E21*装备能力拆分!D$62</f>
        <v>9.7555555555555564</v>
      </c>
      <c r="T31" s="55">
        <f>F21*装备能力拆分!E$62</f>
        <v>0</v>
      </c>
      <c r="U31" s="55">
        <f>G21*装备能力拆分!F$62</f>
        <v>0</v>
      </c>
      <c r="X31" t="s">
        <v>213</v>
      </c>
      <c r="Y31" s="55">
        <f>D30*装备能力拆分!C$62</f>
        <v>143</v>
      </c>
      <c r="Z31" s="55">
        <f>E30*装备能力拆分!D$62</f>
        <v>0</v>
      </c>
      <c r="AA31" s="55">
        <f>F30*装备能力拆分!E$62</f>
        <v>0</v>
      </c>
      <c r="AB31" s="55">
        <f>G30*装备能力拆分!F$62</f>
        <v>0</v>
      </c>
      <c r="AE31" t="s">
        <v>213</v>
      </c>
      <c r="AF31" s="55">
        <f>D39*装备能力拆分!C$62</f>
        <v>85.8</v>
      </c>
      <c r="AG31" s="55">
        <f>E39*装备能力拆分!D$62</f>
        <v>0</v>
      </c>
      <c r="AH31" s="55">
        <f>F39*装备能力拆分!E$62</f>
        <v>19.511111111111113</v>
      </c>
      <c r="AI31" s="55">
        <f>G39*装备能力拆分!F$62</f>
        <v>0</v>
      </c>
      <c r="AJ31" s="57"/>
      <c r="AK31">
        <v>28</v>
      </c>
      <c r="AL31" t="s">
        <v>471</v>
      </c>
      <c r="AM31">
        <f>INT(装备拆分数值生成!L$42+(装备拆分数值生成!$AK31-21)*装备拆分数值生成!L$6)</f>
        <v>720</v>
      </c>
      <c r="AN31">
        <f>INT(装备拆分数值生成!M$42+(装备拆分数值生成!$AK31-21)*装备拆分数值生成!M$6)</f>
        <v>360</v>
      </c>
      <c r="AO31">
        <f>INT(装备拆分数值生成!K$48+(装备拆分数值生成!$AK31-21)*装备拆分数值生成!K$12)</f>
        <v>1319</v>
      </c>
      <c r="AP31">
        <f>INT(装备拆分数值生成!N$54+(装备拆分数值生成!$AK31-21)*装备拆分数值生成!N$18)</f>
        <v>343</v>
      </c>
      <c r="AQ31">
        <f>INT(装备拆分数值生成!L$60+(装备拆分数值生成!$AK31-21)*装备拆分数值生成!L$24)</f>
        <v>180</v>
      </c>
      <c r="AR31">
        <f>INT(装备拆分数值生成!N$60+(装备拆分数值生成!$AK31-21)*装备拆分数值生成!N$24)</f>
        <v>257</v>
      </c>
      <c r="AS31">
        <f>INT(装备拆分数值生成!K$66+(装备拆分数值生成!$AK31-21)*装备拆分数值生成!K$30)</f>
        <v>1055</v>
      </c>
      <c r="AT31">
        <f>INT(装备拆分数值生成!M$66+(装备拆分数值生成!$AK31-21)*装备拆分数值生成!M$30)</f>
        <v>90</v>
      </c>
      <c r="AU31">
        <f>INT(装备拆分数值生成!K$72+(装备拆分数值生成!$AK31-21)*装备拆分数值生成!K$36)</f>
        <v>263</v>
      </c>
      <c r="AV31">
        <f>INT(装备拆分数值生成!L$72+(装备拆分数值生成!$AK31-21)*装备拆分数值生成!L$36)</f>
        <v>360</v>
      </c>
    </row>
    <row r="32" spans="2:48">
      <c r="I32">
        <v>5</v>
      </c>
      <c r="J32" t="s">
        <v>219</v>
      </c>
      <c r="K32" s="55">
        <f>D12*装备能力拆分!C$74</f>
        <v>249.91111111111115</v>
      </c>
      <c r="L32" s="55">
        <f>E12*装备能力拆分!D$74</f>
        <v>0</v>
      </c>
      <c r="M32" s="55">
        <f>F12*装备能力拆分!E$74</f>
        <v>21.3</v>
      </c>
      <c r="N32" s="55">
        <f>G12*装备能力拆分!F$74</f>
        <v>0</v>
      </c>
      <c r="O32" s="52"/>
      <c r="Q32" t="s">
        <v>219</v>
      </c>
      <c r="R32" s="55">
        <f>D21*装备能力拆分!C$74</f>
        <v>249.91111111111115</v>
      </c>
      <c r="S32" s="55">
        <f>E21*装备能力拆分!D$74</f>
        <v>21.3</v>
      </c>
      <c r="T32" s="55">
        <f>F21*装备能力拆分!E$74</f>
        <v>0</v>
      </c>
      <c r="U32" s="55">
        <f>G21*装备能力拆分!F$74</f>
        <v>0</v>
      </c>
      <c r="X32" t="s">
        <v>219</v>
      </c>
      <c r="Y32" s="55">
        <f>D30*装备能力拆分!C$74</f>
        <v>312.38888888888891</v>
      </c>
      <c r="Z32" s="55">
        <f>E30*装备能力拆分!D$74</f>
        <v>0</v>
      </c>
      <c r="AA32" s="55">
        <f>F30*装备能力拆分!E$74</f>
        <v>0</v>
      </c>
      <c r="AB32" s="55">
        <f>G30*装备能力拆分!F$74</f>
        <v>0</v>
      </c>
      <c r="AC32" s="50"/>
      <c r="AE32" t="s">
        <v>219</v>
      </c>
      <c r="AF32" s="55">
        <f>D39*装备能力拆分!C$74</f>
        <v>187.43333333333334</v>
      </c>
      <c r="AG32" s="55">
        <f>E39*装备能力拆分!D$74</f>
        <v>0</v>
      </c>
      <c r="AH32" s="55">
        <f>F39*装备能力拆分!E$74</f>
        <v>42.6</v>
      </c>
      <c r="AI32" s="55">
        <f>G39*装备能力拆分!F$74</f>
        <v>0</v>
      </c>
      <c r="AJ32" s="57"/>
      <c r="AK32">
        <v>29</v>
      </c>
      <c r="AL32" t="s">
        <v>472</v>
      </c>
      <c r="AM32">
        <f>INT(装备拆分数值生成!L$42+(装备拆分数值生成!$AK32-21)*装备拆分数值生成!L$6)</f>
        <v>751</v>
      </c>
      <c r="AN32">
        <f>INT(装备拆分数值生成!M$42+(装备拆分数值生成!$AK32-21)*装备拆分数值生成!M$6)</f>
        <v>375</v>
      </c>
      <c r="AO32">
        <f>INT(装备拆分数值生成!K$48+(装备拆分数值生成!$AK32-21)*装备拆分数值生成!K$12)</f>
        <v>1376</v>
      </c>
      <c r="AP32">
        <f>INT(装备拆分数值生成!N$54+(装备拆分数值生成!$AK32-21)*装备拆分数值生成!N$18)</f>
        <v>358</v>
      </c>
      <c r="AQ32">
        <f>INT(装备拆分数值生成!L$60+(装备拆分数值生成!$AK32-21)*装备拆分数值生成!L$24)</f>
        <v>187</v>
      </c>
      <c r="AR32">
        <f>INT(装备拆分数值生成!N$60+(装备拆分数值生成!$AK32-21)*装备拆分数值生成!N$24)</f>
        <v>268</v>
      </c>
      <c r="AS32">
        <f>INT(装备拆分数值生成!K$66+(装备拆分数值生成!$AK32-21)*装备拆分数值生成!K$30)</f>
        <v>1101</v>
      </c>
      <c r="AT32">
        <f>INT(装备拆分数值生成!M$66+(装备拆分数值生成!$AK32-21)*装备拆分数值生成!M$30)</f>
        <v>93</v>
      </c>
      <c r="AU32">
        <f>INT(装备拆分数值生成!K$72+(装备拆分数值生成!$AK32-21)*装备拆分数值生成!K$36)</f>
        <v>275</v>
      </c>
      <c r="AV32">
        <f>INT(装备拆分数值生成!L$72+(装备拆分数值生成!$AK32-21)*装备拆分数值生成!L$36)</f>
        <v>375</v>
      </c>
    </row>
    <row r="33" spans="2:48">
      <c r="D33">
        <f>SUM(D35:D40)</f>
        <v>1</v>
      </c>
      <c r="E33">
        <f>SUM(E35:E40)</f>
        <v>0.6</v>
      </c>
      <c r="F33">
        <f>SUM(F35:F40)</f>
        <v>0.8</v>
      </c>
      <c r="G33">
        <f>SUM(G35:G40)</f>
        <v>0.9</v>
      </c>
      <c r="H33">
        <f>E33+F33/(G33*D33)</f>
        <v>1.4888888888888889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  <c r="AJ33" s="57"/>
      <c r="AK33">
        <v>30</v>
      </c>
      <c r="AL33" t="s">
        <v>473</v>
      </c>
      <c r="AM33">
        <f>INT(装备拆分数值生成!L$42+(装备拆分数值生成!$AK33-21)*装备拆分数值生成!L$6)</f>
        <v>782</v>
      </c>
      <c r="AN33">
        <f>INT(装备拆分数值生成!M$42+(装备拆分数值生成!$AK33-21)*装备拆分数值生成!M$6)</f>
        <v>391</v>
      </c>
      <c r="AO33">
        <f>INT(装备拆分数值生成!K$48+(装备拆分数值生成!$AK33-21)*装备拆分数值生成!K$12)</f>
        <v>1433</v>
      </c>
      <c r="AP33">
        <f>INT(装备拆分数值生成!N$54+(装备拆分数值生成!$AK33-21)*装备拆分数值生成!N$18)</f>
        <v>373</v>
      </c>
      <c r="AQ33">
        <f>INT(装备拆分数值生成!L$60+(装备拆分数值生成!$AK33-21)*装备拆分数值生成!L$24)</f>
        <v>195</v>
      </c>
      <c r="AR33">
        <f>INT(装备拆分数值生成!N$60+(装备拆分数值生成!$AK33-21)*装备拆分数值生成!N$24)</f>
        <v>279</v>
      </c>
      <c r="AS33">
        <f>INT(装备拆分数值生成!K$66+(装备拆分数值生成!$AK33-21)*装备拆分数值生成!K$30)</f>
        <v>1146</v>
      </c>
      <c r="AT33">
        <f>INT(装备拆分数值生成!M$66+(装备拆分数值生成!$AK33-21)*装备拆分数值生成!M$30)</f>
        <v>97</v>
      </c>
      <c r="AU33">
        <f>INT(装备拆分数值生成!K$72+(装备拆分数值生成!$AK33-21)*装备拆分数值生成!K$36)</f>
        <v>286</v>
      </c>
      <c r="AV33">
        <f>INT(装备拆分数值生成!L$72+(装备拆分数值生成!$AK33-21)*装备拆分数值生成!L$36)</f>
        <v>391</v>
      </c>
    </row>
    <row r="34" spans="2:48">
      <c r="B34" t="s">
        <v>165</v>
      </c>
      <c r="D34" t="s">
        <v>145</v>
      </c>
      <c r="E34" t="s">
        <v>144</v>
      </c>
      <c r="F34" t="s">
        <v>143</v>
      </c>
      <c r="G34" t="s">
        <v>146</v>
      </c>
      <c r="I34">
        <v>1</v>
      </c>
      <c r="J34" t="s">
        <v>196</v>
      </c>
      <c r="K34" s="55">
        <f>D13*装备能力拆分!C$26</f>
        <v>4.7111111111111112</v>
      </c>
      <c r="L34" s="55">
        <f>E13*装备能力拆分!D$26</f>
        <v>6.4444444444444446</v>
      </c>
      <c r="M34" s="55">
        <f>F13*装备能力拆分!E$26</f>
        <v>0</v>
      </c>
      <c r="N34" s="55">
        <f>G13*装备能力拆分!F$26</f>
        <v>0</v>
      </c>
      <c r="O34" s="52"/>
      <c r="Q34" t="s">
        <v>196</v>
      </c>
      <c r="R34" s="56">
        <f>D22*装备能力拆分!C$26</f>
        <v>4.7111111111111112</v>
      </c>
      <c r="S34" s="56">
        <f>E22*装备能力拆分!D$26</f>
        <v>0</v>
      </c>
      <c r="T34" s="56">
        <f>F22*装备能力拆分!E$26</f>
        <v>6.4444444444444446</v>
      </c>
      <c r="U34" s="56">
        <f>G22*装备能力拆分!F$26</f>
        <v>0</v>
      </c>
      <c r="X34" t="s">
        <v>196</v>
      </c>
      <c r="Y34" s="55">
        <f>D31*装备能力拆分!C$26</f>
        <v>9.4222222222222225</v>
      </c>
      <c r="Z34" s="55">
        <f>E31*装备能力拆分!D$26</f>
        <v>0</v>
      </c>
      <c r="AA34" s="55">
        <f>F31*装备能力拆分!E$26</f>
        <v>0</v>
      </c>
      <c r="AB34" s="55">
        <f>G31*装备能力拆分!F$26</f>
        <v>4.5999999999999996</v>
      </c>
      <c r="AE34" t="s">
        <v>196</v>
      </c>
      <c r="AF34" s="55">
        <f>D40*装备能力拆分!C$26</f>
        <v>9.4222222222222225</v>
      </c>
      <c r="AG34" s="55">
        <f>E40*装备能力拆分!D$26</f>
        <v>0</v>
      </c>
      <c r="AH34" s="55">
        <f>F40*装备能力拆分!E$26</f>
        <v>0</v>
      </c>
      <c r="AI34" s="55">
        <f>G40*装备能力拆分!F$26</f>
        <v>1.5333333333333334</v>
      </c>
      <c r="AJ34" s="57"/>
      <c r="AK34">
        <v>31</v>
      </c>
      <c r="AL34" t="s">
        <v>474</v>
      </c>
      <c r="AM34">
        <f>INT(装备拆分数值生成!L$43+(装备拆分数值生成!$AK34-31)*装备拆分数值生成!L$7)</f>
        <v>1062</v>
      </c>
      <c r="AN34">
        <f>INT(装备拆分数值生成!M$43+(装备拆分数值生成!$AK34-31)*装备拆分数值生成!M$7)</f>
        <v>531</v>
      </c>
      <c r="AO34">
        <f>INT(装备拆分数值生成!K$49+(装备拆分数值生成!$AK34-31)*装备拆分数值生成!K$13)</f>
        <v>1947</v>
      </c>
      <c r="AP34">
        <f>INT(装备拆分数值生成!N$55+(装备拆分数值生成!$AK34-31)*装备拆分数值生成!N$19)</f>
        <v>507</v>
      </c>
      <c r="AQ34">
        <f>INT(装备拆分数值生成!L$61+(装备拆分数值生成!$AK34-31)*装备拆分数值生成!L$25)</f>
        <v>265</v>
      </c>
      <c r="AR34">
        <f>INT(装备拆分数值生成!N$61+(装备拆分数值生成!$AK34-31)*装备拆分数值生成!N$25)</f>
        <v>380</v>
      </c>
      <c r="AS34">
        <f>INT(装备拆分数值生成!K$67+(装备拆分数值生成!$AK34-31)*装备拆分数值生成!K$31)</f>
        <v>1558</v>
      </c>
      <c r="AT34">
        <f>INT(装备拆分数值生成!M$67+(装备拆分数值生成!$AK34-31)*装备拆分数值生成!M$31)</f>
        <v>132</v>
      </c>
      <c r="AU34">
        <f>INT(装备拆分数值生成!K$73+(装备拆分数值生成!$AK34-31)*装备拆分数值生成!K$37)</f>
        <v>389</v>
      </c>
      <c r="AV34">
        <f>INT(装备拆分数值生成!L$73+(装备拆分数值生成!$AK34-31)*装备拆分数值生成!L$37)</f>
        <v>531</v>
      </c>
    </row>
    <row r="35" spans="2:48">
      <c r="C35" t="s">
        <v>137</v>
      </c>
      <c r="E35">
        <v>0.6</v>
      </c>
      <c r="F35">
        <v>0.6</v>
      </c>
      <c r="I35">
        <v>2</v>
      </c>
      <c r="J35" t="s">
        <v>202</v>
      </c>
      <c r="K35" s="55">
        <f>D13*装备能力拆分!C$38</f>
        <v>7.2333333333333334</v>
      </c>
      <c r="L35" s="55">
        <f>E13*装备能力拆分!D$38</f>
        <v>9.8666666666666671</v>
      </c>
      <c r="M35" s="55">
        <f>F13*装备能力拆分!E$38</f>
        <v>0</v>
      </c>
      <c r="N35" s="55">
        <f>G13*装备能力拆分!F$38</f>
        <v>0</v>
      </c>
      <c r="O35" s="52"/>
      <c r="Q35" t="s">
        <v>202</v>
      </c>
      <c r="R35" s="55">
        <f>D22*装备能力拆分!C$38</f>
        <v>7.2333333333333334</v>
      </c>
      <c r="S35" s="55">
        <f>E22*装备能力拆分!D$38</f>
        <v>0</v>
      </c>
      <c r="T35" s="55">
        <f>F22*装备能力拆分!E$38</f>
        <v>9.8666666666666671</v>
      </c>
      <c r="U35" s="55">
        <f>G22*装备能力拆分!F$38</f>
        <v>0</v>
      </c>
      <c r="X35" t="s">
        <v>202</v>
      </c>
      <c r="Y35" s="55">
        <f>D31*装备能力拆分!C$38</f>
        <v>14.466666666666667</v>
      </c>
      <c r="Z35" s="55">
        <f>E31*装备能力拆分!D$38</f>
        <v>0</v>
      </c>
      <c r="AA35" s="55">
        <f>F31*装备能力拆分!E$38</f>
        <v>0</v>
      </c>
      <c r="AB35" s="55">
        <f>G31*装备能力拆分!F$38</f>
        <v>7.0666666666666673</v>
      </c>
      <c r="AE35" t="s">
        <v>202</v>
      </c>
      <c r="AF35" s="55">
        <f>D40*装备能力拆分!C$38</f>
        <v>14.466666666666667</v>
      </c>
      <c r="AG35" s="55">
        <f>E40*装备能力拆分!D$38</f>
        <v>0</v>
      </c>
      <c r="AH35" s="55">
        <f>F40*装备能力拆分!E$38</f>
        <v>0</v>
      </c>
      <c r="AI35" s="55">
        <f>G40*装备能力拆分!F$38</f>
        <v>2.3555555555555556</v>
      </c>
      <c r="AJ35" s="57"/>
      <c r="AK35">
        <v>32</v>
      </c>
      <c r="AL35" t="s">
        <v>475</v>
      </c>
      <c r="AM35">
        <f>INT(装备拆分数值生成!L$43+(装备拆分数值生成!$AK35-31)*装备拆分数值生成!L$7)</f>
        <v>1140</v>
      </c>
      <c r="AN35">
        <f>INT(装备拆分数值生成!M$43+(装备拆分数值生成!$AK35-31)*装备拆分数值生成!M$7)</f>
        <v>570</v>
      </c>
      <c r="AO35">
        <f>INT(装备拆分数值生成!K$49+(装备拆分数值生成!$AK35-31)*装备拆分数值生成!K$13)</f>
        <v>2090</v>
      </c>
      <c r="AP35">
        <f>INT(装备拆分数值生成!N$55+(装备拆分数值生成!$AK35-31)*装备拆分数值生成!N$19)</f>
        <v>544</v>
      </c>
      <c r="AQ35">
        <f>INT(装备拆分数值生成!L$61+(装备拆分数值生成!$AK35-31)*装备拆分数值生成!L$25)</f>
        <v>285</v>
      </c>
      <c r="AR35">
        <f>INT(装备拆分数值生成!N$61+(装备拆分数值生成!$AK35-31)*装备拆分数值生成!N$25)</f>
        <v>408</v>
      </c>
      <c r="AS35">
        <f>INT(装备拆分数值生成!K$67+(装备拆分数值生成!$AK35-31)*装备拆分数值生成!K$31)</f>
        <v>1672</v>
      </c>
      <c r="AT35">
        <f>INT(装备拆分数值生成!M$67+(装备拆分数值生成!$AK35-31)*装备拆分数值生成!M$31)</f>
        <v>142</v>
      </c>
      <c r="AU35">
        <f>INT(装备拆分数值生成!K$73+(装备拆分数值生成!$AK35-31)*装备拆分数值生成!K$37)</f>
        <v>418</v>
      </c>
      <c r="AV35">
        <f>INT(装备拆分数值生成!L$73+(装备拆分数值生成!$AK35-31)*装备拆分数值生成!L$37)</f>
        <v>570</v>
      </c>
    </row>
    <row r="36" spans="2:48">
      <c r="C36" t="s">
        <v>138</v>
      </c>
      <c r="D36">
        <v>0.5</v>
      </c>
      <c r="I36">
        <v>3</v>
      </c>
      <c r="J36" t="s">
        <v>208</v>
      </c>
      <c r="K36" s="55">
        <f>D13*装备能力拆分!C$50</f>
        <v>11.333333333333334</v>
      </c>
      <c r="L36" s="55">
        <f>E13*装备能力拆分!D$50</f>
        <v>15.466666666666667</v>
      </c>
      <c r="M36" s="55">
        <f>F13*装备能力拆分!E$50</f>
        <v>0</v>
      </c>
      <c r="N36" s="55">
        <f>G13*装备能力拆分!F$50</f>
        <v>0</v>
      </c>
      <c r="O36" s="52"/>
      <c r="Q36" t="s">
        <v>208</v>
      </c>
      <c r="R36" s="55">
        <f>D22*装备能力拆分!C$50</f>
        <v>11.333333333333334</v>
      </c>
      <c r="S36" s="55">
        <f>E22*装备能力拆分!D$50</f>
        <v>0</v>
      </c>
      <c r="T36" s="55">
        <f>F22*装备能力拆分!E$50</f>
        <v>15.466666666666667</v>
      </c>
      <c r="U36" s="55">
        <f>G22*装备能力拆分!F$50</f>
        <v>0</v>
      </c>
      <c r="X36" t="s">
        <v>208</v>
      </c>
      <c r="Y36" s="55">
        <f>D31*装备能力拆分!C$50</f>
        <v>22.666666666666668</v>
      </c>
      <c r="Z36" s="55">
        <f>E31*装备能力拆分!D$50</f>
        <v>0</v>
      </c>
      <c r="AA36" s="55">
        <f>F31*装备能力拆分!E$50</f>
        <v>0</v>
      </c>
      <c r="AB36" s="55">
        <f>G31*装备能力拆分!F$50</f>
        <v>11.066666666666665</v>
      </c>
      <c r="AE36" t="s">
        <v>208</v>
      </c>
      <c r="AF36" s="55">
        <f>D40*装备能力拆分!C$50</f>
        <v>22.666666666666668</v>
      </c>
      <c r="AG36" s="55">
        <f>E40*装备能力拆分!D$50</f>
        <v>0</v>
      </c>
      <c r="AH36" s="55">
        <f>F40*装备能力拆分!E$50</f>
        <v>0</v>
      </c>
      <c r="AI36" s="55">
        <f>G40*装备能力拆分!F$50</f>
        <v>3.6888888888888887</v>
      </c>
      <c r="AJ36" s="57"/>
      <c r="AK36">
        <v>33</v>
      </c>
      <c r="AL36" t="s">
        <v>210</v>
      </c>
      <c r="AM36">
        <f>INT(装备拆分数值生成!L$43+(装备拆分数值生成!$AK36-31)*装备拆分数值生成!L$7)</f>
        <v>1218</v>
      </c>
      <c r="AN36">
        <f>INT(装备拆分数值生成!M$43+(装备拆分数值生成!$AK36-31)*装备拆分数值生成!M$7)</f>
        <v>609</v>
      </c>
      <c r="AO36">
        <f>INT(装备拆分数值生成!K$49+(装备拆分数值生成!$AK36-31)*装备拆分数值生成!K$13)</f>
        <v>2233</v>
      </c>
      <c r="AP36">
        <f>INT(装备拆分数值生成!N$55+(装备拆分数值生成!$AK36-31)*装备拆分数值生成!N$19)</f>
        <v>581</v>
      </c>
      <c r="AQ36">
        <f>INT(装备拆分数值生成!L$61+(装备拆分数值生成!$AK36-31)*装备拆分数值生成!L$25)</f>
        <v>304</v>
      </c>
      <c r="AR36">
        <f>INT(装备拆分数值生成!N$61+(装备拆分数值生成!$AK36-31)*装备拆分数值生成!N$25)</f>
        <v>436</v>
      </c>
      <c r="AS36">
        <f>INT(装备拆分数值生成!K$67+(装备拆分数值生成!$AK36-31)*装备拆分数值生成!K$31)</f>
        <v>1787</v>
      </c>
      <c r="AT36">
        <f>INT(装备拆分数值生成!M$67+(装备拆分数值生成!$AK36-31)*装备拆分数值生成!M$31)</f>
        <v>152</v>
      </c>
      <c r="AU36">
        <f>INT(装备拆分数值生成!K$73+(装备拆分数值生成!$AK36-31)*装备拆分数值生成!K$37)</f>
        <v>446</v>
      </c>
      <c r="AV36">
        <f>INT(装备拆分数值生成!L$73+(装备拆分数值生成!$AK36-31)*装备拆分数值生成!L$37)</f>
        <v>609</v>
      </c>
    </row>
    <row r="37" spans="2:48">
      <c r="C37" t="s">
        <v>139</v>
      </c>
      <c r="G37">
        <v>0.5</v>
      </c>
      <c r="I37">
        <v>4</v>
      </c>
      <c r="J37" t="s">
        <v>214</v>
      </c>
      <c r="K37" s="55">
        <f>D13*装备能力拆分!C$62</f>
        <v>28.6</v>
      </c>
      <c r="L37" s="55">
        <f>E13*装备能力拆分!D$62</f>
        <v>39.022222222222226</v>
      </c>
      <c r="M37" s="55">
        <f>F13*装备能力拆分!E$62</f>
        <v>0</v>
      </c>
      <c r="N37" s="55">
        <f>G13*装备能力拆分!F$62</f>
        <v>0</v>
      </c>
      <c r="O37" s="52"/>
      <c r="Q37" t="s">
        <v>214</v>
      </c>
      <c r="R37" s="55">
        <f>D22*装备能力拆分!C$62</f>
        <v>28.6</v>
      </c>
      <c r="S37" s="55">
        <f>E22*装备能力拆分!D$62</f>
        <v>0</v>
      </c>
      <c r="T37" s="55">
        <f>F22*装备能力拆分!E$62</f>
        <v>39.022222222222226</v>
      </c>
      <c r="U37" s="55">
        <f>G22*装备能力拆分!F$62</f>
        <v>0</v>
      </c>
      <c r="X37" t="s">
        <v>214</v>
      </c>
      <c r="Y37" s="55">
        <f>D31*装备能力拆分!C$62</f>
        <v>57.2</v>
      </c>
      <c r="Z37" s="55">
        <f>E31*装备能力拆分!D$62</f>
        <v>0</v>
      </c>
      <c r="AA37" s="55">
        <f>F31*装备能力拆分!E$62</f>
        <v>0</v>
      </c>
      <c r="AB37" s="55">
        <f>G31*装备能力拆分!F$62</f>
        <v>27.933333333333334</v>
      </c>
      <c r="AE37" t="s">
        <v>214</v>
      </c>
      <c r="AF37" s="55">
        <f>D40*装备能力拆分!C$62</f>
        <v>57.2</v>
      </c>
      <c r="AG37" s="55">
        <f>E40*装备能力拆分!D$62</f>
        <v>0</v>
      </c>
      <c r="AH37" s="55">
        <f>F40*装备能力拆分!E$62</f>
        <v>0</v>
      </c>
      <c r="AI37" s="55">
        <f>G40*装备能力拆分!F$62</f>
        <v>9.3111111111111118</v>
      </c>
      <c r="AJ37" s="57"/>
      <c r="AK37">
        <v>34</v>
      </c>
      <c r="AL37" t="s">
        <v>211</v>
      </c>
      <c r="AM37">
        <f>INT(装备拆分数值生成!L$43+(装备拆分数值生成!$AK37-31)*装备拆分数值生成!L$7)</f>
        <v>1296</v>
      </c>
      <c r="AN37">
        <f>INT(装备拆分数值生成!M$43+(装备拆分数值生成!$AK37-31)*装备拆分数值生成!M$7)</f>
        <v>648</v>
      </c>
      <c r="AO37">
        <f>INT(装备拆分数值生成!K$49+(装备拆分数值生成!$AK37-31)*装备拆分数值生成!K$13)</f>
        <v>2376</v>
      </c>
      <c r="AP37">
        <f>INT(装备拆分数值生成!N$55+(装备拆分数值生成!$AK37-31)*装备拆分数值生成!N$19)</f>
        <v>618</v>
      </c>
      <c r="AQ37">
        <f>INT(装备拆分数值生成!L$61+(装备拆分数值生成!$AK37-31)*装备拆分数值生成!L$25)</f>
        <v>324</v>
      </c>
      <c r="AR37">
        <f>INT(装备拆分数值生成!N$61+(装备拆分数值生成!$AK37-31)*装备拆分数值生成!N$25)</f>
        <v>464</v>
      </c>
      <c r="AS37">
        <f>INT(装备拆分数值生成!K$67+(装备拆分数值生成!$AK37-31)*装备拆分数值生成!K$31)</f>
        <v>1901</v>
      </c>
      <c r="AT37">
        <f>INT(装备拆分数值生成!M$67+(装备拆分数值生成!$AK37-31)*装备拆分数值生成!M$31)</f>
        <v>162</v>
      </c>
      <c r="AU37">
        <f>INT(装备拆分数值生成!K$73+(装备拆分数值生成!$AK37-31)*装备拆分数值生成!K$37)</f>
        <v>475</v>
      </c>
      <c r="AV37">
        <f>INT(装备拆分数值生成!L$73+(装备拆分数值生成!$AK37-31)*装备拆分数值生成!L$37)</f>
        <v>648</v>
      </c>
    </row>
    <row r="38" spans="2:48">
      <c r="C38" t="s">
        <v>140</v>
      </c>
      <c r="G38">
        <v>0.3</v>
      </c>
      <c r="I38">
        <v>5</v>
      </c>
      <c r="J38" t="s">
        <v>220</v>
      </c>
      <c r="K38" s="55">
        <f>D13*装备能力拆分!C$74</f>
        <v>62.477777777777789</v>
      </c>
      <c r="L38" s="55">
        <f>E13*装备能力拆分!D$74</f>
        <v>85.2</v>
      </c>
      <c r="M38" s="55">
        <f>F13*装备能力拆分!E$74</f>
        <v>0</v>
      </c>
      <c r="N38" s="55">
        <f>G13*装备能力拆分!F$74</f>
        <v>0</v>
      </c>
      <c r="O38" s="52"/>
      <c r="Q38" t="s">
        <v>220</v>
      </c>
      <c r="R38" s="55">
        <f>D22*装备能力拆分!C$74</f>
        <v>62.477777777777789</v>
      </c>
      <c r="S38" s="55">
        <f>E22*装备能力拆分!D$74</f>
        <v>0</v>
      </c>
      <c r="T38" s="55">
        <f>F22*装备能力拆分!E$74</f>
        <v>85.2</v>
      </c>
      <c r="U38" s="55">
        <f>G22*装备能力拆分!F$74</f>
        <v>0</v>
      </c>
      <c r="X38" t="s">
        <v>220</v>
      </c>
      <c r="Y38" s="55">
        <f>D31*装备能力拆分!C$74</f>
        <v>124.95555555555558</v>
      </c>
      <c r="Z38" s="55">
        <f>E31*装备能力拆分!D$74</f>
        <v>0</v>
      </c>
      <c r="AA38" s="55">
        <f>F31*装备能力拆分!E$74</f>
        <v>0</v>
      </c>
      <c r="AB38" s="55">
        <f>G31*装备能力拆分!F$74</f>
        <v>61</v>
      </c>
      <c r="AC38" s="50"/>
      <c r="AE38" t="s">
        <v>220</v>
      </c>
      <c r="AF38" s="55">
        <f>D40*装备能力拆分!C$74</f>
        <v>124.95555555555558</v>
      </c>
      <c r="AG38" s="55">
        <f>E40*装备能力拆分!D$74</f>
        <v>0</v>
      </c>
      <c r="AH38" s="55">
        <f>F40*装备能力拆分!E$74</f>
        <v>0</v>
      </c>
      <c r="AI38" s="55">
        <f>G40*装备能力拆分!F$74</f>
        <v>20.333333333333336</v>
      </c>
      <c r="AJ38" s="57"/>
      <c r="AK38">
        <v>35</v>
      </c>
      <c r="AL38" t="s">
        <v>212</v>
      </c>
      <c r="AM38">
        <f>INT(装备拆分数值生成!L$43+(装备拆分数值生成!$AK38-31)*装备拆分数值生成!L$7)</f>
        <v>1374</v>
      </c>
      <c r="AN38">
        <f>INT(装备拆分数值生成!M$43+(装备拆分数值生成!$AK38-31)*装备拆分数值生成!M$7)</f>
        <v>687</v>
      </c>
      <c r="AO38">
        <f>INT(装备拆分数值生成!K$49+(装备拆分数值生成!$AK38-31)*装备拆分数值生成!K$13)</f>
        <v>2519</v>
      </c>
      <c r="AP38">
        <f>INT(装备拆分数值生成!N$55+(装备拆分数值生成!$AK38-31)*装备拆分数值生成!N$19)</f>
        <v>656</v>
      </c>
      <c r="AQ38">
        <f>INT(装备拆分数值生成!L$61+(装备拆分数值生成!$AK38-31)*装备拆分数值生成!L$25)</f>
        <v>343</v>
      </c>
      <c r="AR38">
        <f>INT(装备拆分数值生成!N$61+(装备拆分数值生成!$AK38-31)*装备拆分数值生成!N$25)</f>
        <v>492</v>
      </c>
      <c r="AS38">
        <f>INT(装备拆分数值生成!K$67+(装备拆分数值生成!$AK38-31)*装备拆分数值生成!K$31)</f>
        <v>2015</v>
      </c>
      <c r="AT38">
        <f>INT(装备拆分数值生成!M$67+(装备拆分数值生成!$AK38-31)*装备拆分数值生成!M$31)</f>
        <v>171</v>
      </c>
      <c r="AU38">
        <f>INT(装备拆分数值生成!K$73+(装备拆分数值生成!$AK38-31)*装备拆分数值生成!K$37)</f>
        <v>503</v>
      </c>
      <c r="AV38">
        <f>INT(装备拆分数值生成!L$73+(装备拆分数值生成!$AK38-31)*装备拆分数值生成!L$37)</f>
        <v>687</v>
      </c>
    </row>
    <row r="39" spans="2:48">
      <c r="C39" t="s">
        <v>141</v>
      </c>
      <c r="D39">
        <v>0.3</v>
      </c>
      <c r="F39">
        <v>0.2</v>
      </c>
      <c r="K39" s="55"/>
      <c r="L39" s="55"/>
      <c r="M39" s="55"/>
      <c r="N39" s="55"/>
      <c r="O39" s="52"/>
      <c r="R39" s="55"/>
      <c r="S39" s="55"/>
      <c r="T39" s="55"/>
      <c r="U39" s="55"/>
      <c r="Y39" s="55"/>
      <c r="Z39" s="55"/>
      <c r="AA39" s="55"/>
      <c r="AB39" s="55"/>
      <c r="AF39" s="55"/>
      <c r="AG39" s="55"/>
      <c r="AH39" s="55"/>
      <c r="AI39" s="55"/>
      <c r="AJ39" s="57"/>
      <c r="AK39">
        <v>36</v>
      </c>
      <c r="AL39" t="s">
        <v>213</v>
      </c>
      <c r="AM39">
        <f>INT(装备拆分数值生成!L$43+(装备拆分数值生成!$AK39-31)*装备拆分数值生成!L$7)</f>
        <v>1452</v>
      </c>
      <c r="AN39">
        <f>INT(装备拆分数值生成!M$43+(装备拆分数值生成!$AK39-31)*装备拆分数值生成!M$7)</f>
        <v>726</v>
      </c>
      <c r="AO39">
        <f>INT(装备拆分数值生成!K$49+(装备拆分数值生成!$AK39-31)*装备拆分数值生成!K$13)</f>
        <v>2662</v>
      </c>
      <c r="AP39">
        <f>INT(装备拆分数值生成!N$55+(装备拆分数值生成!$AK39-31)*装备拆分数值生成!N$19)</f>
        <v>693</v>
      </c>
      <c r="AQ39">
        <f>INT(装备拆分数值生成!L$61+(装备拆分数值生成!$AK39-31)*装备拆分数值生成!L$25)</f>
        <v>363</v>
      </c>
      <c r="AR39">
        <f>INT(装备拆分数值生成!N$61+(装备拆分数值生成!$AK39-31)*装备拆分数值生成!N$25)</f>
        <v>519</v>
      </c>
      <c r="AS39">
        <f>INT(装备拆分数值生成!K$67+(装备拆分数值生成!$AK39-31)*装备拆分数值生成!K$31)</f>
        <v>2130</v>
      </c>
      <c r="AT39">
        <f>INT(装备拆分数值生成!M$67+(装备拆分数值生成!$AK39-31)*装备拆分数值生成!M$31)</f>
        <v>181</v>
      </c>
      <c r="AU39">
        <f>INT(装备拆分数值生成!K$73+(装备拆分数值生成!$AK39-31)*装备拆分数值生成!K$37)</f>
        <v>532</v>
      </c>
      <c r="AV39">
        <f>INT(装备拆分数值生成!L$73+(装备拆分数值生成!$AK39-31)*装备拆分数值生成!L$37)</f>
        <v>726</v>
      </c>
    </row>
    <row r="40" spans="2:48">
      <c r="C40" t="s">
        <v>142</v>
      </c>
      <c r="D40">
        <v>0.2</v>
      </c>
      <c r="G40">
        <v>0.1</v>
      </c>
      <c r="I40">
        <v>1</v>
      </c>
      <c r="J40" t="s">
        <v>225</v>
      </c>
      <c r="K40" s="55">
        <f>装备能力拆分!C$21*D8</f>
        <v>0</v>
      </c>
      <c r="L40" s="55">
        <f>装备能力拆分!D$21*E8</f>
        <v>148.80000000000001</v>
      </c>
      <c r="M40" s="55">
        <f>装备能力拆分!E$21*F8</f>
        <v>74.400000000000006</v>
      </c>
      <c r="N40" s="55">
        <f>装备能力拆分!F$21*G8</f>
        <v>0</v>
      </c>
      <c r="O40" s="52"/>
      <c r="Q40" t="s">
        <v>225</v>
      </c>
      <c r="R40" s="55">
        <f>装备能力拆分!C$21*D17</f>
        <v>0</v>
      </c>
      <c r="S40" s="55">
        <f>装备能力拆分!D$21*E17</f>
        <v>74.400000000000006</v>
      </c>
      <c r="T40" s="55">
        <f>装备能力拆分!E$21*F17</f>
        <v>148.80000000000001</v>
      </c>
      <c r="U40" s="55">
        <f>装备能力拆分!F$21*G17</f>
        <v>0</v>
      </c>
      <c r="X40" t="s">
        <v>225</v>
      </c>
      <c r="Y40" s="55">
        <f>装备能力拆分!C$21*D26</f>
        <v>0</v>
      </c>
      <c r="Z40" s="55">
        <f>装备能力拆分!D$21*E26</f>
        <v>102.30000000000001</v>
      </c>
      <c r="AA40" s="55">
        <f>装备能力拆分!E$21*F26</f>
        <v>102.30000000000001</v>
      </c>
      <c r="AB40" s="55">
        <f>装备能力拆分!F$21*G26</f>
        <v>0</v>
      </c>
      <c r="AE40" t="s">
        <v>225</v>
      </c>
      <c r="AF40" s="55">
        <f>装备能力拆分!C$21*D35</f>
        <v>0</v>
      </c>
      <c r="AG40" s="55">
        <f>装备能力拆分!D$21*E35</f>
        <v>111.6</v>
      </c>
      <c r="AH40" s="55">
        <f>装备能力拆分!E$21*F35</f>
        <v>111.6</v>
      </c>
      <c r="AI40" s="55">
        <f>装备能力拆分!F$21*G35</f>
        <v>0</v>
      </c>
      <c r="AJ40" s="57"/>
      <c r="AK40">
        <v>37</v>
      </c>
      <c r="AL40" t="s">
        <v>214</v>
      </c>
      <c r="AM40">
        <f>INT(装备拆分数值生成!L$43+(装备拆分数值生成!$AK40-31)*装备拆分数值生成!L$7)</f>
        <v>1530</v>
      </c>
      <c r="AN40">
        <f>INT(装备拆分数值生成!M$43+(装备拆分数值生成!$AK40-31)*装备拆分数值生成!M$7)</f>
        <v>765</v>
      </c>
      <c r="AO40">
        <f>INT(装备拆分数值生成!K$49+(装备拆分数值生成!$AK40-31)*装备拆分数值生成!K$13)</f>
        <v>2805</v>
      </c>
      <c r="AP40">
        <f>INT(装备拆分数值生成!N$55+(装备拆分数值生成!$AK40-31)*装备拆分数值生成!N$19)</f>
        <v>730</v>
      </c>
      <c r="AQ40">
        <f>INT(装备拆分数值生成!L$61+(装备拆分数值生成!$AK40-31)*装备拆分数值生成!L$25)</f>
        <v>382</v>
      </c>
      <c r="AR40">
        <f>INT(装备拆分数值生成!N$61+(装备拆分数值生成!$AK40-31)*装备拆分数值生成!N$25)</f>
        <v>547</v>
      </c>
      <c r="AS40">
        <f>INT(装备拆分数值生成!K$67+(装备拆分数值生成!$AK40-31)*装备拆分数值生成!K$31)</f>
        <v>2244</v>
      </c>
      <c r="AT40">
        <f>INT(装备拆分数值生成!M$67+(装备拆分数值生成!$AK40-31)*装备拆分数值生成!M$31)</f>
        <v>191</v>
      </c>
      <c r="AU40">
        <f>INT(装备拆分数值生成!K$73+(装备拆分数值生成!$AK40-31)*装备拆分数值生成!K$37)</f>
        <v>561</v>
      </c>
      <c r="AV40">
        <f>INT(装备拆分数值生成!L$73+(装备拆分数值生成!$AK40-31)*装备拆分数值生成!L$37)</f>
        <v>765</v>
      </c>
    </row>
    <row r="41" spans="2:48">
      <c r="I41">
        <v>2</v>
      </c>
      <c r="J41" t="s">
        <v>238</v>
      </c>
      <c r="K41" s="55">
        <f>装备能力拆分!$H$5*装备能力拆分!C$20*D8</f>
        <v>0</v>
      </c>
      <c r="L41" s="55">
        <f>装备能力拆分!$H$5*装备能力拆分!D$20*E8</f>
        <v>280.44038399999999</v>
      </c>
      <c r="M41" s="55">
        <f>装备能力拆分!$H$5*装备能力拆分!E$20*F8</f>
        <v>140.220192</v>
      </c>
      <c r="N41" s="55">
        <f>装备能力拆分!$H$5*装备能力拆分!F$20*G8</f>
        <v>0</v>
      </c>
      <c r="O41" s="52"/>
      <c r="Q41" t="s">
        <v>238</v>
      </c>
      <c r="R41" s="55">
        <f>装备能力拆分!$H$5*装备能力拆分!C$20*D17</f>
        <v>0</v>
      </c>
      <c r="S41" s="55">
        <f>装备能力拆分!$H$5*装备能力拆分!D$20*E17</f>
        <v>140.220192</v>
      </c>
      <c r="T41" s="55">
        <f>装备能力拆分!$H$5*装备能力拆分!E$20*F17</f>
        <v>280.44038399999999</v>
      </c>
      <c r="U41" s="55">
        <f>装备能力拆分!$H$5*装备能力拆分!F$20*G17</f>
        <v>0</v>
      </c>
      <c r="X41" t="s">
        <v>238</v>
      </c>
      <c r="Y41" s="55">
        <f>装备能力拆分!$H$5*装备能力拆分!C$20*D26</f>
        <v>0</v>
      </c>
      <c r="Z41" s="55">
        <f>装备能力拆分!$H$5*装备能力拆分!D$20*E26</f>
        <v>192.80276400000002</v>
      </c>
      <c r="AA41" s="55">
        <f>装备能力拆分!$H$5*装备能力拆分!E$20*F26</f>
        <v>192.80276400000002</v>
      </c>
      <c r="AB41" s="55">
        <f>装备能力拆分!$H$5*装备能力拆分!F$20*G26</f>
        <v>0</v>
      </c>
      <c r="AE41" t="s">
        <v>238</v>
      </c>
      <c r="AF41" s="55">
        <f>装备能力拆分!$H$5*装备能力拆分!C$20*D35</f>
        <v>0</v>
      </c>
      <c r="AG41" s="55">
        <f>装备能力拆分!$H$5*装备能力拆分!D$20*E35</f>
        <v>210.330288</v>
      </c>
      <c r="AH41" s="55">
        <f>装备能力拆分!$H$5*装备能力拆分!E$20*F35</f>
        <v>210.330288</v>
      </c>
      <c r="AI41" s="55">
        <f>装备能力拆分!$H$5*装备能力拆分!F$20*G35</f>
        <v>0</v>
      </c>
      <c r="AJ41" s="57"/>
      <c r="AK41">
        <v>38</v>
      </c>
      <c r="AL41" t="s">
        <v>476</v>
      </c>
      <c r="AM41">
        <f>INT(装备拆分数值生成!L$43+(装备拆分数值生成!$AK41-31)*装备拆分数值生成!L$7)</f>
        <v>1608</v>
      </c>
      <c r="AN41">
        <f>INT(装备拆分数值生成!M$43+(装备拆分数值生成!$AK41-31)*装备拆分数值生成!M$7)</f>
        <v>804</v>
      </c>
      <c r="AO41">
        <f>INT(装备拆分数值生成!K$49+(装备拆分数值生成!$AK41-31)*装备拆分数值生成!K$13)</f>
        <v>2948</v>
      </c>
      <c r="AP41">
        <f>INT(装备拆分数值生成!N$55+(装备拆分数值生成!$AK41-31)*装备拆分数值生成!N$19)</f>
        <v>767</v>
      </c>
      <c r="AQ41">
        <f>INT(装备拆分数值生成!L$61+(装备拆分数值生成!$AK41-31)*装备拆分数值生成!L$25)</f>
        <v>402</v>
      </c>
      <c r="AR41">
        <f>INT(装备拆分数值生成!N$61+(装备拆分数值生成!$AK41-31)*装备拆分数值生成!N$25)</f>
        <v>575</v>
      </c>
      <c r="AS41">
        <f>INT(装备拆分数值生成!K$67+(装备拆分数值生成!$AK41-31)*装备拆分数值生成!K$31)</f>
        <v>2359</v>
      </c>
      <c r="AT41">
        <f>INT(装备拆分数值生成!M$67+(装备拆分数值生成!$AK41-31)*装备拆分数值生成!M$31)</f>
        <v>201</v>
      </c>
      <c r="AU41">
        <f>INT(装备拆分数值生成!K$73+(装备拆分数值生成!$AK41-31)*装备拆分数值生成!K$37)</f>
        <v>589</v>
      </c>
      <c r="AV41">
        <f>INT(装备拆分数值生成!L$73+(装备拆分数值生成!$AK41-31)*装备拆分数值生成!L$37)</f>
        <v>804</v>
      </c>
    </row>
    <row r="42" spans="2:48">
      <c r="H42" t="s">
        <v>237</v>
      </c>
      <c r="I42">
        <v>3</v>
      </c>
      <c r="J42" t="s">
        <v>244</v>
      </c>
      <c r="K42" s="55">
        <f>装备能力拆分!$H$7*装备能力拆分!C$20*D8</f>
        <v>0</v>
      </c>
      <c r="L42" s="55">
        <f>装备能力拆分!$H$7*装备能力拆分!D$20*E8</f>
        <v>503.71099257600008</v>
      </c>
      <c r="M42" s="55">
        <f>装备能力拆分!$H$7*装备能力拆分!E$20*F8</f>
        <v>251.85549628800004</v>
      </c>
      <c r="N42" s="55">
        <f>装备能力拆分!$H$7*装备能力拆分!F$20*G8</f>
        <v>0</v>
      </c>
      <c r="O42" s="52"/>
      <c r="Q42" t="s">
        <v>244</v>
      </c>
      <c r="R42" s="55">
        <f>装备能力拆分!$H$7*装备能力拆分!C$20*D17</f>
        <v>0</v>
      </c>
      <c r="S42" s="55">
        <f>装备能力拆分!$H$7*装备能力拆分!D$20*E17</f>
        <v>251.85549628800004</v>
      </c>
      <c r="T42" s="55">
        <f>装备能力拆分!$H$7*装备能力拆分!E$20*F17</f>
        <v>503.71099257600008</v>
      </c>
      <c r="U42" s="55">
        <f>装备能力拆分!$H$7*装备能力拆分!F$20*G17</f>
        <v>0</v>
      </c>
      <c r="X42" t="s">
        <v>244</v>
      </c>
      <c r="Y42" s="55">
        <f>装备能力拆分!$H$7*装备能力拆分!C$20*D26</f>
        <v>0</v>
      </c>
      <c r="Z42" s="55">
        <f>装备能力拆分!$H$7*装备能力拆分!D$20*E26</f>
        <v>346.30130739600008</v>
      </c>
      <c r="AA42" s="55">
        <f>装备能力拆分!$H$7*装备能力拆分!E$20*F26</f>
        <v>346.30130739600008</v>
      </c>
      <c r="AB42" s="55">
        <f>装备能力拆分!$H$7*装备能力拆分!F$20*G26</f>
        <v>0</v>
      </c>
      <c r="AE42" t="s">
        <v>244</v>
      </c>
      <c r="AF42" s="55">
        <f>装备能力拆分!$H$7*装备能力拆分!C$20*D35</f>
        <v>0</v>
      </c>
      <c r="AG42" s="55">
        <f>装备能力拆分!$H$7*装备能力拆分!D$20*E35</f>
        <v>377.78324443200006</v>
      </c>
      <c r="AH42" s="55">
        <f>装备能力拆分!$H$7*装备能力拆分!E$20*F35</f>
        <v>377.78324443200006</v>
      </c>
      <c r="AI42" s="55">
        <f>装备能力拆分!$H$7*装备能力拆分!F$20*G35</f>
        <v>0</v>
      </c>
      <c r="AJ42" s="57"/>
      <c r="AK42">
        <v>39</v>
      </c>
      <c r="AL42" t="s">
        <v>477</v>
      </c>
      <c r="AM42">
        <f>INT(装备拆分数值生成!L$43+(装备拆分数值生成!$AK42-31)*装备拆分数值生成!L$7)</f>
        <v>1686</v>
      </c>
      <c r="AN42">
        <f>INT(装备拆分数值生成!M$43+(装备拆分数值生成!$AK42-31)*装备拆分数值生成!M$7)</f>
        <v>843</v>
      </c>
      <c r="AO42">
        <f>INT(装备拆分数值生成!K$49+(装备拆分数值生成!$AK42-31)*装备拆分数值生成!K$13)</f>
        <v>3091</v>
      </c>
      <c r="AP42">
        <f>INT(装备拆分数值生成!N$55+(装备拆分数值生成!$AK42-31)*装备拆分数值生成!N$19)</f>
        <v>804</v>
      </c>
      <c r="AQ42">
        <f>INT(装备拆分数值生成!L$61+(装备拆分数值生成!$AK42-31)*装备拆分数值生成!L$25)</f>
        <v>421</v>
      </c>
      <c r="AR42">
        <f>INT(装备拆分数值生成!N$61+(装备拆分数值生成!$AK42-31)*装备拆分数值生成!N$25)</f>
        <v>603</v>
      </c>
      <c r="AS42">
        <f>INT(装备拆分数值生成!K$67+(装备拆分数值生成!$AK42-31)*装备拆分数值生成!K$31)</f>
        <v>2473</v>
      </c>
      <c r="AT42">
        <f>INT(装备拆分数值生成!M$67+(装备拆分数值生成!$AK42-31)*装备拆分数值生成!M$31)</f>
        <v>210</v>
      </c>
      <c r="AU42">
        <f>INT(装备拆分数值生成!K$73+(装备拆分数值生成!$AK42-31)*装备拆分数值生成!K$37)</f>
        <v>618</v>
      </c>
      <c r="AV42">
        <f>INT(装备拆分数值生成!L$73+(装备拆分数值生成!$AK42-31)*装备拆分数值生成!L$37)</f>
        <v>843</v>
      </c>
    </row>
    <row r="43" spans="2:48">
      <c r="I43">
        <v>4</v>
      </c>
      <c r="J43" t="s">
        <v>250</v>
      </c>
      <c r="K43" s="55">
        <f>装备能力拆分!$H$9*装备能力拆分!C$20*D8</f>
        <v>0</v>
      </c>
      <c r="L43" s="55">
        <f>装备能力拆分!$H$9*装备能力拆分!D$20*E8</f>
        <v>1062.6343067271362</v>
      </c>
      <c r="M43" s="55">
        <f>装备能力拆分!$H$9*装备能力拆分!E$20*F8</f>
        <v>531.31715336356808</v>
      </c>
      <c r="N43" s="55">
        <f>装备能力拆分!$H$9*装备能力拆分!F$20*G8</f>
        <v>0</v>
      </c>
      <c r="O43" s="52"/>
      <c r="Q43" t="s">
        <v>250</v>
      </c>
      <c r="R43" s="55">
        <f>装备能力拆分!$H$9*装备能力拆分!C$20*D17</f>
        <v>0</v>
      </c>
      <c r="S43" s="55">
        <f>装备能力拆分!$H$9*装备能力拆分!D$20*E17</f>
        <v>531.31715336356808</v>
      </c>
      <c r="T43" s="55">
        <f>装备能力拆分!$H$9*装备能力拆分!E$20*F17</f>
        <v>1062.6343067271362</v>
      </c>
      <c r="U43" s="55">
        <f>装备能力拆分!$H$9*装备能力拆分!F$20*G17</f>
        <v>0</v>
      </c>
      <c r="X43" t="s">
        <v>250</v>
      </c>
      <c r="Y43" s="55">
        <f>装备能力拆分!$H$9*装备能力拆分!C$20*D26</f>
        <v>0</v>
      </c>
      <c r="Z43" s="55">
        <f>装备能力拆分!$H$9*装备能力拆分!D$20*E26</f>
        <v>730.56108587490621</v>
      </c>
      <c r="AA43" s="55">
        <f>装备能力拆分!$H$9*装备能力拆分!E$20*F26</f>
        <v>730.56108587490621</v>
      </c>
      <c r="AB43" s="55">
        <f>装备能力拆分!$H$9*装备能力拆分!F$20*G26</f>
        <v>0</v>
      </c>
      <c r="AE43" t="s">
        <v>250</v>
      </c>
      <c r="AF43" s="55">
        <f>装备能力拆分!$H$9*装备能力拆分!C$20*D35</f>
        <v>0</v>
      </c>
      <c r="AG43" s="55">
        <f>装备能力拆分!$H$9*装备能力拆分!D$20*E35</f>
        <v>796.97573004535218</v>
      </c>
      <c r="AH43" s="55">
        <f>装备能力拆分!$H$9*装备能力拆分!E$20*F35</f>
        <v>796.97573004535218</v>
      </c>
      <c r="AI43" s="55">
        <f>装备能力拆分!$H$9*装备能力拆分!F$20*G35</f>
        <v>0</v>
      </c>
      <c r="AJ43" s="57"/>
      <c r="AK43">
        <v>40</v>
      </c>
      <c r="AL43" t="s">
        <v>478</v>
      </c>
      <c r="AM43">
        <f>INT(装备拆分数值生成!L$43+(装备拆分数值生成!$AK43-31)*装备拆分数值生成!L$7)</f>
        <v>1765</v>
      </c>
      <c r="AN43">
        <f>INT(装备拆分数值生成!M$43+(装备拆分数值生成!$AK43-31)*装备拆分数值生成!M$7)</f>
        <v>882</v>
      </c>
      <c r="AO43">
        <f>INT(装备拆分数值生成!K$49+(装备拆分数值生成!$AK43-31)*装备拆分数值生成!K$13)</f>
        <v>3234</v>
      </c>
      <c r="AP43">
        <f>INT(装备拆分数值生成!N$55+(装备拆分数值生成!$AK43-31)*装备拆分数值生成!N$19)</f>
        <v>842</v>
      </c>
      <c r="AQ43">
        <f>INT(装备拆分数值生成!L$61+(装备拆分数值生成!$AK43-31)*装备拆分数值生成!L$25)</f>
        <v>441</v>
      </c>
      <c r="AR43">
        <f>INT(装备拆分数值生成!N$61+(装备拆分数值生成!$AK43-31)*装备拆分数值生成!N$25)</f>
        <v>631</v>
      </c>
      <c r="AS43">
        <f>INT(装备拆分数值生成!K$67+(装备拆分数值生成!$AK43-31)*装备拆分数值生成!K$31)</f>
        <v>2587</v>
      </c>
      <c r="AT43">
        <f>INT(装备拆分数值生成!M$67+(装备拆分数值生成!$AK43-31)*装备拆分数值生成!M$31)</f>
        <v>220</v>
      </c>
      <c r="AU43">
        <f>INT(装备拆分数值生成!K$73+(装备拆分数值生成!$AK43-31)*装备拆分数值生成!K$37)</f>
        <v>646</v>
      </c>
      <c r="AV43">
        <f>INT(装备拆分数值生成!L$73+(装备拆分数值生成!$AK43-31)*装备拆分数值生成!L$37)</f>
        <v>882</v>
      </c>
    </row>
    <row r="44" spans="2:48">
      <c r="I44">
        <v>5</v>
      </c>
      <c r="J44" t="s">
        <v>256</v>
      </c>
      <c r="K44" s="55">
        <f>装备能力拆分!$H$12*装备能力拆分!C$20*D8</f>
        <v>0</v>
      </c>
      <c r="L44" s="55">
        <f>装备能力拆分!$H$12*装备能力拆分!D$20*E8</f>
        <v>2135.396335808387</v>
      </c>
      <c r="M44" s="55">
        <f>装备能力拆分!$H$12*装备能力拆分!E$20*F8</f>
        <v>1067.6981679041935</v>
      </c>
      <c r="N44" s="55">
        <f>装备能力拆分!$H$12*装备能力拆分!F$20*G8</f>
        <v>0</v>
      </c>
      <c r="O44" s="52"/>
      <c r="Q44" t="s">
        <v>256</v>
      </c>
      <c r="R44" s="55">
        <f>装备能力拆分!$H$12*装备能力拆分!C$20*D17</f>
        <v>0</v>
      </c>
      <c r="S44" s="55">
        <f>装备能力拆分!$H$12*装备能力拆分!D$20*E17</f>
        <v>1067.6981679041935</v>
      </c>
      <c r="T44" s="55">
        <f>装备能力拆分!$H$12*装备能力拆分!E$20*F17</f>
        <v>2135.396335808387</v>
      </c>
      <c r="U44" s="55">
        <f>装备能力拆分!$H$12*装备能力拆分!F$20*G17</f>
        <v>0</v>
      </c>
      <c r="X44" t="s">
        <v>256</v>
      </c>
      <c r="Y44" s="55">
        <f>装备能力拆分!$H$12*装备能力拆分!C$20*D26</f>
        <v>0</v>
      </c>
      <c r="Z44" s="55">
        <f>装备能力拆分!$H$12*装备能力拆分!D$20*E26</f>
        <v>1468.084980868266</v>
      </c>
      <c r="AA44" s="55">
        <f>装备能力拆分!$H$12*装备能力拆分!E$20*F26</f>
        <v>1468.084980868266</v>
      </c>
      <c r="AB44" s="55">
        <f>装备能力拆分!$H$12*装备能力拆分!F$20*G26</f>
        <v>0</v>
      </c>
      <c r="AE44" t="s">
        <v>256</v>
      </c>
      <c r="AF44" s="55">
        <f>装备能力拆分!$H$12*装备能力拆分!C$20*D35</f>
        <v>0</v>
      </c>
      <c r="AG44" s="55">
        <f>装备能力拆分!$H$12*装备能力拆分!D$20*E35</f>
        <v>1601.5472518562899</v>
      </c>
      <c r="AH44" s="55">
        <f>装备能力拆分!$H$12*装备能力拆分!E$20*F35</f>
        <v>1601.5472518562899</v>
      </c>
      <c r="AI44" s="55">
        <f>装备能力拆分!$H$12*装备能力拆分!F$20*G35</f>
        <v>0</v>
      </c>
      <c r="AJ44" s="57"/>
      <c r="AK44">
        <v>41</v>
      </c>
      <c r="AL44" t="s">
        <v>479</v>
      </c>
      <c r="AM44">
        <f>INT(装备拆分数值生成!L$44+(装备拆分数值生成!$AK44-41)*装备拆分数值生成!L$8)</f>
        <v>2135</v>
      </c>
      <c r="AN44">
        <f>INT(装备拆分数值生成!M$44+(装备拆分数值生成!$AK44-41)*装备拆分数值生成!M$8)</f>
        <v>1067</v>
      </c>
      <c r="AO44">
        <f>INT(装备拆分数值生成!K$50+(装备拆分数值生成!$AK44-41)*装备拆分数值生成!K$14)</f>
        <v>3914</v>
      </c>
      <c r="AP44">
        <f>INT(装备拆分数值生成!N$56+(装备拆分数值生成!$AK44-41)*装备拆分数值生成!N$20)</f>
        <v>1018</v>
      </c>
      <c r="AQ44">
        <f>INT(装备拆分数值生成!L$62+(装备拆分数值生成!$AK44-41)*装备拆分数值生成!L$26)</f>
        <v>533</v>
      </c>
      <c r="AR44">
        <f>INT(装备拆分数值生成!N$62+(装备拆分数值生成!$AK44-41)*装备拆分数值生成!N$26)</f>
        <v>764</v>
      </c>
      <c r="AS44">
        <f>INT(装备拆分数值生成!K$68+(装备拆分数值生成!$AK44-41)*装备拆分数值生成!K$32)</f>
        <v>3131</v>
      </c>
      <c r="AT44">
        <f>INT(装备拆分数值生成!M$68+(装备拆分数值生成!$AK44-41)*装备拆分数值生成!M$32)</f>
        <v>266</v>
      </c>
      <c r="AU44">
        <f>INT(装备拆分数值生成!K$74+(装备拆分数值生成!$AK44-41)*装备拆分数值生成!K$38)</f>
        <v>782</v>
      </c>
      <c r="AV44">
        <f>INT(装备拆分数值生成!L$74+(装备拆分数值生成!$AK44-41)*装备拆分数值生成!L$38)</f>
        <v>1067</v>
      </c>
    </row>
    <row r="45" spans="2:48">
      <c r="K45" s="55"/>
      <c r="L45" s="55"/>
      <c r="M45" s="55"/>
      <c r="N45" s="55"/>
      <c r="O45" s="52"/>
      <c r="R45" s="55"/>
      <c r="S45" s="55"/>
      <c r="T45" s="55"/>
      <c r="U45" s="55"/>
      <c r="Y45" s="55"/>
      <c r="Z45" s="55"/>
      <c r="AA45" s="55"/>
      <c r="AB45" s="55"/>
      <c r="AF45" s="55"/>
      <c r="AG45" s="55"/>
      <c r="AH45" s="55"/>
      <c r="AI45" s="55"/>
      <c r="AJ45" s="57"/>
      <c r="AK45">
        <v>42</v>
      </c>
      <c r="AL45" t="s">
        <v>480</v>
      </c>
      <c r="AM45">
        <f>INT(装备拆分数值生成!L$44+(装备拆分数值生成!$AK45-41)*装备拆分数值生成!L$8)</f>
        <v>2305</v>
      </c>
      <c r="AN45">
        <f>INT(装备拆分数值生成!M$44+(装备拆分数值生成!$AK45-41)*装备拆分数值生成!M$8)</f>
        <v>1152</v>
      </c>
      <c r="AO45">
        <f>INT(装备拆分数值生成!K$50+(装备拆分数值生成!$AK45-41)*装备拆分数值生成!K$14)</f>
        <v>4226</v>
      </c>
      <c r="AP45">
        <f>INT(装备拆分数值生成!N$56+(装备拆分数值生成!$AK45-41)*装备拆分数值生成!N$20)</f>
        <v>1100</v>
      </c>
      <c r="AQ45">
        <f>INT(装备拆分数值生成!L$62+(装备拆分数值生成!$AK45-41)*装备拆分数值生成!L$26)</f>
        <v>576</v>
      </c>
      <c r="AR45">
        <f>INT(装备拆分数值生成!N$62+(装备拆分数值生成!$AK45-41)*装备拆分数值生成!N$26)</f>
        <v>825</v>
      </c>
      <c r="AS45">
        <f>INT(装备拆分数值生成!K$68+(装备拆分数值生成!$AK45-41)*装备拆分数值生成!K$32)</f>
        <v>3381</v>
      </c>
      <c r="AT45">
        <f>INT(装备拆分数值生成!M$68+(装备拆分数值生成!$AK45-41)*装备拆分数值生成!M$32)</f>
        <v>288</v>
      </c>
      <c r="AU45">
        <f>INT(装备拆分数值生成!K$74+(装备拆分数值生成!$AK45-41)*装备拆分数值生成!K$38)</f>
        <v>845</v>
      </c>
      <c r="AV45">
        <f>INT(装备拆分数值生成!L$74+(装备拆分数值生成!$AK45-41)*装备拆分数值生成!L$38)</f>
        <v>1152</v>
      </c>
    </row>
    <row r="46" spans="2:48">
      <c r="I46">
        <v>1</v>
      </c>
      <c r="J46" t="s">
        <v>226</v>
      </c>
      <c r="K46" s="55">
        <f>装备能力拆分!C$21*D9</f>
        <v>272.75</v>
      </c>
      <c r="L46" s="55">
        <f>装备能力拆分!D$21*E9</f>
        <v>0</v>
      </c>
      <c r="M46" s="55">
        <f>装备能力拆分!E$21*F9</f>
        <v>0</v>
      </c>
      <c r="N46" s="55">
        <f>装备能力拆分!F$21*G9</f>
        <v>0</v>
      </c>
      <c r="O46" s="52"/>
      <c r="Q46" t="s">
        <v>226</v>
      </c>
      <c r="R46" s="55">
        <f>装备能力拆分!C$21*D18</f>
        <v>272.75</v>
      </c>
      <c r="S46" s="55">
        <f>装备能力拆分!D$21*E18</f>
        <v>0</v>
      </c>
      <c r="T46" s="55">
        <f>装备能力拆分!E$21*F18</f>
        <v>0</v>
      </c>
      <c r="U46" s="55">
        <f>装备能力拆分!F$21*G18</f>
        <v>0</v>
      </c>
      <c r="X46" t="s">
        <v>226</v>
      </c>
      <c r="Y46" s="55">
        <f>装备能力拆分!C$21*D27</f>
        <v>436.40000000000003</v>
      </c>
      <c r="Z46" s="55">
        <f>装备能力拆分!D$21*E27</f>
        <v>0</v>
      </c>
      <c r="AA46" s="55">
        <f>装备能力拆分!E$21*F27</f>
        <v>0</v>
      </c>
      <c r="AB46" s="55">
        <f>装备能力拆分!F$21*G27</f>
        <v>0</v>
      </c>
      <c r="AE46" t="s">
        <v>226</v>
      </c>
      <c r="AF46" s="55">
        <f>装备能力拆分!C$21*D36</f>
        <v>272.75</v>
      </c>
      <c r="AG46" s="55">
        <f>装备能力拆分!D$21*E36</f>
        <v>0</v>
      </c>
      <c r="AH46" s="55">
        <f>装备能力拆分!E$21*F36</f>
        <v>0</v>
      </c>
      <c r="AI46" s="55">
        <f>装备能力拆分!F$21*G36</f>
        <v>0</v>
      </c>
      <c r="AJ46" s="57"/>
      <c r="AK46">
        <v>43</v>
      </c>
      <c r="AL46" t="s">
        <v>216</v>
      </c>
      <c r="AM46">
        <f>INT(装备拆分数值生成!L$44+(装备拆分数值生成!$AK46-41)*装备拆分数值生成!L$8)</f>
        <v>2476</v>
      </c>
      <c r="AN46">
        <f>INT(装备拆分数值生成!M$44+(装备拆分数值生成!$AK46-41)*装备拆分数值生成!M$8)</f>
        <v>1238</v>
      </c>
      <c r="AO46">
        <f>INT(装备拆分数值生成!K$50+(装备拆分数值生成!$AK46-41)*装备拆分数值生成!K$14)</f>
        <v>4538</v>
      </c>
      <c r="AP46">
        <f>INT(装备拆分数值生成!N$56+(装备拆分数值生成!$AK46-41)*装备拆分数值生成!N$20)</f>
        <v>1181</v>
      </c>
      <c r="AQ46">
        <f>INT(装备拆分数值生成!L$62+(装备拆分数值生成!$AK46-41)*装备拆分数值生成!L$26)</f>
        <v>619</v>
      </c>
      <c r="AR46">
        <f>INT(装备拆分数值生成!N$62+(装备拆分数值生成!$AK46-41)*装备拆分数值生成!N$26)</f>
        <v>886</v>
      </c>
      <c r="AS46">
        <f>INT(装备拆分数值生成!K$68+(装备拆分数值生成!$AK46-41)*装备拆分数值生成!K$32)</f>
        <v>3631</v>
      </c>
      <c r="AT46">
        <f>INT(装备拆分数值生成!M$68+(装备拆分数值生成!$AK46-41)*装备拆分数值生成!M$32)</f>
        <v>309</v>
      </c>
      <c r="AU46">
        <f>INT(装备拆分数值生成!K$74+(装备拆分数值生成!$AK46-41)*装备拆分数值生成!K$38)</f>
        <v>907</v>
      </c>
      <c r="AV46">
        <f>INT(装备拆分数值生成!L$74+(装备拆分数值生成!$AK46-41)*装备拆分数值生成!L$38)</f>
        <v>1238</v>
      </c>
    </row>
    <row r="47" spans="2:48">
      <c r="I47">
        <v>2</v>
      </c>
      <c r="J47" t="s">
        <v>239</v>
      </c>
      <c r="K47" s="55">
        <f>装备能力拆分!$H$5*装备能力拆分!C$20*D9</f>
        <v>514.04647</v>
      </c>
      <c r="L47" s="55">
        <f>装备能力拆分!$H$5*装备能力拆分!D$20*E9</f>
        <v>0</v>
      </c>
      <c r="M47" s="55">
        <f>装备能力拆分!$H$5*装备能力拆分!E$20*F9</f>
        <v>0</v>
      </c>
      <c r="N47" s="55">
        <f>装备能力拆分!$H$5*装备能力拆分!F$20*G9</f>
        <v>0</v>
      </c>
      <c r="O47" s="52"/>
      <c r="Q47" t="s">
        <v>239</v>
      </c>
      <c r="R47" s="55">
        <f>装备能力拆分!$H$5*装备能力拆分!C$20*D18</f>
        <v>514.04647</v>
      </c>
      <c r="S47" s="55">
        <f>装备能力拆分!$H$5*装备能力拆分!D$20*E18</f>
        <v>0</v>
      </c>
      <c r="T47" s="55">
        <f>装备能力拆分!$H$5*装备能力拆分!E$20*F18</f>
        <v>0</v>
      </c>
      <c r="U47" s="55">
        <f>装备能力拆分!$H$5*装备能力拆分!F$20*G18</f>
        <v>0</v>
      </c>
      <c r="X47" t="s">
        <v>239</v>
      </c>
      <c r="Y47" s="55">
        <f>装备能力拆分!$H$5*装备能力拆分!C$20*D27</f>
        <v>822.47435200000007</v>
      </c>
      <c r="Z47" s="55">
        <f>装备能力拆分!$H$5*装备能力拆分!D$20*E27</f>
        <v>0</v>
      </c>
      <c r="AA47" s="55">
        <f>装备能力拆分!$H$5*装备能力拆分!E$20*F27</f>
        <v>0</v>
      </c>
      <c r="AB47" s="55">
        <f>装备能力拆分!$H$5*装备能力拆分!F$20*G27</f>
        <v>0</v>
      </c>
      <c r="AE47" t="s">
        <v>239</v>
      </c>
      <c r="AF47" s="55">
        <f>装备能力拆分!$H$5*装备能力拆分!C$20*D36</f>
        <v>514.04647</v>
      </c>
      <c r="AG47" s="55">
        <f>装备能力拆分!$H$5*装备能力拆分!D$20*E36</f>
        <v>0</v>
      </c>
      <c r="AH47" s="55">
        <f>装备能力拆分!$H$5*装备能力拆分!E$20*F36</f>
        <v>0</v>
      </c>
      <c r="AI47" s="55">
        <f>装备能力拆分!$H$5*装备能力拆分!F$20*G36</f>
        <v>0</v>
      </c>
      <c r="AJ47" s="57"/>
      <c r="AK47">
        <v>44</v>
      </c>
      <c r="AL47" t="s">
        <v>217</v>
      </c>
      <c r="AM47">
        <f>INT(装备拆分数值生成!L$44+(装备拆分数值生成!$AK47-41)*装备拆分数值生成!L$8)</f>
        <v>2646</v>
      </c>
      <c r="AN47">
        <f>INT(装备拆分数值生成!M$44+(装备拆分数值生成!$AK47-41)*装备拆分数值生成!M$8)</f>
        <v>1323</v>
      </c>
      <c r="AO47">
        <f>INT(装备拆分数值生成!K$50+(装备拆分数值生成!$AK47-41)*装备拆分数值生成!K$14)</f>
        <v>4851</v>
      </c>
      <c r="AP47">
        <f>INT(装备拆分数值生成!N$56+(装备拆分数值生成!$AK47-41)*装备拆分数值生成!N$20)</f>
        <v>1262</v>
      </c>
      <c r="AQ47">
        <f>INT(装备拆分数值生成!L$62+(装备拆分数值生成!$AK47-41)*装备拆分数值生成!L$26)</f>
        <v>661</v>
      </c>
      <c r="AR47">
        <f>INT(装备拆分数值生成!N$62+(装备拆分数值生成!$AK47-41)*装备拆分数值生成!N$26)</f>
        <v>947</v>
      </c>
      <c r="AS47">
        <f>INT(装备拆分数值生成!K$68+(装备拆分数值生成!$AK47-41)*装备拆分数值生成!K$32)</f>
        <v>3881</v>
      </c>
      <c r="AT47">
        <f>INT(装备拆分数值生成!M$68+(装备拆分数值生成!$AK47-41)*装备拆分数值生成!M$32)</f>
        <v>330</v>
      </c>
      <c r="AU47">
        <f>INT(装备拆分数值生成!K$74+(装备拆分数值生成!$AK47-41)*装备拆分数值生成!K$38)</f>
        <v>970</v>
      </c>
      <c r="AV47">
        <f>INT(装备拆分数值生成!L$74+(装备拆分数值生成!$AK47-41)*装备拆分数值生成!L$38)</f>
        <v>1323</v>
      </c>
    </row>
    <row r="48" spans="2:48">
      <c r="I48">
        <v>3</v>
      </c>
      <c r="J48" t="s">
        <v>245</v>
      </c>
      <c r="K48" s="55">
        <f>装备能力拆分!$H$7*装备能力拆分!C$20*D9</f>
        <v>923.30089533000012</v>
      </c>
      <c r="L48" s="55">
        <f>装备能力拆分!$H$7*装备能力拆分!D$20*E9</f>
        <v>0</v>
      </c>
      <c r="M48" s="55">
        <f>装备能力拆分!$H$7*装备能力拆分!E$20*F9</f>
        <v>0</v>
      </c>
      <c r="N48" s="55">
        <f>装备能力拆分!$H$7*装备能力拆分!F$20*G9</f>
        <v>0</v>
      </c>
      <c r="O48" s="52"/>
      <c r="Q48" t="s">
        <v>245</v>
      </c>
      <c r="R48" s="55">
        <f>装备能力拆分!$H$7*装备能力拆分!C$20*D18</f>
        <v>923.30089533000012</v>
      </c>
      <c r="S48" s="55">
        <f>装备能力拆分!$H$7*装备能力拆分!D$20*E18</f>
        <v>0</v>
      </c>
      <c r="T48" s="55">
        <f>装备能力拆分!$H$7*装备能力拆分!E$20*F18</f>
        <v>0</v>
      </c>
      <c r="U48" s="55">
        <f>装备能力拆分!$H$7*装备能力拆分!F$20*G18</f>
        <v>0</v>
      </c>
      <c r="X48" t="s">
        <v>245</v>
      </c>
      <c r="Y48" s="55">
        <f>装备能力拆分!$H$7*装备能力拆分!C$20*D27</f>
        <v>1477.2814325280003</v>
      </c>
      <c r="Z48" s="55">
        <f>装备能力拆分!$H$7*装备能力拆分!D$20*E27</f>
        <v>0</v>
      </c>
      <c r="AA48" s="55">
        <f>装备能力拆分!$H$7*装备能力拆分!E$20*F27</f>
        <v>0</v>
      </c>
      <c r="AB48" s="55">
        <f>装备能力拆分!$H$7*装备能力拆分!F$20*G27</f>
        <v>0</v>
      </c>
      <c r="AE48" t="s">
        <v>245</v>
      </c>
      <c r="AF48" s="55">
        <f>装备能力拆分!$H$7*装备能力拆分!C$20*D36</f>
        <v>923.30089533000012</v>
      </c>
      <c r="AG48" s="55">
        <f>装备能力拆分!$H$7*装备能力拆分!D$20*E36</f>
        <v>0</v>
      </c>
      <c r="AH48" s="55">
        <f>装备能力拆分!$H$7*装备能力拆分!E$20*F36</f>
        <v>0</v>
      </c>
      <c r="AI48" s="55">
        <f>装备能力拆分!$H$7*装备能力拆分!F$20*G36</f>
        <v>0</v>
      </c>
      <c r="AJ48" s="57"/>
      <c r="AK48">
        <v>45</v>
      </c>
      <c r="AL48" t="s">
        <v>218</v>
      </c>
      <c r="AM48">
        <f>INT(装备拆分数值生成!L$44+(装备拆分数值生成!$AK48-41)*装备拆分数值生成!L$8)</f>
        <v>2816</v>
      </c>
      <c r="AN48">
        <f>INT(装备拆分数值生成!M$44+(装备拆分数值生成!$AK48-41)*装备拆分数值生成!M$8)</f>
        <v>1408</v>
      </c>
      <c r="AO48">
        <f>INT(装备拆分数值生成!K$50+(装备拆分数值生成!$AK48-41)*装备拆分数值生成!K$14)</f>
        <v>5163</v>
      </c>
      <c r="AP48">
        <f>INT(装备拆分数值生成!N$56+(装备拆分数值生成!$AK48-41)*装备拆分数值生成!N$20)</f>
        <v>1344</v>
      </c>
      <c r="AQ48">
        <f>INT(装备拆分数值生成!L$62+(装备拆分数值生成!$AK48-41)*装备拆分数值生成!L$26)</f>
        <v>704</v>
      </c>
      <c r="AR48">
        <f>INT(装备拆分数值生成!N$62+(装备拆分数值生成!$AK48-41)*装备拆分数值生成!N$26)</f>
        <v>1008</v>
      </c>
      <c r="AS48">
        <f>INT(装备拆分数值生成!K$68+(装备拆分数值生成!$AK48-41)*装备拆分数值生成!K$32)</f>
        <v>4130</v>
      </c>
      <c r="AT48">
        <f>INT(装备拆分数值生成!M$68+(装备拆分数值生成!$AK48-41)*装备拆分数值生成!M$32)</f>
        <v>352</v>
      </c>
      <c r="AU48">
        <f>INT(装备拆分数值生成!K$74+(装备拆分数值生成!$AK48-41)*装备拆分数值生成!K$38)</f>
        <v>1032</v>
      </c>
      <c r="AV48">
        <f>INT(装备拆分数值生成!L$74+(装备拆分数值生成!$AK48-41)*装备拆分数值生成!L$38)</f>
        <v>1408</v>
      </c>
    </row>
    <row r="49" spans="9:48">
      <c r="I49">
        <v>4</v>
      </c>
      <c r="J49" t="s">
        <v>251</v>
      </c>
      <c r="K49" s="55">
        <f>装备能力拆分!$H$9*装备能力拆分!C$20*D9</f>
        <v>1947.8058276870054</v>
      </c>
      <c r="L49" s="55">
        <f>装备能力拆分!$H$9*装备能力拆分!D$20*E9</f>
        <v>0</v>
      </c>
      <c r="M49" s="55">
        <f>装备能力拆分!$H$9*装备能力拆分!E$20*F9</f>
        <v>0</v>
      </c>
      <c r="N49" s="55">
        <f>装备能力拆分!$H$9*装备能力拆分!F$20*G9</f>
        <v>0</v>
      </c>
      <c r="O49" s="52"/>
      <c r="Q49" t="s">
        <v>251</v>
      </c>
      <c r="R49" s="55">
        <f>装备能力拆分!$H$9*装备能力拆分!C$20*D18</f>
        <v>1947.8058276870054</v>
      </c>
      <c r="S49" s="55">
        <f>装备能力拆分!$H$9*装备能力拆分!D$20*E18</f>
        <v>0</v>
      </c>
      <c r="T49" s="55">
        <f>装备能力拆分!$H$9*装备能力拆分!E$20*F18</f>
        <v>0</v>
      </c>
      <c r="U49" s="55">
        <f>装备能力拆分!$H$9*装备能力拆分!F$20*G18</f>
        <v>0</v>
      </c>
      <c r="X49" t="s">
        <v>251</v>
      </c>
      <c r="Y49" s="55">
        <f>装备能力拆分!$H$9*装备能力拆分!C$20*D27</f>
        <v>3116.4893242992089</v>
      </c>
      <c r="Z49" s="55">
        <f>装备能力拆分!$H$9*装备能力拆分!D$20*E27</f>
        <v>0</v>
      </c>
      <c r="AA49" s="55">
        <f>装备能力拆分!$H$9*装备能力拆分!E$20*F27</f>
        <v>0</v>
      </c>
      <c r="AB49" s="55">
        <f>装备能力拆分!$H$9*装备能力拆分!F$20*G27</f>
        <v>0</v>
      </c>
      <c r="AE49" t="s">
        <v>251</v>
      </c>
      <c r="AF49" s="55">
        <f>装备能力拆分!$H$9*装备能力拆分!C$20*D36</f>
        <v>1947.8058276870054</v>
      </c>
      <c r="AG49" s="55">
        <f>装备能力拆分!$H$9*装备能力拆分!D$20*E36</f>
        <v>0</v>
      </c>
      <c r="AH49" s="55">
        <f>装备能力拆分!$H$9*装备能力拆分!E$20*F36</f>
        <v>0</v>
      </c>
      <c r="AI49" s="55">
        <f>装备能力拆分!$H$9*装备能力拆分!F$20*G36</f>
        <v>0</v>
      </c>
      <c r="AJ49" s="57"/>
      <c r="AK49">
        <v>46</v>
      </c>
      <c r="AL49" t="s">
        <v>219</v>
      </c>
      <c r="AM49">
        <f>INT(装备拆分数值生成!L$44+(装备拆分数值生成!$AK49-41)*装备拆分数值生成!L$8)</f>
        <v>2987</v>
      </c>
      <c r="AN49">
        <f>INT(装备拆分数值生成!M$44+(装备拆分数值生成!$AK49-41)*装备拆分数值生成!M$8)</f>
        <v>1493</v>
      </c>
      <c r="AO49">
        <f>INT(装备拆分数值生成!K$50+(装备拆分数值生成!$AK49-41)*装备拆分数值生成!K$14)</f>
        <v>5476</v>
      </c>
      <c r="AP49">
        <f>INT(装备拆分数值生成!N$56+(装备拆分数值生成!$AK49-41)*装备拆分数值生成!N$20)</f>
        <v>1425</v>
      </c>
      <c r="AQ49">
        <f>INT(装备拆分数值生成!L$62+(装备拆分数值生成!$AK49-41)*装备拆分数值生成!L$26)</f>
        <v>746</v>
      </c>
      <c r="AR49">
        <f>INT(装备拆分数值生成!N$62+(装备拆分数值生成!$AK49-41)*装备拆分数值生成!N$26)</f>
        <v>1069</v>
      </c>
      <c r="AS49">
        <f>INT(装备拆分数值生成!K$68+(装备拆分数值生成!$AK49-41)*装备拆分数值生成!K$32)</f>
        <v>4380</v>
      </c>
      <c r="AT49">
        <f>INT(装备拆分数值生成!M$68+(装备拆分数值生成!$AK49-41)*装备拆分数值生成!M$32)</f>
        <v>373</v>
      </c>
      <c r="AU49">
        <f>INT(装备拆分数值生成!K$74+(装备拆分数值生成!$AK49-41)*装备拆分数值生成!K$38)</f>
        <v>1095</v>
      </c>
      <c r="AV49">
        <f>INT(装备拆分数值生成!L$74+(装备拆分数值生成!$AK49-41)*装备拆分数值生成!L$38)</f>
        <v>1493</v>
      </c>
    </row>
    <row r="50" spans="9:48">
      <c r="I50">
        <v>5</v>
      </c>
      <c r="J50" t="s">
        <v>257</v>
      </c>
      <c r="K50" s="55">
        <f>装备能力拆分!$H$12*装备能力拆分!C$20*D9</f>
        <v>3914.1757432240424</v>
      </c>
      <c r="L50" s="55">
        <f>装备能力拆分!$H$12*装备能力拆分!D$20*E9</f>
        <v>0</v>
      </c>
      <c r="M50" s="55">
        <f>装备能力拆分!$H$12*装备能力拆分!E$20*F9</f>
        <v>0</v>
      </c>
      <c r="N50" s="55">
        <f>装备能力拆分!$H$12*装备能力拆分!F$20*G9</f>
        <v>0</v>
      </c>
      <c r="O50" s="52"/>
      <c r="Q50" t="s">
        <v>257</v>
      </c>
      <c r="R50" s="55">
        <f>装备能力拆分!$H$12*装备能力拆分!C$20*D18</f>
        <v>3914.1757432240424</v>
      </c>
      <c r="S50" s="55">
        <f>装备能力拆分!$H$12*装备能力拆分!D$20*E18</f>
        <v>0</v>
      </c>
      <c r="T50" s="55">
        <f>装备能力拆分!$H$12*装备能力拆分!E$20*F18</f>
        <v>0</v>
      </c>
      <c r="U50" s="55">
        <f>装备能力拆分!$H$12*装备能力拆分!F$20*G18</f>
        <v>0</v>
      </c>
      <c r="X50" t="s">
        <v>257</v>
      </c>
      <c r="Y50" s="55">
        <f>装备能力拆分!$H$12*装备能力拆分!C$20*D27</f>
        <v>6262.6811891584684</v>
      </c>
      <c r="Z50" s="55">
        <f>装备能力拆分!$H$12*装备能力拆分!D$20*E27</f>
        <v>0</v>
      </c>
      <c r="AA50" s="55">
        <f>装备能力拆分!$H$12*装备能力拆分!E$20*F27</f>
        <v>0</v>
      </c>
      <c r="AB50" s="55">
        <f>装备能力拆分!$H$12*装备能力拆分!F$20*G27</f>
        <v>0</v>
      </c>
      <c r="AE50" t="s">
        <v>257</v>
      </c>
      <c r="AF50" s="55">
        <f>装备能力拆分!$H$12*装备能力拆分!C$20*D36</f>
        <v>3914.1757432240424</v>
      </c>
      <c r="AG50" s="55">
        <f>装备能力拆分!$H$12*装备能力拆分!D$20*E36</f>
        <v>0</v>
      </c>
      <c r="AH50" s="55">
        <f>装备能力拆分!$H$12*装备能力拆分!E$20*F36</f>
        <v>0</v>
      </c>
      <c r="AI50" s="55">
        <f>装备能力拆分!$H$12*装备能力拆分!F$20*G36</f>
        <v>0</v>
      </c>
      <c r="AJ50" s="57"/>
      <c r="AK50">
        <v>47</v>
      </c>
      <c r="AL50" t="s">
        <v>220</v>
      </c>
      <c r="AM50">
        <f>INT(装备拆分数值生成!L$44+(装备拆分数值生成!$AK50-41)*装备拆分数值生成!L$8)</f>
        <v>3157</v>
      </c>
      <c r="AN50">
        <f>INT(装备拆分数值生成!M$44+(装备拆分数值生成!$AK50-41)*装备拆分数值生成!M$8)</f>
        <v>1578</v>
      </c>
      <c r="AO50">
        <f>INT(装备拆分数值生成!K$50+(装备拆分数值生成!$AK50-41)*装备拆分数值生成!K$14)</f>
        <v>5788</v>
      </c>
      <c r="AP50">
        <f>INT(装备拆分数值生成!N$56+(装备拆分数值生成!$AK50-41)*装备拆分数值生成!N$20)</f>
        <v>1506</v>
      </c>
      <c r="AQ50">
        <f>INT(装备拆分数值生成!L$62+(装备拆分数值生成!$AK50-41)*装备拆分数值生成!L$26)</f>
        <v>789</v>
      </c>
      <c r="AR50">
        <f>INT(装备拆分数值生成!N$62+(装备拆分数值生成!$AK50-41)*装备拆分数值生成!N$26)</f>
        <v>1130</v>
      </c>
      <c r="AS50">
        <f>INT(装备拆分数值生成!K$68+(装备拆分数值生成!$AK50-41)*装备拆分数值生成!K$32)</f>
        <v>4630</v>
      </c>
      <c r="AT50">
        <f>INT(装备拆分数值生成!M$68+(装备拆分数值生成!$AK50-41)*装备拆分数值生成!M$32)</f>
        <v>394</v>
      </c>
      <c r="AU50">
        <f>INT(装备拆分数值生成!K$74+(装备拆分数值生成!$AK50-41)*装备拆分数值生成!K$38)</f>
        <v>1157</v>
      </c>
      <c r="AV50">
        <f>INT(装备拆分数值生成!L$74+(装备拆分数值生成!$AK50-41)*装备拆分数值生成!L$38)</f>
        <v>1578</v>
      </c>
    </row>
    <row r="51" spans="9:48">
      <c r="K51" s="55"/>
      <c r="L51" s="55"/>
      <c r="M51" s="55"/>
      <c r="N51" s="55"/>
      <c r="O51" s="52"/>
      <c r="R51" s="55"/>
      <c r="S51" s="55"/>
      <c r="T51" s="55"/>
      <c r="U51" s="55"/>
      <c r="Y51" s="55"/>
      <c r="Z51" s="55"/>
      <c r="AA51" s="55"/>
      <c r="AB51" s="55"/>
      <c r="AF51" s="55"/>
      <c r="AG51" s="55"/>
      <c r="AH51" s="55"/>
      <c r="AI51" s="55"/>
      <c r="AJ51" s="57"/>
      <c r="AK51">
        <v>48</v>
      </c>
      <c r="AL51" t="s">
        <v>481</v>
      </c>
      <c r="AM51">
        <f>INT(装备拆分数值生成!L$44+(装备拆分数值生成!$AK51-41)*装备拆分数值生成!L$8)</f>
        <v>3328</v>
      </c>
      <c r="AN51">
        <f>INT(装备拆分数值生成!M$44+(装备拆分数值生成!$AK51-41)*装备拆分数值生成!M$8)</f>
        <v>1664</v>
      </c>
      <c r="AO51">
        <f>INT(装备拆分数值生成!K$50+(装备拆分数值生成!$AK51-41)*装备拆分数值生成!K$14)</f>
        <v>6100</v>
      </c>
      <c r="AP51">
        <f>INT(装备拆分数值生成!N$56+(装备拆分数值生成!$AK51-41)*装备拆分数值生成!N$20)</f>
        <v>1588</v>
      </c>
      <c r="AQ51">
        <f>INT(装备拆分数值生成!L$62+(装备拆分数值生成!$AK51-41)*装备拆分数值生成!L$26)</f>
        <v>832</v>
      </c>
      <c r="AR51">
        <f>INT(装备拆分数值生成!N$62+(装备拆分数值生成!$AK51-41)*装备拆分数值生成!N$26)</f>
        <v>1191</v>
      </c>
      <c r="AS51">
        <f>INT(装备拆分数值生成!K$68+(装备拆分数值生成!$AK51-41)*装备拆分数值生成!K$32)</f>
        <v>4880</v>
      </c>
      <c r="AT51">
        <f>INT(装备拆分数值生成!M$68+(装备拆分数值生成!$AK51-41)*装备拆分数值生成!M$32)</f>
        <v>416</v>
      </c>
      <c r="AU51">
        <f>INT(装备拆分数值生成!K$74+(装备拆分数值生成!$AK51-41)*装备拆分数值生成!K$38)</f>
        <v>1220</v>
      </c>
      <c r="AV51">
        <f>INT(装备拆分数值生成!L$74+(装备拆分数值生成!$AK51-41)*装备拆分数值生成!L$38)</f>
        <v>1664</v>
      </c>
    </row>
    <row r="52" spans="9:48">
      <c r="I52">
        <v>1</v>
      </c>
      <c r="J52" t="s">
        <v>227</v>
      </c>
      <c r="K52" s="55">
        <f>装备能力拆分!C$21*D10</f>
        <v>0</v>
      </c>
      <c r="L52" s="55">
        <f>装备能力拆分!D$21*E10</f>
        <v>0</v>
      </c>
      <c r="M52" s="55">
        <f>装备能力拆分!E$21*F10</f>
        <v>0</v>
      </c>
      <c r="N52" s="55">
        <f>装备能力拆分!F$21*G10</f>
        <v>71</v>
      </c>
      <c r="O52" s="52"/>
      <c r="Q52" t="s">
        <v>227</v>
      </c>
      <c r="R52" s="55">
        <f>装备能力拆分!C$21*D19</f>
        <v>0</v>
      </c>
      <c r="S52" s="55">
        <f>装备能力拆分!D$21*E19</f>
        <v>0</v>
      </c>
      <c r="T52" s="55">
        <f>装备能力拆分!E$21*F19</f>
        <v>0</v>
      </c>
      <c r="U52" s="55">
        <f>装备能力拆分!F$21*G19</f>
        <v>71</v>
      </c>
      <c r="X52" t="s">
        <v>227</v>
      </c>
      <c r="Y52" s="55">
        <f>装备能力拆分!C$21*D28</f>
        <v>0</v>
      </c>
      <c r="Z52" s="55">
        <f>装备能力拆分!D$21*E28</f>
        <v>0</v>
      </c>
      <c r="AA52" s="55">
        <f>装备能力拆分!E$21*F28</f>
        <v>0</v>
      </c>
      <c r="AB52" s="55">
        <f>装备能力拆分!F$21*G28</f>
        <v>106.5</v>
      </c>
      <c r="AE52" t="s">
        <v>227</v>
      </c>
      <c r="AF52" s="55">
        <f>装备能力拆分!C$21*D37</f>
        <v>0</v>
      </c>
      <c r="AG52" s="55">
        <f>装备能力拆分!D$21*E37</f>
        <v>0</v>
      </c>
      <c r="AH52" s="55">
        <f>装备能力拆分!E$21*F37</f>
        <v>0</v>
      </c>
      <c r="AI52" s="55">
        <f>装备能力拆分!F$21*G37</f>
        <v>88.75</v>
      </c>
      <c r="AJ52" s="57"/>
      <c r="AK52">
        <v>49</v>
      </c>
      <c r="AL52" t="s">
        <v>482</v>
      </c>
      <c r="AM52">
        <f>INT(装备拆分数值生成!L$44+(装备拆分数值生成!$AK52-41)*装备拆分数值生成!L$8)</f>
        <v>3498</v>
      </c>
      <c r="AN52">
        <f>INT(装备拆分数值生成!M$44+(装备拆分数值生成!$AK52-41)*装备拆分数值生成!M$8)</f>
        <v>1749</v>
      </c>
      <c r="AO52">
        <f>INT(装备拆分数值生成!K$50+(装备拆分数值生成!$AK52-41)*装备拆分数值生成!K$14)</f>
        <v>6413</v>
      </c>
      <c r="AP52">
        <f>INT(装备拆分数值生成!N$56+(装备拆分数值生成!$AK52-41)*装备拆分数值生成!N$20)</f>
        <v>1669</v>
      </c>
      <c r="AQ52">
        <f>INT(装备拆分数值生成!L$62+(装备拆分数值生成!$AK52-41)*装备拆分数值生成!L$26)</f>
        <v>874</v>
      </c>
      <c r="AR52">
        <f>INT(装备拆分数值生成!N$62+(装备拆分数值生成!$AK52-41)*装备拆分数值生成!N$26)</f>
        <v>1252</v>
      </c>
      <c r="AS52">
        <f>INT(装备拆分数值生成!K$68+(装备拆分数值生成!$AK52-41)*装备拆分数值生成!K$32)</f>
        <v>5130</v>
      </c>
      <c r="AT52">
        <f>INT(装备拆分数值生成!M$68+(装备拆分数值生成!$AK52-41)*装备拆分数值生成!M$32)</f>
        <v>437</v>
      </c>
      <c r="AU52">
        <f>INT(装备拆分数值生成!K$74+(装备拆分数值生成!$AK52-41)*装备拆分数值生成!K$38)</f>
        <v>1282</v>
      </c>
      <c r="AV52">
        <f>INT(装备拆分数值生成!L$74+(装备拆分数值生成!$AK52-41)*装备拆分数值生成!L$38)</f>
        <v>1749</v>
      </c>
    </row>
    <row r="53" spans="9:48">
      <c r="I53">
        <v>2</v>
      </c>
      <c r="J53" t="s">
        <v>240</v>
      </c>
      <c r="K53" s="55">
        <f>装备能力拆分!$H$5*装备能力拆分!C$20*D10</f>
        <v>0</v>
      </c>
      <c r="L53" s="55">
        <f>装备能力拆分!$H$5*装备能力拆分!D$20*E10</f>
        <v>0</v>
      </c>
      <c r="M53" s="55">
        <f>装备能力拆分!$H$5*装备能力拆分!E$20*F10</f>
        <v>0</v>
      </c>
      <c r="N53" s="55">
        <f>装备能力拆分!$H$5*装备能力拆分!F$20*G10</f>
        <v>133.81227999999999</v>
      </c>
      <c r="O53" s="52"/>
      <c r="Q53" t="s">
        <v>240</v>
      </c>
      <c r="R53" s="55">
        <f>装备能力拆分!$H$5*装备能力拆分!C$20*D19</f>
        <v>0</v>
      </c>
      <c r="S53" s="55">
        <f>装备能力拆分!$H$5*装备能力拆分!D$20*E19</f>
        <v>0</v>
      </c>
      <c r="T53" s="55">
        <f>装备能力拆分!$H$5*装备能力拆分!E$20*F19</f>
        <v>0</v>
      </c>
      <c r="U53" s="55">
        <f>装备能力拆分!$H$5*装备能力拆分!F$20*G19</f>
        <v>133.81227999999999</v>
      </c>
      <c r="X53" t="s">
        <v>240</v>
      </c>
      <c r="Y53" s="55">
        <f>装备能力拆分!$H$5*装备能力拆分!C$20*D28</f>
        <v>0</v>
      </c>
      <c r="Z53" s="55">
        <f>装备能力拆分!$H$5*装备能力拆分!D$20*E28</f>
        <v>0</v>
      </c>
      <c r="AA53" s="55">
        <f>装备能力拆分!$H$5*装备能力拆分!E$20*F28</f>
        <v>0</v>
      </c>
      <c r="AB53" s="55">
        <f>装备能力拆分!$H$5*装备能力拆分!F$20*G28</f>
        <v>200.71841999999998</v>
      </c>
      <c r="AE53" t="s">
        <v>240</v>
      </c>
      <c r="AF53" s="55">
        <f>装备能力拆分!$H$5*装备能力拆分!C$20*D37</f>
        <v>0</v>
      </c>
      <c r="AG53" s="55">
        <f>装备能力拆分!$H$5*装备能力拆分!D$20*E37</f>
        <v>0</v>
      </c>
      <c r="AH53" s="55">
        <f>装备能力拆分!$H$5*装备能力拆分!E$20*F37</f>
        <v>0</v>
      </c>
      <c r="AI53" s="55">
        <f>装备能力拆分!$H$5*装备能力拆分!F$20*G37</f>
        <v>167.26534999999998</v>
      </c>
      <c r="AJ53" s="57"/>
      <c r="AK53">
        <v>50</v>
      </c>
      <c r="AL53" t="s">
        <v>483</v>
      </c>
      <c r="AM53">
        <f>INT(装备拆分数值生成!L$44+(装备拆分数值生成!$AK53-41)*装备拆分数值生成!L$8)</f>
        <v>3668</v>
      </c>
      <c r="AN53">
        <f>INT(装备拆分数值生成!M$44+(装备拆分数值生成!$AK53-41)*装备拆分数值生成!M$8)</f>
        <v>1834</v>
      </c>
      <c r="AO53">
        <f>INT(装备拆分数值生成!K$50+(装备拆分数值生成!$AK53-41)*装备拆分数值生成!K$14)</f>
        <v>6725</v>
      </c>
      <c r="AP53">
        <f>INT(装备拆分数值生成!N$56+(装备拆分数值生成!$AK53-41)*装备拆分数值生成!N$20)</f>
        <v>1750</v>
      </c>
      <c r="AQ53">
        <f>INT(装备拆分数值生成!L$62+(装备拆分数值生成!$AK53-41)*装备拆分数值生成!L$26)</f>
        <v>917</v>
      </c>
      <c r="AR53">
        <f>INT(装备拆分数值生成!N$62+(装备拆分数值生成!$AK53-41)*装备拆分数值生成!N$26)</f>
        <v>1313</v>
      </c>
      <c r="AS53">
        <f>INT(装备拆分数值生成!K$68+(装备拆分数值生成!$AK53-41)*装备拆分数值生成!K$32)</f>
        <v>5380</v>
      </c>
      <c r="AT53">
        <f>INT(装备拆分数值生成!M$68+(装备拆分数值生成!$AK53-41)*装备拆分数值生成!M$32)</f>
        <v>458</v>
      </c>
      <c r="AU53">
        <f>INT(装备拆分数值生成!K$74+(装备拆分数值生成!$AK53-41)*装备拆分数值生成!K$38)</f>
        <v>1345</v>
      </c>
      <c r="AV53">
        <f>INT(装备拆分数值生成!L$74+(装备拆分数值生成!$AK53-41)*装备拆分数值生成!L$38)</f>
        <v>1834</v>
      </c>
    </row>
    <row r="54" spans="9:48">
      <c r="I54">
        <v>3</v>
      </c>
      <c r="J54" t="s">
        <v>246</v>
      </c>
      <c r="K54" s="55">
        <f>装备能力拆分!$H$7*装备能力拆分!C$20*D10</f>
        <v>0</v>
      </c>
      <c r="L54" s="55">
        <f>装备能力拆分!$H$7*装备能力拆分!D$20*E10</f>
        <v>0</v>
      </c>
      <c r="M54" s="55">
        <f>装备能力拆分!$H$7*装备能力拆分!E$20*F10</f>
        <v>0</v>
      </c>
      <c r="N54" s="55">
        <f>装备能力拆分!$H$7*装备能力拆分!F$20*G10</f>
        <v>240.34597092000004</v>
      </c>
      <c r="O54" s="52"/>
      <c r="Q54" t="s">
        <v>246</v>
      </c>
      <c r="R54" s="55">
        <f>装备能力拆分!$H$7*装备能力拆分!C$20*D19</f>
        <v>0</v>
      </c>
      <c r="S54" s="55">
        <f>装备能力拆分!$H$7*装备能力拆分!D$20*E19</f>
        <v>0</v>
      </c>
      <c r="T54" s="55">
        <f>装备能力拆分!$H$7*装备能力拆分!E$20*F19</f>
        <v>0</v>
      </c>
      <c r="U54" s="55">
        <f>装备能力拆分!$H$7*装备能力拆分!F$20*G19</f>
        <v>240.34597092000004</v>
      </c>
      <c r="X54" t="s">
        <v>246</v>
      </c>
      <c r="Y54" s="55">
        <f>装备能力拆分!$H$7*装备能力拆分!C$20*D28</f>
        <v>0</v>
      </c>
      <c r="Z54" s="55">
        <f>装备能力拆分!$H$7*装备能力拆分!D$20*E28</f>
        <v>0</v>
      </c>
      <c r="AA54" s="55">
        <f>装备能力拆分!$H$7*装备能力拆分!E$20*F28</f>
        <v>0</v>
      </c>
      <c r="AB54" s="55">
        <f>装备能力拆分!$H$7*装备能力拆分!F$20*G28</f>
        <v>360.51895638000002</v>
      </c>
      <c r="AE54" t="s">
        <v>246</v>
      </c>
      <c r="AF54" s="55">
        <f>装备能力拆分!$H$7*装备能力拆分!C$20*D37</f>
        <v>0</v>
      </c>
      <c r="AG54" s="55">
        <f>装备能力拆分!$H$7*装备能力拆分!D$20*E37</f>
        <v>0</v>
      </c>
      <c r="AH54" s="55">
        <f>装备能力拆分!$H$7*装备能力拆分!E$20*F37</f>
        <v>0</v>
      </c>
      <c r="AI54" s="55">
        <f>装备能力拆分!$H$7*装备能力拆分!F$20*G37</f>
        <v>300.43246365000005</v>
      </c>
      <c r="AJ54" s="57"/>
    </row>
    <row r="55" spans="9:48">
      <c r="I55">
        <v>4</v>
      </c>
      <c r="J55" t="s">
        <v>252</v>
      </c>
      <c r="K55" s="55">
        <f>装备能力拆分!$H$9*装备能力拆分!C$20*D10</f>
        <v>0</v>
      </c>
      <c r="L55" s="55">
        <f>装备能力拆分!$H$9*装备能力拆分!D$20*E10</f>
        <v>0</v>
      </c>
      <c r="M55" s="55">
        <f>装备能力拆分!$H$9*装备能力拆分!E$20*F10</f>
        <v>0</v>
      </c>
      <c r="N55" s="55">
        <f>装备能力拆分!$H$9*装备能力拆分!F$20*G10</f>
        <v>507.03653076362008</v>
      </c>
      <c r="O55" s="52"/>
      <c r="Q55" t="s">
        <v>252</v>
      </c>
      <c r="R55" s="55">
        <f>装备能力拆分!$H$9*装备能力拆分!C$20*D19</f>
        <v>0</v>
      </c>
      <c r="S55" s="55">
        <f>装备能力拆分!$H$9*装备能力拆分!D$20*E19</f>
        <v>0</v>
      </c>
      <c r="T55" s="55">
        <f>装备能力拆分!$H$9*装备能力拆分!E$20*F19</f>
        <v>0</v>
      </c>
      <c r="U55" s="55">
        <f>装备能力拆分!$H$9*装备能力拆分!F$20*G19</f>
        <v>507.03653076362008</v>
      </c>
      <c r="X55" t="s">
        <v>252</v>
      </c>
      <c r="Y55" s="55">
        <f>装备能力拆分!$H$9*装备能力拆分!C$20*D28</f>
        <v>0</v>
      </c>
      <c r="Z55" s="55">
        <f>装备能力拆分!$H$9*装备能力拆分!D$20*E28</f>
        <v>0</v>
      </c>
      <c r="AA55" s="55">
        <f>装备能力拆分!$H$9*装备能力拆分!E$20*F28</f>
        <v>0</v>
      </c>
      <c r="AB55" s="55">
        <f>装备能力拆分!$H$9*装备能力拆分!F$20*G28</f>
        <v>760.55479614543003</v>
      </c>
      <c r="AE55" t="s">
        <v>252</v>
      </c>
      <c r="AF55" s="55">
        <f>装备能力拆分!$H$9*装备能力拆分!C$20*D37</f>
        <v>0</v>
      </c>
      <c r="AG55" s="55">
        <f>装备能力拆分!$H$9*装备能力拆分!D$20*E37</f>
        <v>0</v>
      </c>
      <c r="AH55" s="55">
        <f>装备能力拆分!$H$9*装备能力拆分!E$20*F37</f>
        <v>0</v>
      </c>
      <c r="AI55" s="55">
        <f>装备能力拆分!$H$9*装备能力拆分!F$20*G37</f>
        <v>633.79566345452508</v>
      </c>
      <c r="AJ55" s="57"/>
    </row>
    <row r="56" spans="9:48">
      <c r="I56">
        <v>5</v>
      </c>
      <c r="J56" t="s">
        <v>258</v>
      </c>
      <c r="K56" s="55">
        <f>装备能力拆分!$H$12*装备能力拆分!C$20*D10</f>
        <v>0</v>
      </c>
      <c r="L56" s="55">
        <f>装备能力拆分!$H$12*装备能力拆分!D$20*E10</f>
        <v>0</v>
      </c>
      <c r="M56" s="55">
        <f>装备能力拆分!$H$12*装备能力拆分!E$20*F10</f>
        <v>0</v>
      </c>
      <c r="N56" s="55">
        <f>装备能力拆分!$H$12*装备能力拆分!F$20*G10</f>
        <v>1018.905509693518</v>
      </c>
      <c r="O56" s="52"/>
      <c r="Q56" t="s">
        <v>258</v>
      </c>
      <c r="R56" s="55">
        <f>装备能力拆分!$H$12*装备能力拆分!C$20*D19</f>
        <v>0</v>
      </c>
      <c r="S56" s="55">
        <f>装备能力拆分!$H$12*装备能力拆分!D$20*E19</f>
        <v>0</v>
      </c>
      <c r="T56" s="55">
        <f>装备能力拆分!$H$12*装备能力拆分!E$20*F19</f>
        <v>0</v>
      </c>
      <c r="U56" s="55">
        <f>装备能力拆分!$H$12*装备能力拆分!F$20*G19</f>
        <v>1018.905509693518</v>
      </c>
      <c r="X56" t="s">
        <v>258</v>
      </c>
      <c r="Y56" s="55">
        <f>装备能力拆分!$H$12*装备能力拆分!C$20*D28</f>
        <v>0</v>
      </c>
      <c r="Z56" s="55">
        <f>装备能力拆分!$H$12*装备能力拆分!D$20*E28</f>
        <v>0</v>
      </c>
      <c r="AA56" s="55">
        <f>装备能力拆分!$H$12*装备能力拆分!E$20*F28</f>
        <v>0</v>
      </c>
      <c r="AB56" s="55">
        <f>装备能力拆分!$H$12*装备能力拆分!F$20*G28</f>
        <v>1528.3582645402769</v>
      </c>
      <c r="AE56" t="s">
        <v>258</v>
      </c>
      <c r="AF56" s="55">
        <f>装备能力拆分!$H$12*装备能力拆分!C$20*D37</f>
        <v>0</v>
      </c>
      <c r="AG56" s="55">
        <f>装备能力拆分!$H$12*装备能力拆分!D$20*E37</f>
        <v>0</v>
      </c>
      <c r="AH56" s="55">
        <f>装备能力拆分!$H$12*装备能力拆分!E$20*F37</f>
        <v>0</v>
      </c>
      <c r="AI56" s="55">
        <f>装备能力拆分!$H$12*装备能力拆分!F$20*G37</f>
        <v>1273.6318871168974</v>
      </c>
      <c r="AJ56" s="57"/>
      <c r="AL56" t="s">
        <v>490</v>
      </c>
      <c r="AM56" t="s">
        <v>450</v>
      </c>
      <c r="AO56" t="s">
        <v>465</v>
      </c>
      <c r="AP56" t="s">
        <v>467</v>
      </c>
      <c r="AQ56" t="s">
        <v>469</v>
      </c>
      <c r="AS56" t="s">
        <v>486</v>
      </c>
      <c r="AU56" t="s">
        <v>487</v>
      </c>
    </row>
    <row r="57" spans="9:48">
      <c r="K57" s="55"/>
      <c r="L57" s="55"/>
      <c r="M57" s="55"/>
      <c r="N57" s="55"/>
      <c r="O57" s="52"/>
      <c r="R57" s="55"/>
      <c r="S57" s="55"/>
      <c r="T57" s="55"/>
      <c r="U57" s="55"/>
      <c r="Y57" s="55"/>
      <c r="Z57" s="55"/>
      <c r="AA57" s="55"/>
      <c r="AB57" s="55"/>
      <c r="AF57" s="55"/>
      <c r="AG57" s="55"/>
      <c r="AH57" s="55"/>
      <c r="AI57" s="55"/>
      <c r="AJ57" s="57"/>
      <c r="AM57" t="s">
        <v>463</v>
      </c>
      <c r="AN57" t="s">
        <v>464</v>
      </c>
      <c r="AO57" t="s">
        <v>466</v>
      </c>
      <c r="AP57" t="s">
        <v>468</v>
      </c>
      <c r="AQ57" t="s">
        <v>488</v>
      </c>
      <c r="AR57" t="s">
        <v>485</v>
      </c>
      <c r="AS57" t="s">
        <v>466</v>
      </c>
      <c r="AT57" t="s">
        <v>484</v>
      </c>
      <c r="AU57" t="s">
        <v>466</v>
      </c>
      <c r="AV57" t="s">
        <v>488</v>
      </c>
    </row>
    <row r="58" spans="9:48">
      <c r="I58">
        <v>1</v>
      </c>
      <c r="J58" t="s">
        <v>228</v>
      </c>
      <c r="K58" s="55">
        <f>装备能力拆分!C$21*D11</f>
        <v>0</v>
      </c>
      <c r="L58" s="55">
        <f>装备能力拆分!D$21*E11</f>
        <v>37.200000000000003</v>
      </c>
      <c r="M58" s="55">
        <f>装备能力拆分!E$21*F11</f>
        <v>0</v>
      </c>
      <c r="N58" s="55">
        <f>装备能力拆分!F$21*G11</f>
        <v>53.25</v>
      </c>
      <c r="O58" s="52"/>
      <c r="Q58" t="s">
        <v>228</v>
      </c>
      <c r="R58" s="55">
        <f>装备能力拆分!C$21*D20</f>
        <v>0</v>
      </c>
      <c r="S58" s="55">
        <f>装备能力拆分!D$21*E20</f>
        <v>0</v>
      </c>
      <c r="T58" s="55">
        <f>装备能力拆分!E$21*F20</f>
        <v>37.200000000000003</v>
      </c>
      <c r="U58" s="55">
        <f>装备能力拆分!F$21*G20</f>
        <v>53.25</v>
      </c>
      <c r="X58" t="s">
        <v>228</v>
      </c>
      <c r="Y58" s="55">
        <f>装备能力拆分!C$21*D29</f>
        <v>0</v>
      </c>
      <c r="Z58" s="55">
        <f>装备能力拆分!D$21*E29</f>
        <v>0</v>
      </c>
      <c r="AA58" s="55">
        <f>装备能力拆分!E$21*F29</f>
        <v>0</v>
      </c>
      <c r="AB58" s="55">
        <f>装备能力拆分!F$21*G29</f>
        <v>79.875</v>
      </c>
      <c r="AE58" t="s">
        <v>228</v>
      </c>
      <c r="AF58" s="55">
        <f>装备能力拆分!C$21*D38</f>
        <v>0</v>
      </c>
      <c r="AG58" s="55">
        <f>装备能力拆分!D$21*E38</f>
        <v>0</v>
      </c>
      <c r="AH58" s="55">
        <f>装备能力拆分!E$21*F38</f>
        <v>0</v>
      </c>
      <c r="AI58" s="55">
        <f>装备能力拆分!F$21*G38</f>
        <v>53.25</v>
      </c>
      <c r="AJ58" s="57"/>
      <c r="AK58">
        <v>1</v>
      </c>
      <c r="AL58" t="s">
        <v>456</v>
      </c>
      <c r="AM58">
        <f>INT(装备拆分数值生成!S$40+(装备拆分数值生成!$AK58-1)*装备拆分数值生成!S$4)</f>
        <v>74</v>
      </c>
      <c r="AN58">
        <f>INT(装备拆分数值生成!T$40+(装备拆分数值生成!$AK58-1)*装备拆分数值生成!T$4)</f>
        <v>148</v>
      </c>
      <c r="AO58">
        <f>INT(装备拆分数值生成!R$46+(装备拆分数值生成!$AK58-1)*装备拆分数值生成!R$10)</f>
        <v>272</v>
      </c>
      <c r="AP58">
        <f>INT(装备拆分数值生成!U$52+(装备拆分数值生成!$AK58-1)*装备拆分数值生成!U$16)</f>
        <v>71</v>
      </c>
      <c r="AQ58">
        <f>INT(装备拆分数值生成!T$58+(装备拆分数值生成!$AK58-1)*装备拆分数值生成!T$22)</f>
        <v>37</v>
      </c>
      <c r="AR58">
        <f>INT(装备拆分数值生成!U$58+(装备拆分数值生成!$AK58-1)*装备拆分数值生成!U$22)</f>
        <v>53</v>
      </c>
      <c r="AS58">
        <f>INT(装备拆分数值生成!R$64+(装备拆分数值生成!$AK58-1)*装备拆分数值生成!R$28)</f>
        <v>218</v>
      </c>
      <c r="AT58">
        <f>INT(装备拆分数值生成!S$64+(装备拆分数值生成!$AK58-1)*装备拆分数值生成!S$28)</f>
        <v>18</v>
      </c>
      <c r="AU58">
        <f>INT(装备拆分数值生成!R$70+(装备拆分数值生成!$AK58-1)*装备拆分数值生成!R$34)</f>
        <v>54</v>
      </c>
      <c r="AV58">
        <f>INT(装备拆分数值生成!T$70+(装备拆分数值生成!$AK58-1)*装备拆分数值生成!T$34)</f>
        <v>74</v>
      </c>
    </row>
    <row r="59" spans="9:48">
      <c r="I59">
        <v>2</v>
      </c>
      <c r="J59" t="s">
        <v>241</v>
      </c>
      <c r="K59" s="55">
        <f>装备能力拆分!$H$5*装备能力拆分!C$20*D11</f>
        <v>0</v>
      </c>
      <c r="L59" s="55">
        <f>装备能力拆分!$H$5*装备能力拆分!D$20*E11</f>
        <v>70.110095999999999</v>
      </c>
      <c r="M59" s="55">
        <f>装备能力拆分!$H$5*装备能力拆分!E$20*F11</f>
        <v>0</v>
      </c>
      <c r="N59" s="55">
        <f>装备能力拆分!$H$5*装备能力拆分!F$20*G11</f>
        <v>100.35920999999999</v>
      </c>
      <c r="O59" s="52"/>
      <c r="Q59" t="s">
        <v>241</v>
      </c>
      <c r="R59" s="55">
        <f>装备能力拆分!$H$5*装备能力拆分!C$20*D20</f>
        <v>0</v>
      </c>
      <c r="S59" s="55">
        <f>装备能力拆分!$H$5*装备能力拆分!D$20*E20</f>
        <v>0</v>
      </c>
      <c r="T59" s="55">
        <f>装备能力拆分!$H$5*装备能力拆分!E$20*F20</f>
        <v>70.110095999999999</v>
      </c>
      <c r="U59" s="55">
        <f>装备能力拆分!$H$5*装备能力拆分!F$20*G20</f>
        <v>100.35920999999999</v>
      </c>
      <c r="X59" t="s">
        <v>241</v>
      </c>
      <c r="Y59" s="55">
        <f>装备能力拆分!$H$5*装备能力拆分!C$20*D29</f>
        <v>0</v>
      </c>
      <c r="Z59" s="55">
        <f>装备能力拆分!$H$5*装备能力拆分!D$20*E29</f>
        <v>0</v>
      </c>
      <c r="AA59" s="55">
        <f>装备能力拆分!$H$5*装备能力拆分!E$20*F29</f>
        <v>0</v>
      </c>
      <c r="AB59" s="55">
        <f>装备能力拆分!$H$5*装备能力拆分!F$20*G29</f>
        <v>150.538815</v>
      </c>
      <c r="AE59" t="s">
        <v>241</v>
      </c>
      <c r="AF59" s="55">
        <f>装备能力拆分!$H$5*装备能力拆分!C$20*D38</f>
        <v>0</v>
      </c>
      <c r="AG59" s="55">
        <f>装备能力拆分!$H$5*装备能力拆分!D$20*E38</f>
        <v>0</v>
      </c>
      <c r="AH59" s="55">
        <f>装备能力拆分!$H$5*装备能力拆分!E$20*F38</f>
        <v>0</v>
      </c>
      <c r="AI59" s="55">
        <f>装备能力拆分!$H$5*装备能力拆分!F$20*G38</f>
        <v>100.35920999999999</v>
      </c>
      <c r="AJ59" s="57"/>
      <c r="AK59">
        <v>2</v>
      </c>
      <c r="AL59" t="s">
        <v>451</v>
      </c>
      <c r="AM59">
        <f>INT(装备拆分数值生成!S$40+(装备拆分数值生成!$AK59-1)*装备拆分数值生成!S$4)</f>
        <v>80</v>
      </c>
      <c r="AN59">
        <f>INT(装备拆分数值生成!T$40+(装备拆分数值生成!$AK59-1)*装备拆分数值生成!T$4)</f>
        <v>161</v>
      </c>
      <c r="AO59">
        <f>INT(装备拆分数值生成!R$46+(装备拆分数值生成!$AK59-1)*装备拆分数值生成!R$10)</f>
        <v>296</v>
      </c>
      <c r="AP59">
        <f>INT(装备拆分数值生成!U$52+(装备拆分数值生成!$AK59-1)*装备拆分数值生成!U$16)</f>
        <v>77</v>
      </c>
      <c r="AQ59">
        <f>INT(装备拆分数值生成!T$58+(装备拆分数值生成!$AK59-1)*装备拆分数值生成!T$22)</f>
        <v>40</v>
      </c>
      <c r="AR59">
        <f>INT(装备拆分数值生成!U$58+(装备拆分数值生成!$AK59-1)*装备拆分数值生成!U$22)</f>
        <v>57</v>
      </c>
      <c r="AS59">
        <f>INT(装备拆分数值生成!R$64+(装备拆分数值生成!$AK59-1)*装备拆分数值生成!R$28)</f>
        <v>237</v>
      </c>
      <c r="AT59">
        <f>INT(装备拆分数值生成!S$64+(装备拆分数值生成!$AK59-1)*装备拆分数值生成!S$28)</f>
        <v>20</v>
      </c>
      <c r="AU59">
        <f>INT(装备拆分数值生成!R$70+(装备拆分数值生成!$AK59-1)*装备拆分数值生成!R$34)</f>
        <v>59</v>
      </c>
      <c r="AV59">
        <f>INT(装备拆分数值生成!T$70+(装备拆分数值生成!$AK59-1)*装备拆分数值生成!T$34)</f>
        <v>80</v>
      </c>
    </row>
    <row r="60" spans="9:48">
      <c r="I60">
        <v>3</v>
      </c>
      <c r="J60" t="s">
        <v>247</v>
      </c>
      <c r="K60" s="55">
        <f>装备能力拆分!$H$7*装备能力拆分!C$20*D11</f>
        <v>0</v>
      </c>
      <c r="L60" s="55">
        <f>装备能力拆分!$H$7*装备能力拆分!D$20*E11</f>
        <v>125.92774814400002</v>
      </c>
      <c r="M60" s="55">
        <f>装备能力拆分!$H$7*装备能力拆分!E$20*F11</f>
        <v>0</v>
      </c>
      <c r="N60" s="55">
        <f>装备能力拆分!$H$7*装备能力拆分!F$20*G11</f>
        <v>180.25947819000001</v>
      </c>
      <c r="O60" s="52"/>
      <c r="Q60" t="s">
        <v>247</v>
      </c>
      <c r="R60" s="55">
        <f>装备能力拆分!$H$7*装备能力拆分!C$20*D20</f>
        <v>0</v>
      </c>
      <c r="S60" s="55">
        <f>装备能力拆分!$H$7*装备能力拆分!D$20*E20</f>
        <v>0</v>
      </c>
      <c r="T60" s="55">
        <f>装备能力拆分!$H$7*装备能力拆分!E$20*F20</f>
        <v>125.92774814400002</v>
      </c>
      <c r="U60" s="55">
        <f>装备能力拆分!$H$7*装备能力拆分!F$20*G20</f>
        <v>180.25947819000001</v>
      </c>
      <c r="X60" t="s">
        <v>247</v>
      </c>
      <c r="Y60" s="55">
        <f>装备能力拆分!$H$7*装备能力拆分!C$20*D29</f>
        <v>0</v>
      </c>
      <c r="Z60" s="55">
        <f>装备能力拆分!$H$7*装备能力拆分!D$20*E29</f>
        <v>0</v>
      </c>
      <c r="AA60" s="55">
        <f>装备能力拆分!$H$7*装备能力拆分!E$20*F29</f>
        <v>0</v>
      </c>
      <c r="AB60" s="55">
        <f>装备能力拆分!$H$7*装备能力拆分!F$20*G29</f>
        <v>270.38921728500003</v>
      </c>
      <c r="AE60" t="s">
        <v>247</v>
      </c>
      <c r="AF60" s="55">
        <f>装备能力拆分!$H$7*装备能力拆分!C$20*D38</f>
        <v>0</v>
      </c>
      <c r="AG60" s="55">
        <f>装备能力拆分!$H$7*装备能力拆分!D$20*E38</f>
        <v>0</v>
      </c>
      <c r="AH60" s="55">
        <f>装备能力拆分!$H$7*装备能力拆分!E$20*F38</f>
        <v>0</v>
      </c>
      <c r="AI60" s="55">
        <f>装备能力拆分!$H$7*装备能力拆分!F$20*G38</f>
        <v>180.25947819000001</v>
      </c>
      <c r="AJ60" s="57"/>
      <c r="AK60">
        <v>3</v>
      </c>
      <c r="AL60" t="s">
        <v>192</v>
      </c>
      <c r="AM60">
        <f>INT(装备拆分数值生成!S$40+(装备拆分数值生成!$AK60-1)*装备拆分数值生成!S$4)</f>
        <v>87</v>
      </c>
      <c r="AN60">
        <f>INT(装备拆分数值生成!T$40+(装备拆分数值生成!$AK60-1)*装备拆分数值生成!T$4)</f>
        <v>174</v>
      </c>
      <c r="AO60">
        <f>INT(装备拆分数值生成!R$46+(装备拆分数值生成!$AK60-1)*装备拆分数值生成!R$10)</f>
        <v>319</v>
      </c>
      <c r="AP60">
        <f>INT(装备拆分数值生成!U$52+(装备拆分数值生成!$AK60-1)*装备拆分数值生成!U$16)</f>
        <v>83</v>
      </c>
      <c r="AQ60">
        <f>INT(装备拆分数值生成!T$58+(装备拆分数值生成!$AK60-1)*装备拆分数值生成!T$22)</f>
        <v>43</v>
      </c>
      <c r="AR60">
        <f>INT(装备拆分数值生成!U$58+(装备拆分数值生成!$AK60-1)*装备拆分数值生成!U$22)</f>
        <v>62</v>
      </c>
      <c r="AS60">
        <f>INT(装备拆分数值生成!R$64+(装备拆分数值生成!$AK60-1)*装备拆分数值生成!R$28)</f>
        <v>255</v>
      </c>
      <c r="AT60">
        <f>INT(装备拆分数值生成!S$64+(装备拆分数值生成!$AK60-1)*装备拆分数值生成!S$28)</f>
        <v>21</v>
      </c>
      <c r="AU60">
        <f>INT(装备拆分数值生成!R$70+(装备拆分数值生成!$AK60-1)*装备拆分数值生成!R$34)</f>
        <v>63</v>
      </c>
      <c r="AV60">
        <f>INT(装备拆分数值生成!T$70+(装备拆分数值生成!$AK60-1)*装备拆分数值生成!T$34)</f>
        <v>87</v>
      </c>
    </row>
    <row r="61" spans="9:48">
      <c r="I61">
        <v>4</v>
      </c>
      <c r="J61" t="s">
        <v>253</v>
      </c>
      <c r="K61" s="55">
        <f>装备能力拆分!$H$9*装备能力拆分!C$20*D11</f>
        <v>0</v>
      </c>
      <c r="L61" s="55">
        <f>装备能力拆分!$H$9*装备能力拆分!D$20*E11</f>
        <v>265.65857668178404</v>
      </c>
      <c r="M61" s="55">
        <f>装备能力拆分!$H$9*装备能力拆分!E$20*F11</f>
        <v>0</v>
      </c>
      <c r="N61" s="55">
        <f>装备能力拆分!$H$9*装备能力拆分!F$20*G11</f>
        <v>380.27739807271502</v>
      </c>
      <c r="O61" s="52"/>
      <c r="Q61" t="s">
        <v>253</v>
      </c>
      <c r="R61" s="55">
        <f>装备能力拆分!$H$9*装备能力拆分!C$20*D20</f>
        <v>0</v>
      </c>
      <c r="S61" s="55">
        <f>装备能力拆分!$H$9*装备能力拆分!D$20*E20</f>
        <v>0</v>
      </c>
      <c r="T61" s="55">
        <f>装备能力拆分!$H$9*装备能力拆分!E$20*F20</f>
        <v>265.65857668178404</v>
      </c>
      <c r="U61" s="55">
        <f>装备能力拆分!$H$9*装备能力拆分!F$20*G20</f>
        <v>380.27739807271502</v>
      </c>
      <c r="X61" t="s">
        <v>253</v>
      </c>
      <c r="Y61" s="55">
        <f>装备能力拆分!$H$9*装备能力拆分!C$20*D29</f>
        <v>0</v>
      </c>
      <c r="Z61" s="55">
        <f>装备能力拆分!$H$9*装备能力拆分!D$20*E29</f>
        <v>0</v>
      </c>
      <c r="AA61" s="55">
        <f>装备能力拆分!$H$9*装备能力拆分!E$20*F29</f>
        <v>0</v>
      </c>
      <c r="AB61" s="55">
        <f>装备能力拆分!$H$9*装备能力拆分!F$20*G29</f>
        <v>570.41609710907255</v>
      </c>
      <c r="AE61" t="s">
        <v>253</v>
      </c>
      <c r="AF61" s="55">
        <f>装备能力拆分!$H$9*装备能力拆分!C$20*D38</f>
        <v>0</v>
      </c>
      <c r="AG61" s="55">
        <f>装备能力拆分!$H$9*装备能力拆分!D$20*E38</f>
        <v>0</v>
      </c>
      <c r="AH61" s="55">
        <f>装备能力拆分!$H$9*装备能力拆分!E$20*F38</f>
        <v>0</v>
      </c>
      <c r="AI61" s="55">
        <f>装备能力拆分!$H$9*装备能力拆分!F$20*G38</f>
        <v>380.27739807271502</v>
      </c>
      <c r="AJ61" s="57"/>
      <c r="AK61">
        <v>4</v>
      </c>
      <c r="AL61" t="s">
        <v>193</v>
      </c>
      <c r="AM61">
        <f>INT(装备拆分数值生成!S$40+(装备拆分数值生成!$AK61-1)*装备拆分数值生成!S$4)</f>
        <v>93</v>
      </c>
      <c r="AN61">
        <f>INT(装备拆分数值生成!T$40+(装备拆分数值生成!$AK61-1)*装备拆分数值生成!T$4)</f>
        <v>187</v>
      </c>
      <c r="AO61">
        <f>INT(装备拆分数值生成!R$46+(装备拆分数值生成!$AK61-1)*装备拆分数值生成!R$10)</f>
        <v>343</v>
      </c>
      <c r="AP61">
        <f>INT(装备拆分数值生成!U$52+(装备拆分数值生成!$AK61-1)*装备拆分数值生成!U$16)</f>
        <v>89</v>
      </c>
      <c r="AQ61">
        <f>INT(装备拆分数值生成!T$58+(装备拆分数值生成!$AK61-1)*装备拆分数值生成!T$22)</f>
        <v>46</v>
      </c>
      <c r="AR61">
        <f>INT(装备拆分数值生成!U$58+(装备拆分数值生成!$AK61-1)*装备拆分数值生成!U$22)</f>
        <v>67</v>
      </c>
      <c r="AS61">
        <f>INT(装备拆分数值生成!R$64+(装备拆分数值生成!$AK61-1)*装备拆分数值生成!R$28)</f>
        <v>274</v>
      </c>
      <c r="AT61">
        <f>INT(装备拆分数值生成!S$64+(装备拆分数值生成!$AK61-1)*装备拆分数值生成!S$28)</f>
        <v>23</v>
      </c>
      <c r="AU61">
        <f>INT(装备拆分数值生成!R$70+(装备拆分数值生成!$AK61-1)*装备拆分数值生成!R$34)</f>
        <v>68</v>
      </c>
      <c r="AV61">
        <f>INT(装备拆分数值生成!T$70+(装备拆分数值生成!$AK61-1)*装备拆分数值生成!T$34)</f>
        <v>93</v>
      </c>
    </row>
    <row r="62" spans="9:48">
      <c r="I62">
        <v>5</v>
      </c>
      <c r="J62" t="s">
        <v>259</v>
      </c>
      <c r="K62" s="55">
        <f>装备能力拆分!$H$12*装备能力拆分!C$20*D11</f>
        <v>0</v>
      </c>
      <c r="L62" s="55">
        <f>装备能力拆分!$H$12*装备能力拆分!D$20*E11</f>
        <v>533.84908395209675</v>
      </c>
      <c r="M62" s="55">
        <f>装备能力拆分!$H$12*装备能力拆分!E$20*F11</f>
        <v>0</v>
      </c>
      <c r="N62" s="55">
        <f>装备能力拆分!$H$12*装备能力拆分!F$20*G11</f>
        <v>764.17913227013844</v>
      </c>
      <c r="O62" s="52"/>
      <c r="Q62" t="s">
        <v>259</v>
      </c>
      <c r="R62" s="55">
        <f>装备能力拆分!$H$12*装备能力拆分!C$20*D20</f>
        <v>0</v>
      </c>
      <c r="S62" s="55">
        <f>装备能力拆分!$H$12*装备能力拆分!D$20*E20</f>
        <v>0</v>
      </c>
      <c r="T62" s="55">
        <f>装备能力拆分!$H$12*装备能力拆分!E$20*F20</f>
        <v>533.84908395209675</v>
      </c>
      <c r="U62" s="55">
        <f>装备能力拆分!$H$12*装备能力拆分!F$20*G20</f>
        <v>764.17913227013844</v>
      </c>
      <c r="X62" t="s">
        <v>259</v>
      </c>
      <c r="Y62" s="55">
        <f>装备能力拆分!$H$12*装备能力拆分!C$20*D29</f>
        <v>0</v>
      </c>
      <c r="Z62" s="55">
        <f>装备能力拆分!$H$12*装备能力拆分!D$20*E29</f>
        <v>0</v>
      </c>
      <c r="AA62" s="55">
        <f>装备能力拆分!$H$12*装备能力拆分!E$20*F29</f>
        <v>0</v>
      </c>
      <c r="AB62" s="55">
        <f>装备能力拆分!$H$12*装备能力拆分!F$20*G29</f>
        <v>1146.2686984052077</v>
      </c>
      <c r="AE62" t="s">
        <v>259</v>
      </c>
      <c r="AF62" s="55">
        <f>装备能力拆分!$H$12*装备能力拆分!C$20*D38</f>
        <v>0</v>
      </c>
      <c r="AG62" s="55">
        <f>装备能力拆分!$H$12*装备能力拆分!D$20*E38</f>
        <v>0</v>
      </c>
      <c r="AH62" s="55">
        <f>装备能力拆分!$H$12*装备能力拆分!E$20*F38</f>
        <v>0</v>
      </c>
      <c r="AI62" s="55">
        <f>装备能力拆分!$H$12*装备能力拆分!F$20*G38</f>
        <v>764.17913227013844</v>
      </c>
      <c r="AJ62" s="57"/>
      <c r="AK62">
        <v>5</v>
      </c>
      <c r="AL62" t="s">
        <v>194</v>
      </c>
      <c r="AM62">
        <f>INT(装备拆分数值生成!S$40+(装备拆分数值生成!$AK62-1)*装备拆分数值生成!S$4)</f>
        <v>100</v>
      </c>
      <c r="AN62">
        <f>INT(装备拆分数值生成!T$40+(装备拆分数值生成!$AK62-1)*装备拆分数值生成!T$4)</f>
        <v>200</v>
      </c>
      <c r="AO62">
        <f>INT(装备拆分数值生成!R$46+(装备拆分数值生成!$AK62-1)*装备拆分数值生成!R$10)</f>
        <v>366</v>
      </c>
      <c r="AP62">
        <f>INT(装备拆分数值生成!U$52+(装备拆分数值生成!$AK62-1)*装备拆分数值生成!U$16)</f>
        <v>95</v>
      </c>
      <c r="AQ62">
        <f>INT(装备拆分数值生成!T$58+(装备拆分数值生成!$AK62-1)*装备拆分数值生成!T$22)</f>
        <v>50</v>
      </c>
      <c r="AR62">
        <f>INT(装备拆分数值生成!U$58+(装备拆分数值生成!$AK62-1)*装备拆分数值生成!U$22)</f>
        <v>71</v>
      </c>
      <c r="AS62">
        <f>INT(装备拆分数值生成!R$64+(装备拆分数值生成!$AK62-1)*装备拆分数值生成!R$28)</f>
        <v>293</v>
      </c>
      <c r="AT62">
        <f>INT(装备拆分数值生成!S$64+(装备拆分数值生成!$AK62-1)*装备拆分数值生成!S$28)</f>
        <v>25</v>
      </c>
      <c r="AU62">
        <f>INT(装备拆分数值生成!R$70+(装备拆分数值生成!$AK62-1)*装备拆分数值生成!R$34)</f>
        <v>73</v>
      </c>
      <c r="AV62">
        <f>INT(装备拆分数值生成!T$70+(装备拆分数值生成!$AK62-1)*装备拆分数值生成!T$34)</f>
        <v>100</v>
      </c>
    </row>
    <row r="63" spans="9:48">
      <c r="K63" s="55"/>
      <c r="L63" s="55"/>
      <c r="M63" s="55"/>
      <c r="N63" s="55"/>
      <c r="O63" s="52"/>
      <c r="R63" s="55"/>
      <c r="S63" s="55"/>
      <c r="T63" s="55"/>
      <c r="U63" s="55"/>
      <c r="Y63" s="55"/>
      <c r="Z63" s="55"/>
      <c r="AA63" s="55"/>
      <c r="AB63" s="55"/>
      <c r="AF63" s="55"/>
      <c r="AG63" s="55"/>
      <c r="AH63" s="55"/>
      <c r="AI63" s="55"/>
      <c r="AJ63" s="57"/>
      <c r="AK63">
        <v>6</v>
      </c>
      <c r="AL63" t="s">
        <v>195</v>
      </c>
      <c r="AM63">
        <f>INT(装备拆分数值生成!S$40+(装备拆分数值生成!$AK63-1)*装备拆分数值生成!S$4)</f>
        <v>106</v>
      </c>
      <c r="AN63">
        <f>INT(装备拆分数值生成!T$40+(装备拆分数值生成!$AK63-1)*装备拆分数值生成!T$4)</f>
        <v>213</v>
      </c>
      <c r="AO63">
        <f>INT(装备拆分数值生成!R$46+(装备拆分数值生成!$AK63-1)*装备拆分数值生成!R$10)</f>
        <v>390</v>
      </c>
      <c r="AP63">
        <f>INT(装备拆分数值生成!U$52+(装备拆分数值生成!$AK63-1)*装备拆分数值生成!U$16)</f>
        <v>101</v>
      </c>
      <c r="AQ63">
        <f>INT(装备拆分数值生成!T$58+(装备拆分数值生成!$AK63-1)*装备拆分数值生成!T$22)</f>
        <v>53</v>
      </c>
      <c r="AR63">
        <f>INT(装备拆分数值生成!U$58+(装备拆分数值生成!$AK63-1)*装备拆分数值生成!U$22)</f>
        <v>76</v>
      </c>
      <c r="AS63">
        <f>INT(装备拆分数值生成!R$64+(装备拆分数值生成!$AK63-1)*装备拆分数值生成!R$28)</f>
        <v>312</v>
      </c>
      <c r="AT63">
        <f>INT(装备拆分数值生成!S$64+(装备拆分数值生成!$AK63-1)*装备拆分数值生成!S$28)</f>
        <v>26</v>
      </c>
      <c r="AU63">
        <f>INT(装备拆分数值生成!R$70+(装备拆分数值生成!$AK63-1)*装备拆分数值生成!R$34)</f>
        <v>78</v>
      </c>
      <c r="AV63">
        <f>INT(装备拆分数值生成!T$70+(装备拆分数值生成!$AK63-1)*装备拆分数值生成!T$34)</f>
        <v>106</v>
      </c>
    </row>
    <row r="64" spans="9:48">
      <c r="I64">
        <v>1</v>
      </c>
      <c r="J64" t="s">
        <v>229</v>
      </c>
      <c r="K64" s="55">
        <f>装备能力拆分!C$21*D12</f>
        <v>218.20000000000002</v>
      </c>
      <c r="L64" s="55">
        <f>装备能力拆分!D$21*E12</f>
        <v>0</v>
      </c>
      <c r="M64" s="55">
        <f>装备能力拆分!E$21*F12</f>
        <v>18.600000000000001</v>
      </c>
      <c r="N64" s="55">
        <f>装备能力拆分!F$21*G12</f>
        <v>0</v>
      </c>
      <c r="O64" s="52"/>
      <c r="Q64" t="s">
        <v>229</v>
      </c>
      <c r="R64" s="55">
        <f>装备能力拆分!C$21*D21</f>
        <v>218.20000000000002</v>
      </c>
      <c r="S64" s="55">
        <f>装备能力拆分!D$21*E21</f>
        <v>18.600000000000001</v>
      </c>
      <c r="T64" s="55">
        <f>装备能力拆分!E$21*F21</f>
        <v>0</v>
      </c>
      <c r="U64" s="55">
        <f>装备能力拆分!F$21*G21</f>
        <v>0</v>
      </c>
      <c r="X64" t="s">
        <v>229</v>
      </c>
      <c r="Y64" s="55">
        <f>装备能力拆分!C$21*D30</f>
        <v>272.75</v>
      </c>
      <c r="Z64" s="55">
        <f>装备能力拆分!D$21*E30</f>
        <v>0</v>
      </c>
      <c r="AA64" s="55">
        <f>装备能力拆分!E$21*F30</f>
        <v>0</v>
      </c>
      <c r="AB64" s="55">
        <f>装备能力拆分!F$21*G30</f>
        <v>0</v>
      </c>
      <c r="AE64" t="s">
        <v>229</v>
      </c>
      <c r="AF64" s="55">
        <f>装备能力拆分!C$21*D39</f>
        <v>163.65</v>
      </c>
      <c r="AG64" s="55">
        <f>装备能力拆分!D$21*E39</f>
        <v>0</v>
      </c>
      <c r="AH64" s="55">
        <f>装备能力拆分!E$21*F39</f>
        <v>37.200000000000003</v>
      </c>
      <c r="AI64" s="55">
        <f>装备能力拆分!F$21*G39</f>
        <v>0</v>
      </c>
      <c r="AJ64" s="57"/>
      <c r="AK64">
        <v>7</v>
      </c>
      <c r="AL64" t="s">
        <v>196</v>
      </c>
      <c r="AM64">
        <f>INT(装备拆分数值生成!S$40+(装备拆分数值生成!$AK64-1)*装备拆分数值生成!S$4)</f>
        <v>113</v>
      </c>
      <c r="AN64">
        <f>INT(装备拆分数值生成!T$40+(装备拆分数值生成!$AK64-1)*装备拆分数值生成!T$4)</f>
        <v>226</v>
      </c>
      <c r="AO64">
        <f>INT(装备拆分数值生成!R$46+(装备拆分数值生成!$AK64-1)*装备拆分数值生成!R$10)</f>
        <v>414</v>
      </c>
      <c r="AP64">
        <f>INT(装备拆分数值生成!U$52+(装备拆分数值生成!$AK64-1)*装备拆分数值生成!U$16)</f>
        <v>107</v>
      </c>
      <c r="AQ64">
        <f>INT(装备拆分数值生成!T$58+(装备拆分数值生成!$AK64-1)*装备拆分数值生成!T$22)</f>
        <v>56</v>
      </c>
      <c r="AR64">
        <f>INT(装备拆分数值生成!U$58+(装备拆分数值生成!$AK64-1)*装备拆分数值生成!U$22)</f>
        <v>80</v>
      </c>
      <c r="AS64">
        <f>INT(装备拆分数值生成!R$64+(装备拆分数值生成!$AK64-1)*装备拆分数值生成!R$28)</f>
        <v>331</v>
      </c>
      <c r="AT64">
        <f>INT(装备拆分数值生成!S$64+(装备拆分数值生成!$AK64-1)*装备拆分数值生成!S$28)</f>
        <v>28</v>
      </c>
      <c r="AU64">
        <f>INT(装备拆分数值生成!R$70+(装备拆分数值生成!$AK64-1)*装备拆分数值生成!R$34)</f>
        <v>82</v>
      </c>
      <c r="AV64">
        <f>INT(装备拆分数值生成!T$70+(装备拆分数值生成!$AK64-1)*装备拆分数值生成!T$34)</f>
        <v>113</v>
      </c>
    </row>
    <row r="65" spans="1:48">
      <c r="I65">
        <v>2</v>
      </c>
      <c r="J65" t="s">
        <v>242</v>
      </c>
      <c r="K65" s="55">
        <f>装备能力拆分!$H$5*装备能力拆分!C$20*D12</f>
        <v>411.23717600000003</v>
      </c>
      <c r="L65" s="55">
        <f>装备能力拆分!$H$5*装备能力拆分!D$20*E12</f>
        <v>0</v>
      </c>
      <c r="M65" s="55">
        <f>装备能力拆分!$H$5*装备能力拆分!E$20*F12</f>
        <v>35.055047999999999</v>
      </c>
      <c r="N65" s="55">
        <f>装备能力拆分!$H$5*装备能力拆分!F$20*G12</f>
        <v>0</v>
      </c>
      <c r="O65" s="52"/>
      <c r="Q65" t="s">
        <v>242</v>
      </c>
      <c r="R65" s="55">
        <f>装备能力拆分!$H$5*装备能力拆分!C$20*D21</f>
        <v>411.23717600000003</v>
      </c>
      <c r="S65" s="55">
        <f>装备能力拆分!$H$5*装备能力拆分!D$20*E21</f>
        <v>35.055047999999999</v>
      </c>
      <c r="T65" s="55">
        <f>装备能力拆分!$H$5*装备能力拆分!E$20*F21</f>
        <v>0</v>
      </c>
      <c r="U65" s="55">
        <f>装备能力拆分!$H$5*装备能力拆分!F$20*G21</f>
        <v>0</v>
      </c>
      <c r="X65" t="s">
        <v>242</v>
      </c>
      <c r="Y65" s="55">
        <f>装备能力拆分!$H$5*装备能力拆分!C$20*D30</f>
        <v>514.04647</v>
      </c>
      <c r="Z65" s="55">
        <f>装备能力拆分!$H$5*装备能力拆分!D$20*E30</f>
        <v>0</v>
      </c>
      <c r="AA65" s="55">
        <f>装备能力拆分!$H$5*装备能力拆分!E$20*F30</f>
        <v>0</v>
      </c>
      <c r="AB65" s="55">
        <f>装备能力拆分!$H$5*装备能力拆分!F$20*G30</f>
        <v>0</v>
      </c>
      <c r="AE65" t="s">
        <v>242</v>
      </c>
      <c r="AF65" s="55">
        <f>装备能力拆分!$H$5*装备能力拆分!C$20*D39</f>
        <v>308.42788200000001</v>
      </c>
      <c r="AG65" s="55">
        <f>装备能力拆分!$H$5*装备能力拆分!D$20*E39</f>
        <v>0</v>
      </c>
      <c r="AH65" s="55">
        <f>装备能力拆分!$H$5*装备能力拆分!E$20*F39</f>
        <v>70.110095999999999</v>
      </c>
      <c r="AI65" s="55">
        <f>装备能力拆分!$H$5*装备能力拆分!F$20*G39</f>
        <v>0</v>
      </c>
      <c r="AJ65" s="57"/>
      <c r="AK65">
        <v>8</v>
      </c>
      <c r="AL65" t="s">
        <v>452</v>
      </c>
      <c r="AM65">
        <f>INT(装备拆分数值生成!S$40+(装备拆分数值生成!$AK65-1)*装备拆分数值生成!S$4)</f>
        <v>119</v>
      </c>
      <c r="AN65">
        <f>INT(装备拆分数值生成!T$40+(装备拆分数值生成!$AK65-1)*装备拆分数值生成!T$4)</f>
        <v>239</v>
      </c>
      <c r="AO65">
        <f>INT(装备拆分数值生成!R$46+(装备拆分数值生成!$AK65-1)*装备拆分数值生成!R$10)</f>
        <v>437</v>
      </c>
      <c r="AP65">
        <f>INT(装备拆分数值生成!U$52+(装备拆分数值生成!$AK65-1)*装备拆分数值生成!U$16)</f>
        <v>113</v>
      </c>
      <c r="AQ65">
        <f>INT(装备拆分数值生成!T$58+(装备拆分数值生成!$AK65-1)*装备拆分数值生成!T$22)</f>
        <v>59</v>
      </c>
      <c r="AR65">
        <f>INT(装备拆分数值生成!U$58+(装备拆分数值生成!$AK65-1)*装备拆分数值生成!U$22)</f>
        <v>85</v>
      </c>
      <c r="AS65">
        <f>INT(装备拆分数值生成!R$64+(装备拆分数值生成!$AK65-1)*装备拆分数值生成!R$28)</f>
        <v>350</v>
      </c>
      <c r="AT65">
        <f>INT(装备拆分数值生成!S$64+(装备拆分数值生成!$AK65-1)*装备拆分数值生成!S$28)</f>
        <v>29</v>
      </c>
      <c r="AU65">
        <f>INT(装备拆分数值生成!R$70+(装备拆分数值生成!$AK65-1)*装备拆分数值生成!R$34)</f>
        <v>87</v>
      </c>
      <c r="AV65">
        <f>INT(装备拆分数值生成!T$70+(装备拆分数值生成!$AK65-1)*装备拆分数值生成!T$34)</f>
        <v>119</v>
      </c>
    </row>
    <row r="66" spans="1:48">
      <c r="I66">
        <v>3</v>
      </c>
      <c r="J66" t="s">
        <v>248</v>
      </c>
      <c r="K66" s="55">
        <f>装备能力拆分!$H$7*装备能力拆分!C$20*D12</f>
        <v>738.64071626400016</v>
      </c>
      <c r="L66" s="55">
        <f>装备能力拆分!$H$7*装备能力拆分!D$20*E12</f>
        <v>0</v>
      </c>
      <c r="M66" s="55">
        <f>装备能力拆分!$H$7*装备能力拆分!E$20*F12</f>
        <v>62.96387407200001</v>
      </c>
      <c r="N66" s="55">
        <f>装备能力拆分!$H$7*装备能力拆分!F$20*G12</f>
        <v>0</v>
      </c>
      <c r="O66" s="52"/>
      <c r="Q66" t="s">
        <v>248</v>
      </c>
      <c r="R66" s="55">
        <f>装备能力拆分!$H$7*装备能力拆分!C$20*D21</f>
        <v>738.64071626400016</v>
      </c>
      <c r="S66" s="55">
        <f>装备能力拆分!$H$7*装备能力拆分!D$20*E21</f>
        <v>62.96387407200001</v>
      </c>
      <c r="T66" s="55">
        <f>装备能力拆分!$H$7*装备能力拆分!E$20*F21</f>
        <v>0</v>
      </c>
      <c r="U66" s="55">
        <f>装备能力拆分!$H$7*装备能力拆分!F$20*G21</f>
        <v>0</v>
      </c>
      <c r="X66" t="s">
        <v>248</v>
      </c>
      <c r="Y66" s="55">
        <f>装备能力拆分!$H$7*装备能力拆分!C$20*D30</f>
        <v>923.30089533000012</v>
      </c>
      <c r="Z66" s="55">
        <f>装备能力拆分!$H$7*装备能力拆分!D$20*E30</f>
        <v>0</v>
      </c>
      <c r="AA66" s="55">
        <f>装备能力拆分!$H$7*装备能力拆分!E$20*F30</f>
        <v>0</v>
      </c>
      <c r="AB66" s="55">
        <f>装备能力拆分!$H$7*装备能力拆分!F$20*G30</f>
        <v>0</v>
      </c>
      <c r="AE66" t="s">
        <v>248</v>
      </c>
      <c r="AF66" s="55">
        <f>装备能力拆分!$H$7*装备能力拆分!C$20*D39</f>
        <v>553.98053719800009</v>
      </c>
      <c r="AG66" s="55">
        <f>装备能力拆分!$H$7*装备能力拆分!D$20*E39</f>
        <v>0</v>
      </c>
      <c r="AH66" s="55">
        <f>装备能力拆分!$H$7*装备能力拆分!E$20*F39</f>
        <v>125.92774814400002</v>
      </c>
      <c r="AI66" s="55">
        <f>装备能力拆分!$H$7*装备能力拆分!F$20*G39</f>
        <v>0</v>
      </c>
      <c r="AJ66" s="57"/>
      <c r="AK66">
        <v>9</v>
      </c>
      <c r="AL66" t="s">
        <v>453</v>
      </c>
      <c r="AM66">
        <f>INT(装备拆分数值生成!S$40+(装备拆分数值生成!$AK66-1)*装备拆分数值生成!S$4)</f>
        <v>125</v>
      </c>
      <c r="AN66">
        <f>INT(装备拆分数值生成!T$40+(装备拆分数值生成!$AK66-1)*装备拆分数值生成!T$4)</f>
        <v>251</v>
      </c>
      <c r="AO66">
        <f>INT(装备拆分数值生成!R$46+(装备拆分数值生成!$AK66-1)*装备拆分数值生成!R$10)</f>
        <v>461</v>
      </c>
      <c r="AP66">
        <f>INT(装备拆分数值生成!U$52+(装备拆分数值生成!$AK66-1)*装备拆分数值生成!U$16)</f>
        <v>120</v>
      </c>
      <c r="AQ66">
        <f>INT(装备拆分数值生成!T$58+(装备拆分数值生成!$AK66-1)*装备拆分数值生成!T$22)</f>
        <v>62</v>
      </c>
      <c r="AR66">
        <f>INT(装备拆分数值生成!U$58+(装备拆分数值生成!$AK66-1)*装备拆分数值生成!U$22)</f>
        <v>90</v>
      </c>
      <c r="AS66">
        <f>INT(装备拆分数值生成!R$64+(装备拆分数值生成!$AK66-1)*装备拆分数值生成!R$28)</f>
        <v>368</v>
      </c>
      <c r="AT66">
        <f>INT(装备拆分数值生成!S$64+(装备拆分数值生成!$AK66-1)*装备拆分数值生成!S$28)</f>
        <v>31</v>
      </c>
      <c r="AU66">
        <f>INT(装备拆分数值生成!R$70+(装备拆分数值生成!$AK66-1)*装备拆分数值生成!R$34)</f>
        <v>92</v>
      </c>
      <c r="AV66">
        <f>INT(装备拆分数值生成!T$70+(装备拆分数值生成!$AK66-1)*装备拆分数值生成!T$34)</f>
        <v>125</v>
      </c>
    </row>
    <row r="67" spans="1:48">
      <c r="I67">
        <v>4</v>
      </c>
      <c r="J67" t="s">
        <v>254</v>
      </c>
      <c r="K67" s="55">
        <f>装备能力拆分!$H$9*装备能力拆分!C$20*D12</f>
        <v>1558.2446621496044</v>
      </c>
      <c r="L67" s="55">
        <f>装备能力拆分!$H$9*装备能力拆分!D$20*E12</f>
        <v>0</v>
      </c>
      <c r="M67" s="55">
        <f>装备能力拆分!$H$9*装备能力拆分!E$20*F12</f>
        <v>132.82928834089202</v>
      </c>
      <c r="N67" s="55">
        <f>装备能力拆分!$H$9*装备能力拆分!F$20*G12</f>
        <v>0</v>
      </c>
      <c r="O67" s="52"/>
      <c r="Q67" t="s">
        <v>254</v>
      </c>
      <c r="R67" s="55">
        <f>装备能力拆分!$H$9*装备能力拆分!C$20*D21</f>
        <v>1558.2446621496044</v>
      </c>
      <c r="S67" s="55">
        <f>装备能力拆分!$H$9*装备能力拆分!D$20*E21</f>
        <v>132.82928834089202</v>
      </c>
      <c r="T67" s="55">
        <f>装备能力拆分!$H$9*装备能力拆分!E$20*F21</f>
        <v>0</v>
      </c>
      <c r="U67" s="55">
        <f>装备能力拆分!$H$9*装备能力拆分!F$20*G21</f>
        <v>0</v>
      </c>
      <c r="X67" t="s">
        <v>254</v>
      </c>
      <c r="Y67" s="55">
        <f>装备能力拆分!$H$9*装备能力拆分!C$20*D30</f>
        <v>1947.8058276870054</v>
      </c>
      <c r="Z67" s="55">
        <f>装备能力拆分!$H$9*装备能力拆分!D$20*E30</f>
        <v>0</v>
      </c>
      <c r="AA67" s="55">
        <f>装备能力拆分!$H$9*装备能力拆分!E$20*F30</f>
        <v>0</v>
      </c>
      <c r="AB67" s="55">
        <f>装备能力拆分!$H$9*装备能力拆分!F$20*G30</f>
        <v>0</v>
      </c>
      <c r="AE67" t="s">
        <v>254</v>
      </c>
      <c r="AF67" s="55">
        <f>装备能力拆分!$H$9*装备能力拆分!C$20*D39</f>
        <v>1168.6834966122033</v>
      </c>
      <c r="AG67" s="55">
        <f>装备能力拆分!$H$9*装备能力拆分!D$20*E39</f>
        <v>0</v>
      </c>
      <c r="AH67" s="55">
        <f>装备能力拆分!$H$9*装备能力拆分!E$20*F39</f>
        <v>265.65857668178404</v>
      </c>
      <c r="AI67" s="55">
        <f>装备能力拆分!$H$9*装备能力拆分!F$20*G39</f>
        <v>0</v>
      </c>
      <c r="AJ67" s="57"/>
      <c r="AK67">
        <v>10</v>
      </c>
      <c r="AL67" t="s">
        <v>454</v>
      </c>
      <c r="AM67">
        <f>INT(装备拆分数值生成!S$40+(装备拆分数值生成!$AK67-1)*装备拆分数值生成!S$4)</f>
        <v>132</v>
      </c>
      <c r="AN67">
        <f>INT(装备拆分数值生成!T$40+(装备拆分数值生成!$AK67-1)*装备拆分数值生成!T$4)</f>
        <v>264</v>
      </c>
      <c r="AO67">
        <f>INT(装备拆分数值生成!R$46+(装备拆分数值生成!$AK67-1)*装备拆分数值生成!R$10)</f>
        <v>484</v>
      </c>
      <c r="AP67">
        <f>INT(装备拆分数值生成!U$52+(装备拆分数值生成!$AK67-1)*装备拆分数值生成!U$16)</f>
        <v>126</v>
      </c>
      <c r="AQ67">
        <f>INT(装备拆分数值生成!T$58+(装备拆分数值生成!$AK67-1)*装备拆分数值生成!T$22)</f>
        <v>66</v>
      </c>
      <c r="AR67">
        <f>INT(装备拆分数值生成!U$58+(装备拆分数值生成!$AK67-1)*装备拆分数值生成!U$22)</f>
        <v>94</v>
      </c>
      <c r="AS67">
        <f>INT(装备拆分数值生成!R$64+(装备拆分数值生成!$AK67-1)*装备拆分数值生成!R$28)</f>
        <v>387</v>
      </c>
      <c r="AT67">
        <f>INT(装备拆分数值生成!S$64+(装备拆分数值生成!$AK67-1)*装备拆分数值生成!S$28)</f>
        <v>33</v>
      </c>
      <c r="AU67">
        <f>INT(装备拆分数值生成!R$70+(装备拆分数值生成!$AK67-1)*装备拆分数值生成!R$34)</f>
        <v>96</v>
      </c>
      <c r="AV67">
        <f>INT(装备拆分数值生成!T$70+(装备拆分数值生成!$AK67-1)*装备拆分数值生成!T$34)</f>
        <v>132</v>
      </c>
    </row>
    <row r="68" spans="1:48">
      <c r="I68">
        <v>5</v>
      </c>
      <c r="J68" t="s">
        <v>260</v>
      </c>
      <c r="K68" s="55">
        <f>装备能力拆分!$H$12*装备能力拆分!C$20*D12</f>
        <v>3131.3405945792342</v>
      </c>
      <c r="L68" s="55">
        <f>装备能力拆分!$H$12*装备能力拆分!D$20*E12</f>
        <v>0</v>
      </c>
      <c r="M68" s="55">
        <f>装备能力拆分!$H$12*装备能力拆分!E$20*F12</f>
        <v>266.92454197604837</v>
      </c>
      <c r="N68" s="55">
        <f>装备能力拆分!$H$12*装备能力拆分!F$20*G12</f>
        <v>0</v>
      </c>
      <c r="O68" s="52"/>
      <c r="Q68" t="s">
        <v>260</v>
      </c>
      <c r="R68" s="55">
        <f>装备能力拆分!$H$12*装备能力拆分!C$20*D21</f>
        <v>3131.3405945792342</v>
      </c>
      <c r="S68" s="55">
        <f>装备能力拆分!$H$12*装备能力拆分!D$20*E21</f>
        <v>266.92454197604837</v>
      </c>
      <c r="T68" s="55">
        <f>装备能力拆分!$H$12*装备能力拆分!E$20*F21</f>
        <v>0</v>
      </c>
      <c r="U68" s="55">
        <f>装备能力拆分!$H$12*装备能力拆分!F$20*G21</f>
        <v>0</v>
      </c>
      <c r="X68" t="s">
        <v>260</v>
      </c>
      <c r="Y68" s="55">
        <f>装备能力拆分!$H$12*装备能力拆分!C$20*D30</f>
        <v>3914.1757432240424</v>
      </c>
      <c r="Z68" s="55">
        <f>装备能力拆分!$H$12*装备能力拆分!D$20*E30</f>
        <v>0</v>
      </c>
      <c r="AA68" s="55">
        <f>装备能力拆分!$H$12*装备能力拆分!E$20*F30</f>
        <v>0</v>
      </c>
      <c r="AB68" s="55">
        <f>装备能力拆分!$H$12*装备能力拆分!F$20*G30</f>
        <v>0</v>
      </c>
      <c r="AE68" t="s">
        <v>260</v>
      </c>
      <c r="AF68" s="55">
        <f>装备能力拆分!$H$12*装备能力拆分!C$20*D39</f>
        <v>2348.5054459344256</v>
      </c>
      <c r="AG68" s="55">
        <f>装备能力拆分!$H$12*装备能力拆分!D$20*E39</f>
        <v>0</v>
      </c>
      <c r="AH68" s="55">
        <f>装备能力拆分!$H$12*装备能力拆分!E$20*F39</f>
        <v>533.84908395209675</v>
      </c>
      <c r="AI68" s="55">
        <f>装备能力拆分!$H$12*装备能力拆分!F$20*G39</f>
        <v>0</v>
      </c>
      <c r="AJ68" s="57"/>
      <c r="AK68">
        <v>11</v>
      </c>
      <c r="AL68" t="s">
        <v>455</v>
      </c>
      <c r="AM68">
        <f>INT(装备拆分数值生成!S$41+(装备拆分数值生成!$AK68-11)*装备拆分数值生成!S$5)</f>
        <v>140</v>
      </c>
      <c r="AN68">
        <f>INT(装备拆分数值生成!T$41+(装备拆分数值生成!$AK68-11)*装备拆分数值生成!T$5)</f>
        <v>280</v>
      </c>
      <c r="AO68">
        <f>INT(装备拆分数值生成!R$47+(装备拆分数值生成!$AK68-11)*装备拆分数值生成!R$11)</f>
        <v>514</v>
      </c>
      <c r="AP68">
        <f>INT(装备拆分数值生成!U$53+(装备拆分数值生成!$AK68-11)*装备拆分数值生成!U$17)</f>
        <v>133</v>
      </c>
      <c r="AQ68">
        <f>INT(装备拆分数值生成!T$59+(装备拆分数值生成!$AK68-11)*装备拆分数值生成!T$23)</f>
        <v>70</v>
      </c>
      <c r="AR68">
        <f>INT(装备拆分数值生成!U$59+(装备拆分数值生成!$AK68-11)*装备拆分数值生成!U$23)</f>
        <v>100</v>
      </c>
      <c r="AS68">
        <f>INT(装备拆分数值生成!R$65+(装备拆分数值生成!$AK68-11)*装备拆分数值生成!R$29)</f>
        <v>411</v>
      </c>
      <c r="AT68">
        <f>INT(装备拆分数值生成!S$65+(装备拆分数值生成!$AK68-11)*装备拆分数值生成!S$29)</f>
        <v>35</v>
      </c>
      <c r="AU68">
        <f>INT(装备拆分数值生成!R$71+(装备拆分数值生成!$AK68-11)*装备拆分数值生成!R$35)</f>
        <v>102</v>
      </c>
      <c r="AV68">
        <f>INT(装备拆分数值生成!T$71+(装备拆分数值生成!$AK68-11)*装备拆分数值生成!T$35)</f>
        <v>140</v>
      </c>
    </row>
    <row r="69" spans="1:48">
      <c r="K69" s="55"/>
      <c r="L69" s="55"/>
      <c r="M69" s="55"/>
      <c r="N69" s="55"/>
      <c r="O69" s="52"/>
      <c r="R69" s="55"/>
      <c r="S69" s="55"/>
      <c r="T69" s="55"/>
      <c r="U69" s="55"/>
      <c r="Y69" s="55"/>
      <c r="Z69" s="55"/>
      <c r="AA69" s="55"/>
      <c r="AB69" s="55"/>
      <c r="AF69" s="55"/>
      <c r="AG69" s="55"/>
      <c r="AH69" s="55"/>
      <c r="AI69" s="55"/>
      <c r="AJ69" s="57"/>
      <c r="AK69">
        <v>12</v>
      </c>
      <c r="AL69" t="s">
        <v>457</v>
      </c>
      <c r="AM69">
        <f>INT(装备拆分数值生成!S$41+(装备拆分数值生成!$AK69-11)*装备拆分数值生成!S$5)</f>
        <v>150</v>
      </c>
      <c r="AN69">
        <f>INT(装备拆分数值生成!T$41+(装备拆分数值生成!$AK69-11)*装备拆分数值生成!T$5)</f>
        <v>300</v>
      </c>
      <c r="AO69">
        <f>INT(装备拆分数值生成!K$47+(装备拆分数值生成!$AK69-11)*装备拆分数值生成!K$11)</f>
        <v>550</v>
      </c>
      <c r="AP69">
        <f>INT(装备拆分数值生成!N$53+(装备拆分数值生成!$AK69-11)*装备拆分数值生成!N$17)</f>
        <v>143</v>
      </c>
      <c r="AQ69">
        <f>INT(装备拆分数值生成!T$59+(装备拆分数值生成!$AK69-11)*装备拆分数值生成!T$23)</f>
        <v>75</v>
      </c>
      <c r="AR69">
        <f>INT(装备拆分数值生成!U$59+(装备拆分数值生成!$AK69-11)*装备拆分数值生成!U$23)</f>
        <v>107</v>
      </c>
      <c r="AS69">
        <f>INT(装备拆分数值生成!R$65+(装备拆分数值生成!$AK69-11)*装备拆分数值生成!R$29)</f>
        <v>440</v>
      </c>
      <c r="AT69">
        <f>INT(装备拆分数值生成!S$65+(装备拆分数值生成!$AK69-11)*装备拆分数值生成!S$29)</f>
        <v>37</v>
      </c>
      <c r="AU69">
        <f>INT(装备拆分数值生成!R$71+(装备拆分数值生成!$AK69-11)*装备拆分数值生成!R$35)</f>
        <v>110</v>
      </c>
      <c r="AV69">
        <f>INT(装备拆分数值生成!T$71+(装备拆分数值生成!$AK69-11)*装备拆分数值生成!T$35)</f>
        <v>150</v>
      </c>
    </row>
    <row r="70" spans="1:48">
      <c r="I70">
        <v>1</v>
      </c>
      <c r="J70" t="s">
        <v>230</v>
      </c>
      <c r="K70" s="55">
        <f>装备能力拆分!C$21*D13</f>
        <v>54.550000000000004</v>
      </c>
      <c r="L70" s="55">
        <f>装备能力拆分!D$21*E13</f>
        <v>74.400000000000006</v>
      </c>
      <c r="M70" s="55">
        <f>装备能力拆分!E$21*F13</f>
        <v>0</v>
      </c>
      <c r="N70" s="55">
        <f>装备能力拆分!F$21*G13</f>
        <v>0</v>
      </c>
      <c r="O70" s="52"/>
      <c r="Q70" t="s">
        <v>230</v>
      </c>
      <c r="R70" s="55">
        <f>装备能力拆分!C$21*D22</f>
        <v>54.550000000000004</v>
      </c>
      <c r="S70" s="55">
        <f>装备能力拆分!D$21*E22</f>
        <v>0</v>
      </c>
      <c r="T70" s="55">
        <f>装备能力拆分!E$21*F22</f>
        <v>74.400000000000006</v>
      </c>
      <c r="U70" s="55">
        <f>装备能力拆分!F$21*G22</f>
        <v>0</v>
      </c>
      <c r="X70" t="s">
        <v>230</v>
      </c>
      <c r="Y70" s="55">
        <f>装备能力拆分!C$21*D31</f>
        <v>109.10000000000001</v>
      </c>
      <c r="Z70" s="55">
        <f>装备能力拆分!D$21*E31</f>
        <v>0</v>
      </c>
      <c r="AA70" s="55">
        <f>装备能力拆分!E$21*F31</f>
        <v>0</v>
      </c>
      <c r="AB70" s="55">
        <f>装备能力拆分!F$21*G31</f>
        <v>53.25</v>
      </c>
      <c r="AE70" t="s">
        <v>230</v>
      </c>
      <c r="AF70" s="55">
        <f>装备能力拆分!C$21*D40</f>
        <v>109.10000000000001</v>
      </c>
      <c r="AG70" s="55">
        <f>装备能力拆分!D$21*E40</f>
        <v>0</v>
      </c>
      <c r="AH70" s="55">
        <f>装备能力拆分!E$21*F40</f>
        <v>0</v>
      </c>
      <c r="AI70" s="55">
        <f>装备能力拆分!F$21*G40</f>
        <v>17.75</v>
      </c>
      <c r="AJ70" s="57"/>
      <c r="AK70">
        <v>13</v>
      </c>
      <c r="AL70" t="s">
        <v>198</v>
      </c>
      <c r="AM70">
        <f>INT(装备拆分数值生成!S$41+(装备拆分数值生成!$AK70-11)*装备拆分数值生成!S$5)</f>
        <v>159</v>
      </c>
      <c r="AN70">
        <f>INT(装备拆分数值生成!T$41+(装备拆分数值生成!$AK70-11)*装备拆分数值生成!T$5)</f>
        <v>319</v>
      </c>
      <c r="AO70">
        <f>INT(装备拆分数值生成!K$47+(装备拆分数值生成!$AK70-11)*装备拆分数值生成!K$11)</f>
        <v>586</v>
      </c>
      <c r="AP70">
        <f>INT(装备拆分数值生成!N$53+(装备拆分数值生成!$AK70-11)*装备拆分数值生成!N$17)</f>
        <v>152</v>
      </c>
      <c r="AQ70">
        <f>INT(装备拆分数值生成!T$59+(装备拆分数值生成!$AK70-11)*装备拆分数值生成!T$23)</f>
        <v>79</v>
      </c>
      <c r="AR70">
        <f>INT(装备拆分数值生成!U$59+(装备拆分数值生成!$AK70-11)*装备拆分数值生成!U$23)</f>
        <v>114</v>
      </c>
      <c r="AS70">
        <f>INT(装备拆分数值生成!R$65+(装备拆分数值生成!$AK70-11)*装备拆分数值生成!R$29)</f>
        <v>469</v>
      </c>
      <c r="AT70">
        <f>INT(装备拆分数值生成!S$65+(装备拆分数值生成!$AK70-11)*装备拆分数值生成!S$29)</f>
        <v>39</v>
      </c>
      <c r="AU70">
        <f>INT(装备拆分数值生成!R$71+(装备拆分数值生成!$AK70-11)*装备拆分数值生成!R$35)</f>
        <v>117</v>
      </c>
      <c r="AV70">
        <f>INT(装备拆分数值生成!T$71+(装备拆分数值生成!$AK70-11)*装备拆分数值生成!T$35)</f>
        <v>159</v>
      </c>
    </row>
    <row r="71" spans="1:48">
      <c r="I71">
        <v>2</v>
      </c>
      <c r="J71" t="s">
        <v>243</v>
      </c>
      <c r="K71" s="55">
        <f>装备能力拆分!$H$5*装备能力拆分!C$20*D13</f>
        <v>102.80929400000001</v>
      </c>
      <c r="L71" s="55">
        <f>装备能力拆分!$H$5*装备能力拆分!D$20*E13</f>
        <v>140.220192</v>
      </c>
      <c r="M71" s="55">
        <f>装备能力拆分!$H$5*装备能力拆分!E$20*F13</f>
        <v>0</v>
      </c>
      <c r="N71" s="55">
        <f>装备能力拆分!$H$5*装备能力拆分!F$20*G13</f>
        <v>0</v>
      </c>
      <c r="O71" s="52"/>
      <c r="Q71" t="s">
        <v>243</v>
      </c>
      <c r="R71" s="55">
        <f>装备能力拆分!$H$5*装备能力拆分!C$20*D22</f>
        <v>102.80929400000001</v>
      </c>
      <c r="S71" s="55">
        <f>装备能力拆分!$H$5*装备能力拆分!D$20*E22</f>
        <v>0</v>
      </c>
      <c r="T71" s="55">
        <f>装备能力拆分!$H$5*装备能力拆分!E$20*F22</f>
        <v>140.220192</v>
      </c>
      <c r="U71" s="55">
        <f>装备能力拆分!$H$5*装备能力拆分!F$20*G22</f>
        <v>0</v>
      </c>
      <c r="X71" t="s">
        <v>243</v>
      </c>
      <c r="Y71" s="55">
        <f>装备能力拆分!$H$5*装备能力拆分!C$20*D31</f>
        <v>205.61858800000002</v>
      </c>
      <c r="Z71" s="55">
        <f>装备能力拆分!$H$5*装备能力拆分!D$20*E31</f>
        <v>0</v>
      </c>
      <c r="AA71" s="55">
        <f>装备能力拆分!$H$5*装备能力拆分!E$20*F31</f>
        <v>0</v>
      </c>
      <c r="AB71" s="55">
        <f>装备能力拆分!$H$5*装备能力拆分!F$20*G31</f>
        <v>100.35920999999999</v>
      </c>
      <c r="AE71" t="s">
        <v>243</v>
      </c>
      <c r="AF71" s="55">
        <f>装备能力拆分!$H$5*装备能力拆分!C$20*D40</f>
        <v>205.61858800000002</v>
      </c>
      <c r="AG71" s="55">
        <f>装备能力拆分!$H$5*装备能力拆分!D$20*E40</f>
        <v>0</v>
      </c>
      <c r="AH71" s="55">
        <f>装备能力拆分!$H$5*装备能力拆分!E$20*F40</f>
        <v>0</v>
      </c>
      <c r="AI71" s="55">
        <f>装备能力拆分!$H$5*装备能力拆分!F$20*G40</f>
        <v>33.453069999999997</v>
      </c>
      <c r="AJ71" s="57"/>
      <c r="AK71">
        <v>14</v>
      </c>
      <c r="AL71" t="s">
        <v>199</v>
      </c>
      <c r="AM71">
        <f>INT(装备拆分数值生成!S$41+(装备拆分数值生成!$AK71-11)*装备拆分数值生成!S$5)</f>
        <v>169</v>
      </c>
      <c r="AN71">
        <f>INT(装备拆分数值生成!T$41+(装备拆分数值生成!$AK71-11)*装备拆分数值生成!T$5)</f>
        <v>339</v>
      </c>
      <c r="AO71">
        <f>INT(装备拆分数值生成!K$47+(装备拆分数值生成!$AK71-11)*装备拆分数值生成!K$11)</f>
        <v>622</v>
      </c>
      <c r="AP71">
        <f>INT(装备拆分数值生成!N$53+(装备拆分数值生成!$AK71-11)*装备拆分数值生成!N$17)</f>
        <v>162</v>
      </c>
      <c r="AQ71">
        <f>INT(装备拆分数值生成!T$59+(装备拆分数值生成!$AK71-11)*装备拆分数值生成!T$23)</f>
        <v>84</v>
      </c>
      <c r="AR71">
        <f>INT(装备拆分数值生成!U$59+(装备拆分数值生成!$AK71-11)*装备拆分数值生成!U$23)</f>
        <v>121</v>
      </c>
      <c r="AS71">
        <f>INT(装备拆分数值生成!R$65+(装备拆分数值生成!$AK71-11)*装备拆分数值生成!R$29)</f>
        <v>498</v>
      </c>
      <c r="AT71">
        <f>INT(装备拆分数值生成!S$65+(装备拆分数值生成!$AK71-11)*装备拆分数值生成!S$29)</f>
        <v>42</v>
      </c>
      <c r="AU71">
        <f>INT(装备拆分数值生成!R$71+(装备拆分数值生成!$AK71-11)*装备拆分数值生成!R$35)</f>
        <v>124</v>
      </c>
      <c r="AV71">
        <f>INT(装备拆分数值生成!T$71+(装备拆分数值生成!$AK71-11)*装备拆分数值生成!T$35)</f>
        <v>169</v>
      </c>
    </row>
    <row r="72" spans="1:48">
      <c r="I72">
        <v>3</v>
      </c>
      <c r="J72" t="s">
        <v>249</v>
      </c>
      <c r="K72" s="55">
        <f>装备能力拆分!$H$7*装备能力拆分!C$20*D13</f>
        <v>184.66017906600004</v>
      </c>
      <c r="L72" s="55">
        <f>装备能力拆分!$H$7*装备能力拆分!D$20*E13</f>
        <v>251.85549628800004</v>
      </c>
      <c r="M72" s="55">
        <f>装备能力拆分!$H$7*装备能力拆分!E$20*F13</f>
        <v>0</v>
      </c>
      <c r="N72" s="55">
        <f>装备能力拆分!$H$7*装备能力拆分!F$20*G13</f>
        <v>0</v>
      </c>
      <c r="O72" s="52"/>
      <c r="Q72" t="s">
        <v>249</v>
      </c>
      <c r="R72" s="55">
        <f>装备能力拆分!$H$7*装备能力拆分!C$20*D22</f>
        <v>184.66017906600004</v>
      </c>
      <c r="S72" s="55">
        <f>装备能力拆分!$H$7*装备能力拆分!D$20*E22</f>
        <v>0</v>
      </c>
      <c r="T72" s="55">
        <f>装备能力拆分!$H$7*装备能力拆分!E$20*F22</f>
        <v>251.85549628800004</v>
      </c>
      <c r="U72" s="55">
        <f>装备能力拆分!$H$7*装备能力拆分!F$20*G22</f>
        <v>0</v>
      </c>
      <c r="X72" t="s">
        <v>249</v>
      </c>
      <c r="Y72" s="55">
        <f>装备能力拆分!$H$7*装备能力拆分!C$20*D31</f>
        <v>369.32035813200008</v>
      </c>
      <c r="Z72" s="55">
        <f>装备能力拆分!$H$7*装备能力拆分!D$20*E31</f>
        <v>0</v>
      </c>
      <c r="AA72" s="55">
        <f>装备能力拆分!$H$7*装备能力拆分!E$20*F31</f>
        <v>0</v>
      </c>
      <c r="AB72" s="55">
        <f>装备能力拆分!$H$7*装备能力拆分!F$20*G31</f>
        <v>180.25947819000001</v>
      </c>
      <c r="AE72" t="s">
        <v>249</v>
      </c>
      <c r="AF72" s="55">
        <f>装备能力拆分!$H$7*装备能力拆分!C$20*D40</f>
        <v>369.32035813200008</v>
      </c>
      <c r="AG72" s="55">
        <f>装备能力拆分!$H$7*装备能力拆分!D$20*E40</f>
        <v>0</v>
      </c>
      <c r="AH72" s="55">
        <f>装备能力拆分!$H$7*装备能力拆分!E$20*F40</f>
        <v>0</v>
      </c>
      <c r="AI72" s="55">
        <f>装备能力拆分!$H$7*装备能力拆分!F$20*G40</f>
        <v>60.08649273000001</v>
      </c>
      <c r="AJ72" s="57"/>
      <c r="AK72">
        <v>15</v>
      </c>
      <c r="AL72" t="s">
        <v>200</v>
      </c>
      <c r="AM72">
        <f>INT(装备拆分数值生成!S$41+(装备拆分数值生成!$AK72-11)*装备拆分数值生成!S$5)</f>
        <v>179</v>
      </c>
      <c r="AN72">
        <f>INT(装备拆分数值生成!T$41+(装备拆分数值生成!$AK72-11)*装备拆分数值生成!T$5)</f>
        <v>359</v>
      </c>
      <c r="AO72">
        <f>INT(装备拆分数值生成!K$47+(装备拆分数值生成!$AK72-11)*装备拆分数值生成!K$11)</f>
        <v>658</v>
      </c>
      <c r="AP72">
        <f>INT(装备拆分数值生成!N$53+(装备拆分数值生成!$AK72-11)*装备拆分数值生成!N$17)</f>
        <v>171</v>
      </c>
      <c r="AQ72">
        <f>INT(装备拆分数值生成!T$59+(装备拆分数值生成!$AK72-11)*装备拆分数值生成!T$23)</f>
        <v>89</v>
      </c>
      <c r="AR72">
        <f>INT(装备拆分数值生成!U$59+(装备拆分数值生成!$AK72-11)*装备拆分数值生成!U$23)</f>
        <v>128</v>
      </c>
      <c r="AS72">
        <f>INT(装备拆分数值生成!R$65+(装备拆分数值生成!$AK72-11)*装备拆分数值生成!R$29)</f>
        <v>526</v>
      </c>
      <c r="AT72">
        <f>INT(装备拆分数值生成!S$65+(装备拆分数值生成!$AK72-11)*装备拆分数值生成!S$29)</f>
        <v>44</v>
      </c>
      <c r="AU72">
        <f>INT(装备拆分数值生成!R$71+(装备拆分数值生成!$AK72-11)*装备拆分数值生成!R$35)</f>
        <v>131</v>
      </c>
      <c r="AV72">
        <f>INT(装备拆分数值生成!T$71+(装备拆分数值生成!$AK72-11)*装备拆分数值生成!T$35)</f>
        <v>179</v>
      </c>
    </row>
    <row r="73" spans="1:48">
      <c r="I73">
        <v>4</v>
      </c>
      <c r="J73" t="s">
        <v>255</v>
      </c>
      <c r="K73" s="55">
        <f>装备能力拆分!$H$9*装备能力拆分!C$20*D13</f>
        <v>389.56116553740111</v>
      </c>
      <c r="L73" s="55">
        <f>装备能力拆分!$H$9*装备能力拆分!D$20*E13</f>
        <v>531.31715336356808</v>
      </c>
      <c r="M73" s="55">
        <f>装备能力拆分!$H$9*装备能力拆分!E$20*F13</f>
        <v>0</v>
      </c>
      <c r="N73" s="55">
        <f>装备能力拆分!$H$9*装备能力拆分!F$20*G13</f>
        <v>0</v>
      </c>
      <c r="O73" s="52"/>
      <c r="Q73" t="s">
        <v>255</v>
      </c>
      <c r="R73" s="55">
        <f>装备能力拆分!$H$9*装备能力拆分!C$20*D22</f>
        <v>389.56116553740111</v>
      </c>
      <c r="S73" s="55">
        <f>装备能力拆分!$H$9*装备能力拆分!D$20*E22</f>
        <v>0</v>
      </c>
      <c r="T73" s="55">
        <f>装备能力拆分!$H$9*装备能力拆分!E$20*F22</f>
        <v>531.31715336356808</v>
      </c>
      <c r="U73" s="55">
        <f>装备能力拆分!$H$9*装备能力拆分!F$20*G22</f>
        <v>0</v>
      </c>
      <c r="X73" t="s">
        <v>255</v>
      </c>
      <c r="Y73" s="55">
        <f>装备能力拆分!$H$9*装备能力拆分!C$20*D31</f>
        <v>779.12233107480222</v>
      </c>
      <c r="Z73" s="55">
        <f>装备能力拆分!$H$9*装备能力拆分!D$20*E31</f>
        <v>0</v>
      </c>
      <c r="AA73" s="55">
        <f>装备能力拆分!$H$9*装备能力拆分!E$20*F31</f>
        <v>0</v>
      </c>
      <c r="AB73" s="55">
        <f>装备能力拆分!$H$9*装备能力拆分!F$20*G31</f>
        <v>380.27739807271502</v>
      </c>
      <c r="AE73" t="s">
        <v>255</v>
      </c>
      <c r="AF73" s="55">
        <f>装备能力拆分!$H$9*装备能力拆分!C$20*D40</f>
        <v>779.12233107480222</v>
      </c>
      <c r="AG73" s="55">
        <f>装备能力拆分!$H$9*装备能力拆分!D$20*E40</f>
        <v>0</v>
      </c>
      <c r="AH73" s="55">
        <f>装备能力拆分!$H$9*装备能力拆分!E$20*F40</f>
        <v>0</v>
      </c>
      <c r="AI73" s="55">
        <f>装备能力拆分!$H$9*装备能力拆分!F$20*G40</f>
        <v>126.75913269090502</v>
      </c>
      <c r="AJ73" s="57"/>
      <c r="AK73">
        <v>16</v>
      </c>
      <c r="AL73" t="s">
        <v>201</v>
      </c>
      <c r="AM73">
        <f>INT(装备拆分数值生成!S$41+(装备拆分数值生成!$AK73-11)*装备拆分数值生成!S$5)</f>
        <v>189</v>
      </c>
      <c r="AN73">
        <f>INT(装备拆分数值生成!T$41+(装备拆分数值生成!$AK73-11)*装备拆分数值生成!T$5)</f>
        <v>379</v>
      </c>
      <c r="AO73">
        <f>INT(装备拆分数值生成!K$47+(装备拆分数值生成!$AK73-11)*装备拆分数值生成!K$11)</f>
        <v>694</v>
      </c>
      <c r="AP73">
        <f>INT(装备拆分数值生成!N$53+(装备拆分数值生成!$AK73-11)*装备拆分数值生成!N$17)</f>
        <v>180</v>
      </c>
      <c r="AQ73">
        <f>INT(装备拆分数值生成!T$59+(装备拆分数值生成!$AK73-11)*装备拆分数值生成!T$23)</f>
        <v>94</v>
      </c>
      <c r="AR73">
        <f>INT(装备拆分数值生成!U$59+(装备拆分数值生成!$AK73-11)*装备拆分数值生成!U$23)</f>
        <v>135</v>
      </c>
      <c r="AS73">
        <f>INT(装备拆分数值生成!R$65+(装备拆分数值生成!$AK73-11)*装备拆分数值生成!R$29)</f>
        <v>555</v>
      </c>
      <c r="AT73">
        <f>INT(装备拆分数值生成!S$65+(装备拆分数值生成!$AK73-11)*装备拆分数值生成!S$29)</f>
        <v>47</v>
      </c>
      <c r="AU73">
        <f>INT(装备拆分数值生成!R$71+(装备拆分数值生成!$AK73-11)*装备拆分数值生成!R$35)</f>
        <v>138</v>
      </c>
      <c r="AV73">
        <f>INT(装备拆分数值生成!T$71+(装备拆分数值生成!$AK73-11)*装备拆分数值生成!T$35)</f>
        <v>189</v>
      </c>
    </row>
    <row r="74" spans="1:48">
      <c r="I74">
        <v>5</v>
      </c>
      <c r="J74" t="s">
        <v>261</v>
      </c>
      <c r="K74" s="55">
        <f>装备能力拆分!$H$12*装备能力拆分!C$20*D13</f>
        <v>782.83514864480856</v>
      </c>
      <c r="L74" s="55">
        <f>装备能力拆分!$H$12*装备能力拆分!D$20*E13</f>
        <v>1067.6981679041935</v>
      </c>
      <c r="M74" s="55">
        <f>装备能力拆分!$H$12*装备能力拆分!E$20*F13</f>
        <v>0</v>
      </c>
      <c r="N74" s="55">
        <f>装备能力拆分!$H$12*装备能力拆分!F$20*G13</f>
        <v>0</v>
      </c>
      <c r="O74" s="52"/>
      <c r="Q74" t="s">
        <v>261</v>
      </c>
      <c r="R74" s="55">
        <f>装备能力拆分!$H$12*装备能力拆分!C$20*D22</f>
        <v>782.83514864480856</v>
      </c>
      <c r="S74" s="55">
        <f>装备能力拆分!$H$12*装备能力拆分!D$20*E22</f>
        <v>0</v>
      </c>
      <c r="T74" s="55">
        <f>装备能力拆分!$H$12*装备能力拆分!E$20*F22</f>
        <v>1067.6981679041935</v>
      </c>
      <c r="U74" s="55">
        <f>装备能力拆分!$H$12*装备能力拆分!F$20*G22</f>
        <v>0</v>
      </c>
      <c r="X74" t="s">
        <v>261</v>
      </c>
      <c r="Y74" s="55">
        <f>装备能力拆分!$H$12*装备能力拆分!C$20*D31</f>
        <v>1565.6702972896171</v>
      </c>
      <c r="Z74" s="55">
        <f>装备能力拆分!$H$12*装备能力拆分!D$20*E31</f>
        <v>0</v>
      </c>
      <c r="AA74" s="55">
        <f>装备能力拆分!$H$12*装备能力拆分!E$20*F31</f>
        <v>0</v>
      </c>
      <c r="AB74" s="55">
        <f>装备能力拆分!$H$12*装备能力拆分!F$20*G31</f>
        <v>764.17913227013844</v>
      </c>
      <c r="AE74" t="s">
        <v>261</v>
      </c>
      <c r="AF74" s="55">
        <f>装备能力拆分!$H$12*装备能力拆分!C$20*D40</f>
        <v>1565.6702972896171</v>
      </c>
      <c r="AG74" s="55">
        <f>装备能力拆分!$H$12*装备能力拆分!D$20*E40</f>
        <v>0</v>
      </c>
      <c r="AH74" s="55">
        <f>装备能力拆分!$H$12*装备能力拆分!E$20*F40</f>
        <v>0</v>
      </c>
      <c r="AI74" s="55">
        <f>装备能力拆分!$H$12*装备能力拆分!F$20*G40</f>
        <v>254.72637742337949</v>
      </c>
      <c r="AJ74" s="57"/>
      <c r="AK74">
        <v>17</v>
      </c>
      <c r="AL74" t="s">
        <v>202</v>
      </c>
      <c r="AM74">
        <f>INT(装备拆分数值生成!S$41+(装备拆分数值生成!$AK74-11)*装备拆分数值生成!S$5)</f>
        <v>199</v>
      </c>
      <c r="AN74">
        <f>INT(装备拆分数值生成!T$41+(装备拆分数值生成!$AK74-11)*装备拆分数值生成!T$5)</f>
        <v>398</v>
      </c>
      <c r="AO74">
        <f>INT(装备拆分数值生成!K$47+(装备拆分数值生成!$AK74-11)*装备拆分数值生成!K$11)</f>
        <v>731</v>
      </c>
      <c r="AP74">
        <f>INT(装备拆分数值生成!N$53+(装备拆分数值生成!$AK74-11)*装备拆分数值生成!N$17)</f>
        <v>190</v>
      </c>
      <c r="AQ74">
        <f>INT(装备拆分数值生成!T$59+(装备拆分数值生成!$AK74-11)*装备拆分数值生成!T$23)</f>
        <v>99</v>
      </c>
      <c r="AR74">
        <f>INT(装备拆分数值生成!U$59+(装备拆分数值生成!$AK74-11)*装备拆分数值生成!U$23)</f>
        <v>142</v>
      </c>
      <c r="AS74">
        <f>INT(装备拆分数值生成!R$65+(装备拆分数值生成!$AK74-11)*装备拆分数值生成!R$29)</f>
        <v>584</v>
      </c>
      <c r="AT74">
        <f>INT(装备拆分数值生成!S$65+(装备拆分数值生成!$AK74-11)*装备拆分数值生成!S$29)</f>
        <v>49</v>
      </c>
      <c r="AU74">
        <f>INT(装备拆分数值生成!R$71+(装备拆分数值生成!$AK74-11)*装备拆分数值生成!R$35)</f>
        <v>146</v>
      </c>
      <c r="AV74">
        <f>INT(装备拆分数值生成!T$71+(装备拆分数值生成!$AK74-11)*装备拆分数值生成!T$35)</f>
        <v>199</v>
      </c>
    </row>
    <row r="75" spans="1:48">
      <c r="K75" s="52"/>
      <c r="L75" s="52"/>
      <c r="M75" s="52"/>
      <c r="N75" s="52"/>
      <c r="O75" s="52"/>
      <c r="Q75" s="9"/>
      <c r="R75" s="57"/>
      <c r="S75" s="57"/>
      <c r="T75" s="57"/>
      <c r="U75" s="57"/>
      <c r="V75" s="9"/>
      <c r="W75" s="9"/>
      <c r="Y75" s="52"/>
      <c r="Z75" s="52"/>
      <c r="AA75" s="52"/>
      <c r="AB75" s="52"/>
      <c r="AF75" s="52"/>
      <c r="AG75" s="52"/>
      <c r="AH75" s="52"/>
      <c r="AI75" s="52"/>
      <c r="AJ75" s="57"/>
      <c r="AK75">
        <v>18</v>
      </c>
      <c r="AL75" t="s">
        <v>458</v>
      </c>
      <c r="AM75">
        <f>INT(装备拆分数值生成!S$41+(装备拆分数值生成!$AK75-11)*装备拆分数值生成!S$5)</f>
        <v>209</v>
      </c>
      <c r="AN75">
        <f>INT(装备拆分数值生成!T$41+(装备拆分数值生成!$AK75-11)*装备拆分数值生成!T$5)</f>
        <v>418</v>
      </c>
      <c r="AO75">
        <f>INT(装备拆分数值生成!K$47+(装备拆分数值生成!$AK75-11)*装备拆分数值生成!K$11)</f>
        <v>767</v>
      </c>
      <c r="AP75">
        <f>INT(装备拆分数值生成!N$53+(装备拆分数值生成!$AK75-11)*装备拆分数值生成!N$17)</f>
        <v>199</v>
      </c>
      <c r="AQ75">
        <f>INT(装备拆分数值生成!T$59+(装备拆分数值生成!$AK75-11)*装备拆分数值生成!T$23)</f>
        <v>104</v>
      </c>
      <c r="AR75">
        <f>INT(装备拆分数值生成!U$59+(装备拆分数值生成!$AK75-11)*装备拆分数值生成!U$23)</f>
        <v>149</v>
      </c>
      <c r="AS75">
        <f>INT(装备拆分数值生成!R$65+(装备拆分数值生成!$AK75-11)*装备拆分数值生成!R$29)</f>
        <v>613</v>
      </c>
      <c r="AT75">
        <f>INT(装备拆分数值生成!S$65+(装备拆分数值生成!$AK75-11)*装备拆分数值生成!S$29)</f>
        <v>52</v>
      </c>
      <c r="AU75">
        <f>INT(装备拆分数值生成!R$71+(装备拆分数值生成!$AK75-11)*装备拆分数值生成!R$35)</f>
        <v>153</v>
      </c>
      <c r="AV75">
        <f>INT(装备拆分数值生成!T$71+(装备拆分数值生成!$AK75-11)*装备拆分数值生成!T$35)</f>
        <v>209</v>
      </c>
    </row>
    <row r="76" spans="1:48">
      <c r="K76" s="52"/>
      <c r="L76" s="52"/>
      <c r="M76" s="52"/>
      <c r="N76" s="52"/>
      <c r="O76" s="52"/>
      <c r="Q76" s="9"/>
      <c r="R76" s="57"/>
      <c r="S76" s="57"/>
      <c r="T76" s="57"/>
      <c r="U76" s="57"/>
      <c r="V76" s="9"/>
      <c r="W76" s="9"/>
      <c r="Y76" s="52"/>
      <c r="Z76" s="52"/>
      <c r="AA76" s="52"/>
      <c r="AB76" s="52"/>
      <c r="AF76" s="52"/>
      <c r="AG76" s="52"/>
      <c r="AH76" s="52"/>
      <c r="AI76" s="52"/>
      <c r="AJ76" s="57"/>
      <c r="AK76">
        <v>19</v>
      </c>
      <c r="AL76" t="s">
        <v>459</v>
      </c>
      <c r="AM76">
        <f>INT(装备拆分数值生成!S$41+(装备拆分数值生成!$AK76-11)*装备拆分数值生成!S$5)</f>
        <v>219</v>
      </c>
      <c r="AN76">
        <f>INT(装备拆分数值生成!T$41+(装备拆分数值生成!$AK76-11)*装备拆分数值生成!T$5)</f>
        <v>438</v>
      </c>
      <c r="AO76">
        <f>INT(装备拆分数值生成!K$47+(装备拆分数值生成!$AK76-11)*装备拆分数值生成!K$11)</f>
        <v>803</v>
      </c>
      <c r="AP76">
        <f>INT(装备拆分数值生成!N$53+(装备拆分数值生成!$AK76-11)*装备拆分数值生成!N$17)</f>
        <v>209</v>
      </c>
      <c r="AQ76">
        <f>INT(装备拆分数值生成!T$59+(装备拆分数值生成!$AK76-11)*装备拆分数值生成!T$23)</f>
        <v>109</v>
      </c>
      <c r="AR76">
        <f>INT(装备拆分数值生成!U$59+(装备拆分数值生成!$AK76-11)*装备拆分数值生成!U$23)</f>
        <v>156</v>
      </c>
      <c r="AS76">
        <f>INT(装备拆分数值生成!R$65+(装备拆分数值生成!$AK76-11)*装备拆分数值生成!R$29)</f>
        <v>642</v>
      </c>
      <c r="AT76">
        <f>INT(装备拆分数值生成!S$65+(装备拆分数值生成!$AK76-11)*装备拆分数值生成!S$29)</f>
        <v>54</v>
      </c>
      <c r="AU76">
        <f>INT(装备拆分数值生成!R$71+(装备拆分数值生成!$AK76-11)*装备拆分数值生成!R$35)</f>
        <v>160</v>
      </c>
      <c r="AV76">
        <f>INT(装备拆分数值生成!T$71+(装备拆分数值生成!$AK76-11)*装备拆分数值生成!T$35)</f>
        <v>219</v>
      </c>
    </row>
    <row r="77" spans="1:48">
      <c r="J77" t="s">
        <v>299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  <c r="AJ77" s="57"/>
      <c r="AK77">
        <v>20</v>
      </c>
      <c r="AL77" t="s">
        <v>460</v>
      </c>
      <c r="AM77">
        <f>INT(装备拆分数值生成!S$41+(装备拆分数值生成!$AK77-11)*装备拆分数值生成!S$5)</f>
        <v>229</v>
      </c>
      <c r="AN77">
        <f>INT(装备拆分数值生成!T$41+(装备拆分数值生成!$AK77-11)*装备拆分数值生成!T$5)</f>
        <v>458</v>
      </c>
      <c r="AO77">
        <f>INT(装备拆分数值生成!K$47+(装备拆分数值生成!$AK77-11)*装备拆分数值生成!K$11)</f>
        <v>839</v>
      </c>
      <c r="AP77">
        <f>INT(装备拆分数值生成!N$53+(装备拆分数值生成!$AK77-11)*装备拆分数值生成!N$17)</f>
        <v>218</v>
      </c>
      <c r="AQ77">
        <f>INT(装备拆分数值生成!T$59+(装备拆分数值生成!$AK77-11)*装备拆分数值生成!T$23)</f>
        <v>114</v>
      </c>
      <c r="AR77">
        <f>INT(装备拆分数值生成!U$59+(装备拆分数值生成!$AK77-11)*装备拆分数值生成!U$23)</f>
        <v>163</v>
      </c>
      <c r="AS77">
        <f>INT(装备拆分数值生成!R$65+(装备拆分数值生成!$AK77-11)*装备拆分数值生成!R$29)</f>
        <v>671</v>
      </c>
      <c r="AT77">
        <f>INT(装备拆分数值生成!S$65+(装备拆分数值生成!$AK77-11)*装备拆分数值生成!S$29)</f>
        <v>57</v>
      </c>
      <c r="AU77">
        <f>INT(装备拆分数值生成!R$71+(装备拆分数值生成!$AK77-11)*装备拆分数值生成!R$35)</f>
        <v>167</v>
      </c>
      <c r="AV77">
        <f>INT(装备拆分数值生成!T$71+(装备拆分数值生成!$AK77-11)*装备拆分数值生成!T$35)</f>
        <v>229</v>
      </c>
    </row>
    <row r="78" spans="1:48">
      <c r="J78" t="s">
        <v>283</v>
      </c>
      <c r="K78" s="52" t="s">
        <v>284</v>
      </c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  <c r="AJ78" s="57"/>
      <c r="AK78">
        <v>21</v>
      </c>
      <c r="AL78" t="s">
        <v>462</v>
      </c>
      <c r="AM78">
        <f>INT(装备拆分数值生成!S$42+(装备拆分数值生成!$AK78-21)*装备拆分数值生成!S$6)</f>
        <v>251</v>
      </c>
      <c r="AN78">
        <f>INT(装备拆分数值生成!T$42+(装备拆分数值生成!$AK78-21)*装备拆分数值生成!T$6)</f>
        <v>503</v>
      </c>
      <c r="AO78">
        <f>INT(装备拆分数值生成!K$48+(装备拆分数值生成!$AK78-21)*装备拆分数值生成!K$12)</f>
        <v>923</v>
      </c>
      <c r="AP78">
        <f>INT(装备拆分数值生成!N$54+(装备拆分数值生成!$AK78-21)*装备拆分数值生成!N$18)</f>
        <v>240</v>
      </c>
      <c r="AQ78">
        <f>INT(装备拆分数值生成!T$60+(装备拆分数值生成!$AK78-21)*装备拆分数值生成!T$24)</f>
        <v>125</v>
      </c>
      <c r="AR78">
        <f>INT(装备拆分数值生成!U$60+(装备拆分数值生成!$AK78-21)*装备拆分数值生成!U$24)</f>
        <v>180</v>
      </c>
      <c r="AS78">
        <f>INT(装备拆分数值生成!R$66+(装备拆分数值生成!$AK78-21)*装备拆分数值生成!R$30)</f>
        <v>738</v>
      </c>
      <c r="AT78">
        <f>INT(装备拆分数值生成!S$66+(装备拆分数值生成!$AK78-21)*装备拆分数值生成!S$30)</f>
        <v>62</v>
      </c>
      <c r="AU78">
        <f>INT(装备拆分数值生成!R$72+(装备拆分数值生成!$AK78-21)*装备拆分数值生成!R$36)</f>
        <v>184</v>
      </c>
      <c r="AV78">
        <f>INT(装备拆分数值生成!T$72+(装备拆分数值生成!$AK78-21)*装备拆分数值生成!T$36)</f>
        <v>251</v>
      </c>
    </row>
    <row r="79" spans="1:48">
      <c r="B79" t="s">
        <v>292</v>
      </c>
      <c r="I79" t="s">
        <v>285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  <c r="AK79">
        <v>22</v>
      </c>
      <c r="AL79" t="s">
        <v>470</v>
      </c>
      <c r="AM79">
        <f>INT(装备拆分数值生成!S$42+(装备拆分数值生成!$AK79-21)*装备拆分数值生成!S$6)</f>
        <v>267</v>
      </c>
      <c r="AN79">
        <f>INT(装备拆分数值生成!T$42+(装备拆分数值生成!$AK79-21)*装备拆分数值生成!T$6)</f>
        <v>534</v>
      </c>
      <c r="AO79">
        <f>INT(装备拆分数值生成!K$48+(装备拆分数值生成!$AK79-21)*装备拆分数值生成!K$12)</f>
        <v>979</v>
      </c>
      <c r="AP79">
        <f>INT(装备拆分数值生成!N$54+(装备拆分数值生成!$AK79-21)*装备拆分数值生成!N$18)</f>
        <v>255</v>
      </c>
      <c r="AQ79">
        <f>INT(装备拆分数值生成!T$60+(装备拆分数值生成!$AK79-21)*装备拆分数值生成!T$24)</f>
        <v>133</v>
      </c>
      <c r="AR79">
        <f>INT(装备拆分数值生成!U$60+(装备拆分数值生成!$AK79-21)*装备拆分数值生成!U$24)</f>
        <v>191</v>
      </c>
      <c r="AS79">
        <f>INT(装备拆分数值生成!R$66+(装备拆分数值生成!$AK79-21)*装备拆分数值生成!R$30)</f>
        <v>783</v>
      </c>
      <c r="AT79">
        <f>INT(装备拆分数值生成!S$66+(装备拆分数值生成!$AK79-21)*装备拆分数值生成!S$30)</f>
        <v>66</v>
      </c>
      <c r="AU79">
        <f>INT(装备拆分数值生成!R$72+(装备拆分数值生成!$AK79-21)*装备拆分数值生成!R$36)</f>
        <v>195</v>
      </c>
      <c r="AV79">
        <f>INT(装备拆分数值生成!T$72+(装备拆分数值生成!$AK79-21)*装备拆分数值生成!T$36)</f>
        <v>267</v>
      </c>
    </row>
    <row r="80" spans="1:48">
      <c r="A80" t="s">
        <v>293</v>
      </c>
      <c r="B80" t="s">
        <v>294</v>
      </c>
      <c r="D80" t="s">
        <v>295</v>
      </c>
      <c r="E80" t="s">
        <v>296</v>
      </c>
      <c r="F80" t="s">
        <v>297</v>
      </c>
      <c r="H80" t="s">
        <v>298</v>
      </c>
      <c r="K80" s="52"/>
      <c r="L80" s="52"/>
      <c r="M80" s="52"/>
      <c r="N80" s="52"/>
      <c r="O80" s="52"/>
      <c r="Q80" s="9"/>
      <c r="R80" s="9"/>
      <c r="S80" s="9"/>
      <c r="T80" s="9"/>
      <c r="U80" s="9"/>
      <c r="V80" s="9"/>
      <c r="W80" s="9"/>
      <c r="Y80" s="52"/>
      <c r="Z80" s="52"/>
      <c r="AA80" s="52"/>
      <c r="AB80" s="52"/>
      <c r="AK80">
        <v>23</v>
      </c>
      <c r="AL80" t="s">
        <v>204</v>
      </c>
      <c r="AM80">
        <f>INT(装备拆分数值生成!S$42+(装备拆分数值生成!$AK80-21)*装备拆分数值生成!S$6)</f>
        <v>282</v>
      </c>
      <c r="AN80">
        <f>INT(装备拆分数值生成!T$42+(装备拆分数值生成!$AK80-21)*装备拆分数值生成!T$6)</f>
        <v>565</v>
      </c>
      <c r="AO80">
        <f>INT(装备拆分数值生成!K$48+(装备拆分数值生成!$AK80-21)*装备拆分数值生成!K$12)</f>
        <v>1036</v>
      </c>
      <c r="AP80">
        <f>INT(装备拆分数值生成!N$54+(装备拆分数值生成!$AK80-21)*装备拆分数值生成!N$18)</f>
        <v>269</v>
      </c>
      <c r="AQ80">
        <f>INT(装备拆分数值生成!T$60+(装备拆分数值生成!$AK80-21)*装备拆分数值生成!T$24)</f>
        <v>141</v>
      </c>
      <c r="AR80">
        <f>INT(装备拆分数值生成!U$60+(装备拆分数值生成!$AK80-21)*装备拆分数值生成!U$24)</f>
        <v>202</v>
      </c>
      <c r="AS80">
        <f>INT(装备拆分数值生成!R$66+(装备拆分数值生成!$AK80-21)*装备拆分数值生成!R$30)</f>
        <v>829</v>
      </c>
      <c r="AT80">
        <f>INT(装备拆分数值生成!S$66+(装备拆分数值生成!$AK80-21)*装备拆分数值生成!S$30)</f>
        <v>70</v>
      </c>
      <c r="AU80">
        <f>INT(装备拆分数值生成!R$72+(装备拆分数值生成!$AK80-21)*装备拆分数值生成!R$36)</f>
        <v>207</v>
      </c>
      <c r="AV80">
        <f>INT(装备拆分数值生成!T$72+(装备拆分数值生成!$AK80-21)*装备拆分数值生成!T$36)</f>
        <v>282</v>
      </c>
    </row>
    <row r="81" spans="1:48">
      <c r="B81" t="s">
        <v>284</v>
      </c>
      <c r="C81" t="s">
        <v>285</v>
      </c>
      <c r="D81" t="s">
        <v>283</v>
      </c>
      <c r="E81" t="s">
        <v>279</v>
      </c>
      <c r="F81" t="s">
        <v>284</v>
      </c>
      <c r="G81" t="s">
        <v>279</v>
      </c>
      <c r="H81" t="s">
        <v>283</v>
      </c>
      <c r="K81" s="52"/>
      <c r="L81" s="52"/>
      <c r="M81" s="52"/>
      <c r="N81" s="52"/>
      <c r="O81" s="52"/>
      <c r="Q81" s="9"/>
      <c r="R81" s="9"/>
      <c r="S81" s="9"/>
      <c r="T81" s="9"/>
      <c r="U81" s="9"/>
      <c r="V81" s="9"/>
      <c r="W81" s="9"/>
      <c r="Y81" s="52"/>
      <c r="Z81" s="52"/>
      <c r="AA81" s="52"/>
      <c r="AB81" s="52"/>
      <c r="AK81">
        <v>24</v>
      </c>
      <c r="AL81" t="s">
        <v>205</v>
      </c>
      <c r="AM81">
        <f>INT(装备拆分数值生成!S$42+(装备拆分数值生成!$AK81-21)*装备拆分数值生成!S$6)</f>
        <v>298</v>
      </c>
      <c r="AN81">
        <f>INT(装备拆分数值生成!T$42+(装备拆分数值生成!$AK81-21)*装备拆分数值生成!T$6)</f>
        <v>596</v>
      </c>
      <c r="AO81">
        <f>INT(装备拆分数值生成!K$48+(装备拆分数值生成!$AK81-21)*装备拆分数值生成!K$12)</f>
        <v>1093</v>
      </c>
      <c r="AP81">
        <f>INT(装备拆分数值生成!N$54+(装备拆分数值生成!$AK81-21)*装备拆分数值生成!N$18)</f>
        <v>284</v>
      </c>
      <c r="AQ81">
        <f>INT(装备拆分数值生成!T$60+(装备拆分数值生成!$AK81-21)*装备拆分数值生成!T$24)</f>
        <v>149</v>
      </c>
      <c r="AR81">
        <f>INT(装备拆分数值生成!U$60+(装备拆分数值生成!$AK81-21)*装备拆分数值生成!U$24)</f>
        <v>213</v>
      </c>
      <c r="AS81">
        <f>INT(装备拆分数值生成!R$66+(装备拆分数值生成!$AK81-21)*装备拆分数值生成!R$30)</f>
        <v>874</v>
      </c>
      <c r="AT81">
        <f>INT(装备拆分数值生成!S$66+(装备拆分数值生成!$AK81-21)*装备拆分数值生成!S$30)</f>
        <v>74</v>
      </c>
      <c r="AU81">
        <f>INT(装备拆分数值生成!R$72+(装备拆分数值生成!$AK81-21)*装备拆分数值生成!R$36)</f>
        <v>218</v>
      </c>
      <c r="AV81">
        <f>INT(装备拆分数值生成!T$72+(装备拆分数值生成!$AK81-21)*装备拆分数值生成!T$36)</f>
        <v>298</v>
      </c>
    </row>
    <row r="82" spans="1:48">
      <c r="A82" t="s">
        <v>301</v>
      </c>
      <c r="B82" s="52">
        <f>L40</f>
        <v>148.80000000000001</v>
      </c>
      <c r="C82" s="52">
        <f>M40</f>
        <v>74.400000000000006</v>
      </c>
      <c r="D82" s="52">
        <f>K46</f>
        <v>272.75</v>
      </c>
      <c r="E82" s="52">
        <f>N52</f>
        <v>71</v>
      </c>
      <c r="K82" s="52"/>
      <c r="L82" s="52"/>
      <c r="M82" s="52"/>
      <c r="N82" s="52"/>
      <c r="O82" s="52"/>
      <c r="Q82" s="9"/>
      <c r="R82" s="9"/>
      <c r="S82" s="9"/>
      <c r="T82" s="9"/>
      <c r="U82" s="9"/>
      <c r="V82" s="9"/>
      <c r="W82" s="9"/>
      <c r="Y82" s="52"/>
      <c r="Z82" s="52"/>
      <c r="AA82" s="52"/>
      <c r="AB82" s="52"/>
      <c r="AK82">
        <v>25</v>
      </c>
      <c r="AL82" t="s">
        <v>206</v>
      </c>
      <c r="AM82">
        <f>INT(装备拆分数值生成!S$42+(装备拆分数值生成!$AK82-21)*装备拆分数值生成!S$6)</f>
        <v>313</v>
      </c>
      <c r="AN82">
        <f>INT(装备拆分数值生成!T$42+(装备拆分数值生成!$AK82-21)*装备拆分数值生成!T$6)</f>
        <v>627</v>
      </c>
      <c r="AO82">
        <f>INT(装备拆分数值生成!K$48+(装备拆分数值生成!$AK82-21)*装备拆分数值生成!K$12)</f>
        <v>1149</v>
      </c>
      <c r="AP82">
        <f>INT(装备拆分数值生成!N$54+(装备拆分数值生成!$AK82-21)*装备拆分数值生成!N$18)</f>
        <v>299</v>
      </c>
      <c r="AQ82">
        <f>INT(装备拆分数值生成!T$60+(装备拆分数值生成!$AK82-21)*装备拆分数值生成!T$24)</f>
        <v>156</v>
      </c>
      <c r="AR82">
        <f>INT(装备拆分数值生成!U$60+(装备拆分数值生成!$AK82-21)*装备拆分数值生成!U$24)</f>
        <v>224</v>
      </c>
      <c r="AS82">
        <f>INT(装备拆分数值生成!R$66+(装备拆分数值生成!$AK82-21)*装备拆分数值生成!R$30)</f>
        <v>919</v>
      </c>
      <c r="AT82">
        <f>INT(装备拆分数值生成!S$66+(装备拆分数值生成!$AK82-21)*装备拆分数值生成!S$30)</f>
        <v>78</v>
      </c>
      <c r="AU82">
        <f>INT(装备拆分数值生成!R$72+(装备拆分数值生成!$AK82-21)*装备拆分数值生成!R$36)</f>
        <v>229</v>
      </c>
      <c r="AV82">
        <f>INT(装备拆分数值生成!T$72+(装备拆分数值生成!$AK82-21)*装备拆分数值生成!T$36)</f>
        <v>313</v>
      </c>
    </row>
    <row r="83" spans="1:48">
      <c r="A83">
        <v>1</v>
      </c>
      <c r="B83">
        <f>INT($L$4*$A83+$L40)</f>
        <v>161</v>
      </c>
      <c r="C83">
        <f>$L$4*$A83+C82</f>
        <v>87.288888888888891</v>
      </c>
      <c r="D83">
        <f t="shared" ref="D83:D91" si="0">$D82+$K$10*$A83</f>
        <v>296.30555555555554</v>
      </c>
      <c r="E83">
        <f t="shared" ref="E83:E91" si="1">$E$82+$N$16*$A83</f>
        <v>77.13333333333334</v>
      </c>
      <c r="K83" s="52"/>
      <c r="L83" s="52"/>
      <c r="M83" s="52"/>
      <c r="N83" s="52"/>
      <c r="O83" s="52"/>
      <c r="Y83" s="52"/>
      <c r="Z83" s="52"/>
      <c r="AA83" s="52"/>
      <c r="AB83" s="52"/>
      <c r="AK83">
        <v>26</v>
      </c>
      <c r="AL83" t="s">
        <v>207</v>
      </c>
      <c r="AM83">
        <f>INT(装备拆分数值生成!S$42+(装备拆分数值生成!$AK83-21)*装备拆分数值生成!S$6)</f>
        <v>329</v>
      </c>
      <c r="AN83">
        <f>INT(装备拆分数值生成!T$42+(装备拆分数值生成!$AK83-21)*装备拆分数值生成!T$6)</f>
        <v>658</v>
      </c>
      <c r="AO83">
        <f>INT(装备拆分数值生成!K$48+(装备拆分数值生成!$AK83-21)*装备拆分数值生成!K$12)</f>
        <v>1206</v>
      </c>
      <c r="AP83">
        <f>INT(装备拆分数值生成!N$54+(装备拆分数值生成!$AK83-21)*装备拆分数值生成!N$18)</f>
        <v>314</v>
      </c>
      <c r="AQ83">
        <f>INT(装备拆分数值生成!T$60+(装备拆分数值生成!$AK83-21)*装备拆分数值生成!T$24)</f>
        <v>164</v>
      </c>
      <c r="AR83">
        <f>INT(装备拆分数值生成!U$60+(装备拆分数值生成!$AK83-21)*装备拆分数值生成!U$24)</f>
        <v>235</v>
      </c>
      <c r="AS83">
        <f>INT(装备拆分数值生成!R$66+(装备拆分数值生成!$AK83-21)*装备拆分数值生成!R$30)</f>
        <v>965</v>
      </c>
      <c r="AT83">
        <f>INT(装备拆分数值生成!S$66+(装备拆分数值生成!$AK83-21)*装备拆分数值生成!S$30)</f>
        <v>82</v>
      </c>
      <c r="AU83">
        <f>INT(装备拆分数值生成!R$72+(装备拆分数值生成!$AK83-21)*装备拆分数值生成!R$36)</f>
        <v>241</v>
      </c>
      <c r="AV83">
        <f>INT(装备拆分数值生成!T$72+(装备拆分数值生成!$AK83-21)*装备拆分数值生成!T$36)</f>
        <v>329</v>
      </c>
    </row>
    <row r="84" spans="1:48">
      <c r="A84">
        <v>2</v>
      </c>
      <c r="B84">
        <f t="shared" ref="B84:B91" si="2">$L$4*$A84+B83</f>
        <v>186.77777777777777</v>
      </c>
      <c r="C84">
        <f t="shared" ref="C84:C91" si="3">$L$4*$A84+C83</f>
        <v>113.06666666666666</v>
      </c>
      <c r="D84">
        <f t="shared" si="0"/>
        <v>343.41666666666663</v>
      </c>
      <c r="E84">
        <f t="shared" si="1"/>
        <v>83.266666666666666</v>
      </c>
      <c r="K84" s="52"/>
      <c r="L84" s="52"/>
      <c r="M84" s="52"/>
      <c r="N84" s="52"/>
      <c r="O84" s="52"/>
      <c r="Y84" s="52"/>
      <c r="Z84" s="52"/>
      <c r="AA84" s="52"/>
      <c r="AB84" s="52"/>
      <c r="AK84">
        <v>27</v>
      </c>
      <c r="AL84" t="s">
        <v>208</v>
      </c>
      <c r="AM84">
        <f>INT(装备拆分数值生成!S$42+(装备拆分数值生成!$AK84-21)*装备拆分数值生成!S$6)</f>
        <v>344</v>
      </c>
      <c r="AN84">
        <f>INT(装备拆分数值生成!T$42+(装备拆分数值生成!$AK84-21)*装备拆分数值生成!T$6)</f>
        <v>689</v>
      </c>
      <c r="AO84">
        <f>INT(装备拆分数值生成!K$48+(装备拆分数值生成!$AK84-21)*装备拆分数值生成!K$12)</f>
        <v>1263</v>
      </c>
      <c r="AP84">
        <f>INT(装备拆分数值生成!N$54+(装备拆分数值生成!$AK84-21)*装备拆分数值生成!N$18)</f>
        <v>328</v>
      </c>
      <c r="AQ84">
        <f>INT(装备拆分数值生成!T$60+(装备拆分数值生成!$AK84-21)*装备拆分数值生成!T$24)</f>
        <v>172</v>
      </c>
      <c r="AR84">
        <f>INT(装备拆分数值生成!U$60+(装备拆分数值生成!$AK84-21)*装备拆分数值生成!U$24)</f>
        <v>246</v>
      </c>
      <c r="AS84">
        <f>INT(装备拆分数值生成!R$66+(装备拆分数值生成!$AK84-21)*装备拆分数值生成!R$30)</f>
        <v>1010</v>
      </c>
      <c r="AT84">
        <f>INT(装备拆分数值生成!S$66+(装备拆分数值生成!$AK84-21)*装备拆分数值生成!S$30)</f>
        <v>86</v>
      </c>
      <c r="AU84">
        <f>INT(装备拆分数值生成!R$72+(装备拆分数值生成!$AK84-21)*装备拆分数值生成!R$36)</f>
        <v>252</v>
      </c>
      <c r="AV84">
        <f>INT(装备拆分数值生成!T$72+(装备拆分数值生成!$AK84-21)*装备拆分数值生成!T$36)</f>
        <v>344</v>
      </c>
    </row>
    <row r="85" spans="1:48">
      <c r="A85">
        <v>3</v>
      </c>
      <c r="B85">
        <f t="shared" si="2"/>
        <v>225.44444444444446</v>
      </c>
      <c r="C85">
        <f t="shared" si="3"/>
        <v>151.73333333333335</v>
      </c>
      <c r="D85">
        <f t="shared" si="0"/>
        <v>414.08333333333331</v>
      </c>
      <c r="E85">
        <f t="shared" si="1"/>
        <v>89.4</v>
      </c>
      <c r="K85" s="52"/>
      <c r="L85" s="52"/>
      <c r="M85" s="52"/>
      <c r="N85" s="52"/>
      <c r="O85" s="52"/>
      <c r="Y85" s="52"/>
      <c r="Z85" s="52"/>
      <c r="AA85" s="52"/>
      <c r="AB85" s="52"/>
      <c r="AK85">
        <v>28</v>
      </c>
      <c r="AL85" t="s">
        <v>471</v>
      </c>
      <c r="AM85">
        <f>INT(装备拆分数值生成!S$42+(装备拆分数值生成!$AK85-21)*装备拆分数值生成!S$6)</f>
        <v>360</v>
      </c>
      <c r="AN85">
        <f>INT(装备拆分数值生成!T$42+(装备拆分数值生成!$AK85-21)*装备拆分数值生成!T$6)</f>
        <v>720</v>
      </c>
      <c r="AO85">
        <f>INT(装备拆分数值生成!K$48+(装备拆分数值生成!$AK85-21)*装备拆分数值生成!K$12)</f>
        <v>1319</v>
      </c>
      <c r="AP85">
        <f>INT(装备拆分数值生成!N$54+(装备拆分数值生成!$AK85-21)*装备拆分数值生成!N$18)</f>
        <v>343</v>
      </c>
      <c r="AQ85">
        <f>INT(装备拆分数值生成!T$60+(装备拆分数值生成!$AK85-21)*装备拆分数值生成!T$24)</f>
        <v>180</v>
      </c>
      <c r="AR85">
        <f>INT(装备拆分数值生成!U$60+(装备拆分数值生成!$AK85-21)*装备拆分数值生成!U$24)</f>
        <v>257</v>
      </c>
      <c r="AS85">
        <f>INT(装备拆分数值生成!R$66+(装备拆分数值生成!$AK85-21)*装备拆分数值生成!R$30)</f>
        <v>1055</v>
      </c>
      <c r="AT85">
        <f>INT(装备拆分数值生成!S$66+(装备拆分数值生成!$AK85-21)*装备拆分数值生成!S$30)</f>
        <v>90</v>
      </c>
      <c r="AU85">
        <f>INT(装备拆分数值生成!R$72+(装备拆分数值生成!$AK85-21)*装备拆分数值生成!R$36)</f>
        <v>263</v>
      </c>
      <c r="AV85">
        <f>INT(装备拆分数值生成!T$72+(装备拆分数值生成!$AK85-21)*装备拆分数值生成!T$36)</f>
        <v>360</v>
      </c>
    </row>
    <row r="86" spans="1:48">
      <c r="A86">
        <v>4</v>
      </c>
      <c r="B86">
        <f t="shared" si="2"/>
        <v>277</v>
      </c>
      <c r="C86">
        <f t="shared" si="3"/>
        <v>203.28888888888889</v>
      </c>
      <c r="D86">
        <f t="shared" si="0"/>
        <v>508.30555555555554</v>
      </c>
      <c r="E86">
        <f t="shared" si="1"/>
        <v>95.533333333333331</v>
      </c>
      <c r="K86" s="52"/>
      <c r="L86" s="52"/>
      <c r="M86" s="52"/>
      <c r="N86" s="52"/>
      <c r="O86" s="52"/>
      <c r="AK86">
        <v>29</v>
      </c>
      <c r="AL86" t="s">
        <v>472</v>
      </c>
      <c r="AM86">
        <f>INT(装备拆分数值生成!S$42+(装备拆分数值生成!$AK86-21)*装备拆分数值生成!S$6)</f>
        <v>375</v>
      </c>
      <c r="AN86">
        <f>INT(装备拆分数值生成!T$42+(装备拆分数值生成!$AK86-21)*装备拆分数值生成!T$6)</f>
        <v>751</v>
      </c>
      <c r="AO86">
        <f>INT(装备拆分数值生成!K$48+(装备拆分数值生成!$AK86-21)*装备拆分数值生成!K$12)</f>
        <v>1376</v>
      </c>
      <c r="AP86">
        <f>INT(装备拆分数值生成!N$54+(装备拆分数值生成!$AK86-21)*装备拆分数值生成!N$18)</f>
        <v>358</v>
      </c>
      <c r="AQ86">
        <f>INT(装备拆分数值生成!T$60+(装备拆分数值生成!$AK86-21)*装备拆分数值生成!T$24)</f>
        <v>187</v>
      </c>
      <c r="AR86">
        <f>INT(装备拆分数值生成!U$60+(装备拆分数值生成!$AK86-21)*装备拆分数值生成!U$24)</f>
        <v>268</v>
      </c>
      <c r="AS86">
        <f>INT(装备拆分数值生成!R$66+(装备拆分数值生成!$AK86-21)*装备拆分数值生成!R$30)</f>
        <v>1101</v>
      </c>
      <c r="AT86">
        <f>INT(装备拆分数值生成!S$66+(装备拆分数值生成!$AK86-21)*装备拆分数值生成!S$30)</f>
        <v>93</v>
      </c>
      <c r="AU86">
        <f>INT(装备拆分数值生成!R$72+(装备拆分数值生成!$AK86-21)*装备拆分数值生成!R$36)</f>
        <v>275</v>
      </c>
      <c r="AV86">
        <f>INT(装备拆分数值生成!T$72+(装备拆分数值生成!$AK86-21)*装备拆分数值生成!T$36)</f>
        <v>375</v>
      </c>
    </row>
    <row r="87" spans="1:48">
      <c r="A87">
        <v>5</v>
      </c>
      <c r="B87">
        <f t="shared" si="2"/>
        <v>341.44444444444446</v>
      </c>
      <c r="C87">
        <f t="shared" si="3"/>
        <v>267.73333333333335</v>
      </c>
      <c r="D87">
        <f t="shared" si="0"/>
        <v>626.08333333333337</v>
      </c>
      <c r="E87">
        <f t="shared" si="1"/>
        <v>101.66666666666667</v>
      </c>
      <c r="K87" s="52"/>
      <c r="L87" s="52"/>
      <c r="M87" s="52"/>
      <c r="N87" s="52"/>
      <c r="O87" s="52"/>
      <c r="AK87">
        <v>30</v>
      </c>
      <c r="AL87" t="s">
        <v>473</v>
      </c>
      <c r="AM87">
        <f>INT(装备拆分数值生成!S$42+(装备拆分数值生成!$AK87-21)*装备拆分数值生成!S$6)</f>
        <v>391</v>
      </c>
      <c r="AN87">
        <f>INT(装备拆分数值生成!T$42+(装备拆分数值生成!$AK87-21)*装备拆分数值生成!T$6)</f>
        <v>782</v>
      </c>
      <c r="AO87">
        <f>INT(装备拆分数值生成!K$48+(装备拆分数值生成!$AK87-21)*装备拆分数值生成!K$12)</f>
        <v>1433</v>
      </c>
      <c r="AP87">
        <f>INT(装备拆分数值生成!N$54+(装备拆分数值生成!$AK87-21)*装备拆分数值生成!N$18)</f>
        <v>373</v>
      </c>
      <c r="AQ87">
        <f>INT(装备拆分数值生成!T$60+(装备拆分数值生成!$AK87-21)*装备拆分数值生成!T$24)</f>
        <v>195</v>
      </c>
      <c r="AR87">
        <f>INT(装备拆分数值生成!U$60+(装备拆分数值生成!$AK87-21)*装备拆分数值生成!U$24)</f>
        <v>279</v>
      </c>
      <c r="AS87">
        <f>INT(装备拆分数值生成!R$66+(装备拆分数值生成!$AK87-21)*装备拆分数值生成!R$30)</f>
        <v>1146</v>
      </c>
      <c r="AT87">
        <f>INT(装备拆分数值生成!S$66+(装备拆分数值生成!$AK87-21)*装备拆分数值生成!S$30)</f>
        <v>97</v>
      </c>
      <c r="AU87">
        <f>INT(装备拆分数值生成!R$72+(装备拆分数值生成!$AK87-21)*装备拆分数值生成!R$36)</f>
        <v>286</v>
      </c>
      <c r="AV87">
        <f>INT(装备拆分数值生成!T$72+(装备拆分数值生成!$AK87-21)*装备拆分数值生成!T$36)</f>
        <v>391</v>
      </c>
    </row>
    <row r="88" spans="1:48">
      <c r="A88">
        <v>6</v>
      </c>
      <c r="B88">
        <f t="shared" si="2"/>
        <v>418.77777777777783</v>
      </c>
      <c r="C88">
        <f t="shared" si="3"/>
        <v>345.06666666666672</v>
      </c>
      <c r="D88">
        <f t="shared" si="0"/>
        <v>767.41666666666674</v>
      </c>
      <c r="E88">
        <f t="shared" si="1"/>
        <v>107.80000000000001</v>
      </c>
      <c r="O88" s="52"/>
      <c r="AK88">
        <v>31</v>
      </c>
      <c r="AL88" t="s">
        <v>474</v>
      </c>
      <c r="AM88">
        <f>INT(装备拆分数值生成!S$43+(装备拆分数值生成!$AK88-31)*装备拆分数值生成!S$7)</f>
        <v>531</v>
      </c>
      <c r="AN88">
        <f>INT(装备拆分数值生成!T$43+(装备拆分数值生成!$AK88-31)*装备拆分数值生成!T$7)</f>
        <v>1062</v>
      </c>
      <c r="AO88">
        <f>INT(装备拆分数值生成!K$49+(装备拆分数值生成!$AK88-31)*装备拆分数值生成!K$13)</f>
        <v>1947</v>
      </c>
      <c r="AP88">
        <f>INT(装备拆分数值生成!N$55+(装备拆分数值生成!$AK88-31)*装备拆分数值生成!N$19)</f>
        <v>507</v>
      </c>
      <c r="AQ88">
        <f>INT(装备拆分数值生成!T$61+(装备拆分数值生成!$AK88-31)*装备拆分数值生成!T$25)</f>
        <v>265</v>
      </c>
      <c r="AR88">
        <f>INT(装备拆分数值生成!U$61+(装备拆分数值生成!$AK88-31)*装备拆分数值生成!U$25)</f>
        <v>380</v>
      </c>
      <c r="AS88">
        <f>INT(装备拆分数值生成!R$67+(装备拆分数值生成!$AK88-31)*装备拆分数值生成!R$31)</f>
        <v>1558</v>
      </c>
      <c r="AT88">
        <f>INT(装备拆分数值生成!S$67+(装备拆分数值生成!$AK88-31)*装备拆分数值生成!S$31)</f>
        <v>132</v>
      </c>
      <c r="AU88">
        <f>INT(装备拆分数值生成!R$73+(装备拆分数值生成!$AK88-31)*装备拆分数值生成!R$37)</f>
        <v>389</v>
      </c>
      <c r="AV88">
        <f>INT(装备拆分数值生成!T$73+(装备拆分数值生成!$AK88-31)*装备拆分数值生成!T$37)</f>
        <v>531</v>
      </c>
    </row>
    <row r="89" spans="1:48">
      <c r="A89">
        <v>7</v>
      </c>
      <c r="B89">
        <f t="shared" si="2"/>
        <v>509.00000000000006</v>
      </c>
      <c r="C89">
        <f t="shared" si="3"/>
        <v>435.28888888888895</v>
      </c>
      <c r="D89">
        <f t="shared" si="0"/>
        <v>932.30555555555566</v>
      </c>
      <c r="E89">
        <f t="shared" si="1"/>
        <v>113.93333333333334</v>
      </c>
      <c r="O89" s="52"/>
      <c r="AK89">
        <v>32</v>
      </c>
      <c r="AL89" t="s">
        <v>475</v>
      </c>
      <c r="AM89">
        <f>INT(装备拆分数值生成!S$43+(装备拆分数值生成!$AK89-31)*装备拆分数值生成!S$7)</f>
        <v>570</v>
      </c>
      <c r="AN89">
        <f>INT(装备拆分数值生成!T$43+(装备拆分数值生成!$AK89-31)*装备拆分数值生成!T$7)</f>
        <v>1140</v>
      </c>
      <c r="AO89">
        <f>INT(装备拆分数值生成!K$49+(装备拆分数值生成!$AK89-31)*装备拆分数值生成!K$13)</f>
        <v>2090</v>
      </c>
      <c r="AP89">
        <f>INT(装备拆分数值生成!N$55+(装备拆分数值生成!$AK89-31)*装备拆分数值生成!N$19)</f>
        <v>544</v>
      </c>
      <c r="AQ89">
        <f>INT(装备拆分数值生成!T$61+(装备拆分数值生成!$AK89-31)*装备拆分数值生成!T$25)</f>
        <v>285</v>
      </c>
      <c r="AR89">
        <f>INT(装备拆分数值生成!U$61+(装备拆分数值生成!$AK89-31)*装备拆分数值生成!U$25)</f>
        <v>408</v>
      </c>
      <c r="AS89">
        <f>INT(装备拆分数值生成!R$67+(装备拆分数值生成!$AK89-31)*装备拆分数值生成!R$31)</f>
        <v>1672</v>
      </c>
      <c r="AT89">
        <f>INT(装备拆分数值生成!S$67+(装备拆分数值生成!$AK89-31)*装备拆分数值生成!S$31)</f>
        <v>142</v>
      </c>
      <c r="AU89">
        <f>INT(装备拆分数值生成!R$73+(装备拆分数值生成!$AK89-31)*装备拆分数值生成!R$37)</f>
        <v>418</v>
      </c>
      <c r="AV89">
        <f>INT(装备拆分数值生成!T$73+(装备拆分数值生成!$AK89-31)*装备拆分数值生成!T$37)</f>
        <v>570</v>
      </c>
    </row>
    <row r="90" spans="1:48">
      <c r="A90">
        <v>8</v>
      </c>
      <c r="B90">
        <f t="shared" si="2"/>
        <v>612.1111111111112</v>
      </c>
      <c r="C90">
        <f t="shared" si="3"/>
        <v>538.40000000000009</v>
      </c>
      <c r="D90">
        <f t="shared" si="0"/>
        <v>1120.75</v>
      </c>
      <c r="E90">
        <f t="shared" si="1"/>
        <v>120.06666666666666</v>
      </c>
      <c r="O90" s="52"/>
      <c r="AK90">
        <v>33</v>
      </c>
      <c r="AL90" t="s">
        <v>210</v>
      </c>
      <c r="AM90">
        <f>INT(装备拆分数值生成!S$43+(装备拆分数值生成!$AK90-31)*装备拆分数值生成!S$7)</f>
        <v>609</v>
      </c>
      <c r="AN90">
        <f>INT(装备拆分数值生成!T$43+(装备拆分数值生成!$AK90-31)*装备拆分数值生成!T$7)</f>
        <v>1218</v>
      </c>
      <c r="AO90">
        <f>INT(装备拆分数值生成!K$49+(装备拆分数值生成!$AK90-31)*装备拆分数值生成!K$13)</f>
        <v>2233</v>
      </c>
      <c r="AP90">
        <f>INT(装备拆分数值生成!N$55+(装备拆分数值生成!$AK90-31)*装备拆分数值生成!N$19)</f>
        <v>581</v>
      </c>
      <c r="AQ90">
        <f>INT(装备拆分数值生成!T$61+(装备拆分数值生成!$AK90-31)*装备拆分数值生成!T$25)</f>
        <v>304</v>
      </c>
      <c r="AR90">
        <f>INT(装备拆分数值生成!U$61+(装备拆分数值生成!$AK90-31)*装备拆分数值生成!U$25)</f>
        <v>436</v>
      </c>
      <c r="AS90">
        <f>INT(装备拆分数值生成!R$67+(装备拆分数值生成!$AK90-31)*装备拆分数值生成!R$31)</f>
        <v>1787</v>
      </c>
      <c r="AT90">
        <f>INT(装备拆分数值生成!S$67+(装备拆分数值生成!$AK90-31)*装备拆分数值生成!S$31)</f>
        <v>152</v>
      </c>
      <c r="AU90">
        <f>INT(装备拆分数值生成!R$73+(装备拆分数值生成!$AK90-31)*装备拆分数值生成!R$37)</f>
        <v>446</v>
      </c>
      <c r="AV90">
        <f>INT(装备拆分数值生成!T$73+(装备拆分数值生成!$AK90-31)*装备拆分数值生成!T$37)</f>
        <v>609</v>
      </c>
    </row>
    <row r="91" spans="1:48">
      <c r="A91">
        <v>9</v>
      </c>
      <c r="B91">
        <f t="shared" si="2"/>
        <v>728.1111111111112</v>
      </c>
      <c r="C91">
        <f t="shared" si="3"/>
        <v>654.40000000000009</v>
      </c>
      <c r="D91">
        <f t="shared" si="0"/>
        <v>1332.75</v>
      </c>
      <c r="E91">
        <f t="shared" si="1"/>
        <v>126.2</v>
      </c>
      <c r="AK91">
        <v>34</v>
      </c>
      <c r="AL91" t="s">
        <v>211</v>
      </c>
      <c r="AM91">
        <f>INT(装备拆分数值生成!S$43+(装备拆分数值生成!$AK91-31)*装备拆分数值生成!S$7)</f>
        <v>648</v>
      </c>
      <c r="AN91">
        <f>INT(装备拆分数值生成!T$43+(装备拆分数值生成!$AK91-31)*装备拆分数值生成!T$7)</f>
        <v>1296</v>
      </c>
      <c r="AO91">
        <f>INT(装备拆分数值生成!K$49+(装备拆分数值生成!$AK91-31)*装备拆分数值生成!K$13)</f>
        <v>2376</v>
      </c>
      <c r="AP91">
        <f>INT(装备拆分数值生成!N$55+(装备拆分数值生成!$AK91-31)*装备拆分数值生成!N$19)</f>
        <v>618</v>
      </c>
      <c r="AQ91">
        <f>INT(装备拆分数值生成!T$61+(装备拆分数值生成!$AK91-31)*装备拆分数值生成!T$25)</f>
        <v>324</v>
      </c>
      <c r="AR91">
        <f>INT(装备拆分数值生成!U$61+(装备拆分数值生成!$AK91-31)*装备拆分数值生成!U$25)</f>
        <v>464</v>
      </c>
      <c r="AS91">
        <f>INT(装备拆分数值生成!R$67+(装备拆分数值生成!$AK91-31)*装备拆分数值生成!R$31)</f>
        <v>1901</v>
      </c>
      <c r="AT91">
        <f>INT(装备拆分数值生成!S$67+(装备拆分数值生成!$AK91-31)*装备拆分数值生成!S$31)</f>
        <v>162</v>
      </c>
      <c r="AU91">
        <f>INT(装备拆分数值生成!R$73+(装备拆分数值生成!$AK91-31)*装备拆分数值生成!R$37)</f>
        <v>475</v>
      </c>
      <c r="AV91">
        <f>INT(装备拆分数值生成!T$73+(装备拆分数值生成!$AK91-31)*装备拆分数值生成!T$37)</f>
        <v>648</v>
      </c>
    </row>
    <row r="92" spans="1:48">
      <c r="A92" t="s">
        <v>300</v>
      </c>
      <c r="AK92">
        <v>35</v>
      </c>
      <c r="AL92" t="s">
        <v>212</v>
      </c>
      <c r="AM92">
        <f>INT(装备拆分数值生成!S$43+(装备拆分数值生成!$AK92-31)*装备拆分数值生成!S$7)</f>
        <v>687</v>
      </c>
      <c r="AN92">
        <f>INT(装备拆分数值生成!T$43+(装备拆分数值生成!$AK92-31)*装备拆分数值生成!T$7)</f>
        <v>1374</v>
      </c>
      <c r="AO92">
        <f>INT(装备拆分数值生成!K$49+(装备拆分数值生成!$AK92-31)*装备拆分数值生成!K$13)</f>
        <v>2519</v>
      </c>
      <c r="AP92">
        <f>INT(装备拆分数值生成!N$55+(装备拆分数值生成!$AK92-31)*装备拆分数值生成!N$19)</f>
        <v>656</v>
      </c>
      <c r="AQ92">
        <f>INT(装备拆分数值生成!T$61+(装备拆分数值生成!$AK92-31)*装备拆分数值生成!T$25)</f>
        <v>343</v>
      </c>
      <c r="AR92">
        <f>INT(装备拆分数值生成!U$61+(装备拆分数值生成!$AK92-31)*装备拆分数值生成!U$25)</f>
        <v>492</v>
      </c>
      <c r="AS92">
        <f>INT(装备拆分数值生成!R$67+(装备拆分数值生成!$AK92-31)*装备拆分数值生成!R$31)</f>
        <v>2015</v>
      </c>
      <c r="AT92">
        <f>INT(装备拆分数值生成!S$67+(装备拆分数值生成!$AK92-31)*装备拆分数值生成!S$31)</f>
        <v>171</v>
      </c>
      <c r="AU92">
        <f>INT(装备拆分数值生成!R$73+(装备拆分数值生成!$AK92-31)*装备拆分数值生成!R$37)</f>
        <v>503</v>
      </c>
      <c r="AV92">
        <f>INT(装备拆分数值生成!T$73+(装备拆分数值生成!$AK92-31)*装备拆分数值生成!T$37)</f>
        <v>687</v>
      </c>
    </row>
    <row r="93" spans="1:48">
      <c r="A93">
        <v>1</v>
      </c>
      <c r="AK93">
        <v>36</v>
      </c>
      <c r="AL93" t="s">
        <v>213</v>
      </c>
      <c r="AM93">
        <f>INT(装备拆分数值生成!S$43+(装备拆分数值生成!$AK93-31)*装备拆分数值生成!S$7)</f>
        <v>726</v>
      </c>
      <c r="AN93">
        <f>INT(装备拆分数值生成!T$43+(装备拆分数值生成!$AK93-31)*装备拆分数值生成!T$7)</f>
        <v>1452</v>
      </c>
      <c r="AO93">
        <f>INT(装备拆分数值生成!K$49+(装备拆分数值生成!$AK93-31)*装备拆分数值生成!K$13)</f>
        <v>2662</v>
      </c>
      <c r="AP93">
        <f>INT(装备拆分数值生成!N$55+(装备拆分数值生成!$AK93-31)*装备拆分数值生成!N$19)</f>
        <v>693</v>
      </c>
      <c r="AQ93">
        <f>INT(装备拆分数值生成!T$61+(装备拆分数值生成!$AK93-31)*装备拆分数值生成!T$25)</f>
        <v>363</v>
      </c>
      <c r="AR93">
        <f>INT(装备拆分数值生成!U$61+(装备拆分数值生成!$AK93-31)*装备拆分数值生成!U$25)</f>
        <v>519</v>
      </c>
      <c r="AS93">
        <f>INT(装备拆分数值生成!R$67+(装备拆分数值生成!$AK93-31)*装备拆分数值生成!R$31)</f>
        <v>2130</v>
      </c>
      <c r="AT93">
        <f>INT(装备拆分数值生成!S$67+(装备拆分数值生成!$AK93-31)*装备拆分数值生成!S$31)</f>
        <v>181</v>
      </c>
      <c r="AU93">
        <f>INT(装备拆分数值生成!R$73+(装备拆分数值生成!$AK93-31)*装备拆分数值生成!R$37)</f>
        <v>532</v>
      </c>
      <c r="AV93">
        <f>INT(装备拆分数值生成!T$73+(装备拆分数值生成!$AK93-31)*装备拆分数值生成!T$37)</f>
        <v>726</v>
      </c>
    </row>
    <row r="94" spans="1:48">
      <c r="A94">
        <v>2</v>
      </c>
      <c r="AK94">
        <v>37</v>
      </c>
      <c r="AL94" t="s">
        <v>214</v>
      </c>
      <c r="AM94">
        <f>INT(装备拆分数值生成!S$43+(装备拆分数值生成!$AK94-31)*装备拆分数值生成!S$7)</f>
        <v>765</v>
      </c>
      <c r="AN94">
        <f>INT(装备拆分数值生成!T$43+(装备拆分数值生成!$AK94-31)*装备拆分数值生成!T$7)</f>
        <v>1530</v>
      </c>
      <c r="AO94">
        <f>INT(装备拆分数值生成!K$49+(装备拆分数值生成!$AK94-31)*装备拆分数值生成!K$13)</f>
        <v>2805</v>
      </c>
      <c r="AP94">
        <f>INT(装备拆分数值生成!N$55+(装备拆分数值生成!$AK94-31)*装备拆分数值生成!N$19)</f>
        <v>730</v>
      </c>
      <c r="AQ94">
        <f>INT(装备拆分数值生成!T$61+(装备拆分数值生成!$AK94-31)*装备拆分数值生成!T$25)</f>
        <v>382</v>
      </c>
      <c r="AR94">
        <f>INT(装备拆分数值生成!U$61+(装备拆分数值生成!$AK94-31)*装备拆分数值生成!U$25)</f>
        <v>547</v>
      </c>
      <c r="AS94">
        <f>INT(装备拆分数值生成!R$67+(装备拆分数值生成!$AK94-31)*装备拆分数值生成!R$31)</f>
        <v>2244</v>
      </c>
      <c r="AT94">
        <f>INT(装备拆分数值生成!S$67+(装备拆分数值生成!$AK94-31)*装备拆分数值生成!S$31)</f>
        <v>191</v>
      </c>
      <c r="AU94">
        <f>INT(装备拆分数值生成!R$73+(装备拆分数值生成!$AK94-31)*装备拆分数值生成!R$37)</f>
        <v>561</v>
      </c>
      <c r="AV94">
        <f>INT(装备拆分数值生成!T$73+(装备拆分数值生成!$AK94-31)*装备拆分数值生成!T$37)</f>
        <v>765</v>
      </c>
    </row>
    <row r="95" spans="1:48">
      <c r="A95">
        <v>3</v>
      </c>
      <c r="AK95">
        <v>38</v>
      </c>
      <c r="AL95" t="s">
        <v>476</v>
      </c>
      <c r="AM95">
        <f>INT(装备拆分数值生成!S$43+(装备拆分数值生成!$AK95-31)*装备拆分数值生成!S$7)</f>
        <v>804</v>
      </c>
      <c r="AN95">
        <f>INT(装备拆分数值生成!T$43+(装备拆分数值生成!$AK95-31)*装备拆分数值生成!T$7)</f>
        <v>1608</v>
      </c>
      <c r="AO95">
        <f>INT(装备拆分数值生成!K$49+(装备拆分数值生成!$AK95-31)*装备拆分数值生成!K$13)</f>
        <v>2948</v>
      </c>
      <c r="AP95">
        <f>INT(装备拆分数值生成!N$55+(装备拆分数值生成!$AK95-31)*装备拆分数值生成!N$19)</f>
        <v>767</v>
      </c>
      <c r="AQ95">
        <f>INT(装备拆分数值生成!T$61+(装备拆分数值生成!$AK95-31)*装备拆分数值生成!T$25)</f>
        <v>402</v>
      </c>
      <c r="AR95">
        <f>INT(装备拆分数值生成!U$61+(装备拆分数值生成!$AK95-31)*装备拆分数值生成!U$25)</f>
        <v>575</v>
      </c>
      <c r="AS95">
        <f>INT(装备拆分数值生成!R$67+(装备拆分数值生成!$AK95-31)*装备拆分数值生成!R$31)</f>
        <v>2359</v>
      </c>
      <c r="AT95">
        <f>INT(装备拆分数值生成!S$67+(装备拆分数值生成!$AK95-31)*装备拆分数值生成!S$31)</f>
        <v>201</v>
      </c>
      <c r="AU95">
        <f>INT(装备拆分数值生成!R$73+(装备拆分数值生成!$AK95-31)*装备拆分数值生成!R$37)</f>
        <v>589</v>
      </c>
      <c r="AV95">
        <f>INT(装备拆分数值生成!T$73+(装备拆分数值生成!$AK95-31)*装备拆分数值生成!T$37)</f>
        <v>804</v>
      </c>
    </row>
    <row r="96" spans="1:48">
      <c r="A96">
        <v>4</v>
      </c>
      <c r="AK96">
        <v>39</v>
      </c>
      <c r="AL96" t="s">
        <v>477</v>
      </c>
      <c r="AM96">
        <f>INT(装备拆分数值生成!S$43+(装备拆分数值生成!$AK96-31)*装备拆分数值生成!S$7)</f>
        <v>843</v>
      </c>
      <c r="AN96">
        <f>INT(装备拆分数值生成!T$43+(装备拆分数值生成!$AK96-31)*装备拆分数值生成!T$7)</f>
        <v>1686</v>
      </c>
      <c r="AO96">
        <f>INT(装备拆分数值生成!K$49+(装备拆分数值生成!$AK96-31)*装备拆分数值生成!K$13)</f>
        <v>3091</v>
      </c>
      <c r="AP96">
        <f>INT(装备拆分数值生成!N$55+(装备拆分数值生成!$AK96-31)*装备拆分数值生成!N$19)</f>
        <v>804</v>
      </c>
      <c r="AQ96">
        <f>INT(装备拆分数值生成!T$61+(装备拆分数值生成!$AK96-31)*装备拆分数值生成!T$25)</f>
        <v>421</v>
      </c>
      <c r="AR96">
        <f>INT(装备拆分数值生成!U$61+(装备拆分数值生成!$AK96-31)*装备拆分数值生成!U$25)</f>
        <v>603</v>
      </c>
      <c r="AS96">
        <f>INT(装备拆分数值生成!R$67+(装备拆分数值生成!$AK96-31)*装备拆分数值生成!R$31)</f>
        <v>2473</v>
      </c>
      <c r="AT96">
        <f>INT(装备拆分数值生成!S$67+(装备拆分数值生成!$AK96-31)*装备拆分数值生成!S$31)</f>
        <v>210</v>
      </c>
      <c r="AU96">
        <f>INT(装备拆分数值生成!R$73+(装备拆分数值生成!$AK96-31)*装备拆分数值生成!R$37)</f>
        <v>618</v>
      </c>
      <c r="AV96">
        <f>INT(装备拆分数值生成!T$73+(装备拆分数值生成!$AK96-31)*装备拆分数值生成!T$37)</f>
        <v>843</v>
      </c>
    </row>
    <row r="97" spans="1:48">
      <c r="A97">
        <v>5</v>
      </c>
      <c r="AK97">
        <v>40</v>
      </c>
      <c r="AL97" t="s">
        <v>478</v>
      </c>
      <c r="AM97">
        <f>INT(装备拆分数值生成!S$43+(装备拆分数值生成!$AK97-31)*装备拆分数值生成!S$7)</f>
        <v>882</v>
      </c>
      <c r="AN97">
        <f>INT(装备拆分数值生成!T$43+(装备拆分数值生成!$AK97-31)*装备拆分数值生成!T$7)</f>
        <v>1765</v>
      </c>
      <c r="AO97">
        <f>INT(装备拆分数值生成!K$49+(装备拆分数值生成!$AK97-31)*装备拆分数值生成!K$13)</f>
        <v>3234</v>
      </c>
      <c r="AP97">
        <f>INT(装备拆分数值生成!N$55+(装备拆分数值生成!$AK97-31)*装备拆分数值生成!N$19)</f>
        <v>842</v>
      </c>
      <c r="AQ97">
        <f>INT(装备拆分数值生成!T$61+(装备拆分数值生成!$AK97-31)*装备拆分数值生成!T$25)</f>
        <v>441</v>
      </c>
      <c r="AR97">
        <f>INT(装备拆分数值生成!U$61+(装备拆分数值生成!$AK97-31)*装备拆分数值生成!U$25)</f>
        <v>631</v>
      </c>
      <c r="AS97">
        <f>INT(装备拆分数值生成!R$67+(装备拆分数值生成!$AK97-31)*装备拆分数值生成!R$31)</f>
        <v>2587</v>
      </c>
      <c r="AT97">
        <f>INT(装备拆分数值生成!S$67+(装备拆分数值生成!$AK97-31)*装备拆分数值生成!S$31)</f>
        <v>220</v>
      </c>
      <c r="AU97">
        <f>INT(装备拆分数值生成!R$73+(装备拆分数值生成!$AK97-31)*装备拆分数值生成!R$37)</f>
        <v>646</v>
      </c>
      <c r="AV97">
        <f>INT(装备拆分数值生成!T$73+(装备拆分数值生成!$AK97-31)*装备拆分数值生成!T$37)</f>
        <v>882</v>
      </c>
    </row>
    <row r="98" spans="1:48">
      <c r="A98">
        <v>6</v>
      </c>
      <c r="AK98">
        <v>41</v>
      </c>
      <c r="AL98" t="s">
        <v>479</v>
      </c>
      <c r="AM98">
        <f>INT(装备拆分数值生成!S$44+(装备拆分数值生成!$AK98-41)*装备拆分数值生成!S$8)</f>
        <v>1067</v>
      </c>
      <c r="AN98">
        <f>INT(装备拆分数值生成!T$44+(装备拆分数值生成!$AK98-41)*装备拆分数值生成!T$8)</f>
        <v>2135</v>
      </c>
      <c r="AO98">
        <f>INT(装备拆分数值生成!K$50+(装备拆分数值生成!$AK98-41)*装备拆分数值生成!K$14)</f>
        <v>3914</v>
      </c>
      <c r="AP98">
        <f>INT(装备拆分数值生成!N$56+(装备拆分数值生成!$AK98-41)*装备拆分数值生成!N$20)</f>
        <v>1018</v>
      </c>
      <c r="AQ98">
        <f>INT(装备拆分数值生成!T$62+(装备拆分数值生成!$AK98-41)*装备拆分数值生成!T$26)</f>
        <v>533</v>
      </c>
      <c r="AR98">
        <f>INT(装备拆分数值生成!U$62+(装备拆分数值生成!$AK98-41)*装备拆分数值生成!U$26)</f>
        <v>764</v>
      </c>
      <c r="AS98">
        <f>INT(装备拆分数值生成!R$68+(装备拆分数值生成!$AK98-41)*装备拆分数值生成!R$32)</f>
        <v>3131</v>
      </c>
      <c r="AT98">
        <f>INT(装备拆分数值生成!S$68+(装备拆分数值生成!$AK98-41)*装备拆分数值生成!S$32)</f>
        <v>266</v>
      </c>
      <c r="AU98">
        <f>INT(装备拆分数值生成!R$74+(装备拆分数值生成!$AK98-41)*装备拆分数值生成!R$38)</f>
        <v>782</v>
      </c>
      <c r="AV98">
        <f>INT(装备拆分数值生成!T$74+(装备拆分数值生成!$AK98-41)*装备拆分数值生成!T$38)</f>
        <v>1067</v>
      </c>
    </row>
    <row r="99" spans="1:48">
      <c r="A99">
        <v>7</v>
      </c>
      <c r="AK99">
        <v>42</v>
      </c>
      <c r="AL99" t="s">
        <v>480</v>
      </c>
      <c r="AM99">
        <f>INT(装备拆分数值生成!S$44+(装备拆分数值生成!$AK99-41)*装备拆分数值生成!S$8)</f>
        <v>1152</v>
      </c>
      <c r="AN99">
        <f>INT(装备拆分数值生成!T$44+(装备拆分数值生成!$AK99-41)*装备拆分数值生成!T$8)</f>
        <v>2305</v>
      </c>
      <c r="AO99">
        <f>INT(装备拆分数值生成!K$50+(装备拆分数值生成!$AK99-41)*装备拆分数值生成!K$14)</f>
        <v>4226</v>
      </c>
      <c r="AP99">
        <f>INT(装备拆分数值生成!N$56+(装备拆分数值生成!$AK99-41)*装备拆分数值生成!N$20)</f>
        <v>1100</v>
      </c>
      <c r="AQ99">
        <f>INT(装备拆分数值生成!T$62+(装备拆分数值生成!$AK99-41)*装备拆分数值生成!T$26)</f>
        <v>576</v>
      </c>
      <c r="AR99">
        <f>INT(装备拆分数值生成!U$62+(装备拆分数值生成!$AK99-41)*装备拆分数值生成!U$26)</f>
        <v>825</v>
      </c>
      <c r="AS99">
        <f>INT(装备拆分数值生成!R$68+(装备拆分数值生成!$AK99-41)*装备拆分数值生成!R$32)</f>
        <v>3381</v>
      </c>
      <c r="AT99">
        <f>INT(装备拆分数值生成!S$68+(装备拆分数值生成!$AK99-41)*装备拆分数值生成!S$32)</f>
        <v>288</v>
      </c>
      <c r="AU99">
        <f>INT(装备拆分数值生成!R$74+(装备拆分数值生成!$AK99-41)*装备拆分数值生成!R$38)</f>
        <v>845</v>
      </c>
      <c r="AV99">
        <f>INT(装备拆分数值生成!T$74+(装备拆分数值生成!$AK99-41)*装备拆分数值生成!T$38)</f>
        <v>1152</v>
      </c>
    </row>
    <row r="100" spans="1:48">
      <c r="A100">
        <v>8</v>
      </c>
      <c r="AK100">
        <v>43</v>
      </c>
      <c r="AL100" t="s">
        <v>216</v>
      </c>
      <c r="AM100">
        <f>INT(装备拆分数值生成!S$44+(装备拆分数值生成!$AK100-41)*装备拆分数值生成!S$8)</f>
        <v>1238</v>
      </c>
      <c r="AN100">
        <f>INT(装备拆分数值生成!T$44+(装备拆分数值生成!$AK100-41)*装备拆分数值生成!T$8)</f>
        <v>2476</v>
      </c>
      <c r="AO100">
        <f>INT(装备拆分数值生成!K$50+(装备拆分数值生成!$AK100-41)*装备拆分数值生成!K$14)</f>
        <v>4538</v>
      </c>
      <c r="AP100">
        <f>INT(装备拆分数值生成!N$56+(装备拆分数值生成!$AK100-41)*装备拆分数值生成!N$20)</f>
        <v>1181</v>
      </c>
      <c r="AQ100">
        <f>INT(装备拆分数值生成!T$62+(装备拆分数值生成!$AK100-41)*装备拆分数值生成!T$26)</f>
        <v>619</v>
      </c>
      <c r="AR100">
        <f>INT(装备拆分数值生成!U$62+(装备拆分数值生成!$AK100-41)*装备拆分数值生成!U$26)</f>
        <v>886</v>
      </c>
      <c r="AS100">
        <f>INT(装备拆分数值生成!R$68+(装备拆分数值生成!$AK100-41)*装备拆分数值生成!R$32)</f>
        <v>3631</v>
      </c>
      <c r="AT100">
        <f>INT(装备拆分数值生成!S$68+(装备拆分数值生成!$AK100-41)*装备拆分数值生成!S$32)</f>
        <v>309</v>
      </c>
      <c r="AU100">
        <f>INT(装备拆分数值生成!R$74+(装备拆分数值生成!$AK100-41)*装备拆分数值生成!R$38)</f>
        <v>907</v>
      </c>
      <c r="AV100">
        <f>INT(装备拆分数值生成!T$74+(装备拆分数值生成!$AK100-41)*装备拆分数值生成!T$38)</f>
        <v>1238</v>
      </c>
    </row>
    <row r="101" spans="1:48">
      <c r="A101">
        <v>9</v>
      </c>
      <c r="AK101">
        <v>44</v>
      </c>
      <c r="AL101" t="s">
        <v>217</v>
      </c>
      <c r="AM101">
        <f>INT(装备拆分数值生成!S$44+(装备拆分数值生成!$AK101-41)*装备拆分数值生成!S$8)</f>
        <v>1323</v>
      </c>
      <c r="AN101">
        <f>INT(装备拆分数值生成!T$44+(装备拆分数值生成!$AK101-41)*装备拆分数值生成!T$8)</f>
        <v>2646</v>
      </c>
      <c r="AO101">
        <f>INT(装备拆分数值生成!K$50+(装备拆分数值生成!$AK101-41)*装备拆分数值生成!K$14)</f>
        <v>4851</v>
      </c>
      <c r="AP101">
        <f>INT(装备拆分数值生成!N$56+(装备拆分数值生成!$AK101-41)*装备拆分数值生成!N$20)</f>
        <v>1262</v>
      </c>
      <c r="AQ101">
        <f>INT(装备拆分数值生成!T$62+(装备拆分数值生成!$AK101-41)*装备拆分数值生成!T$26)</f>
        <v>661</v>
      </c>
      <c r="AR101">
        <f>INT(装备拆分数值生成!U$62+(装备拆分数值生成!$AK101-41)*装备拆分数值生成!U$26)</f>
        <v>947</v>
      </c>
      <c r="AS101">
        <f>INT(装备拆分数值生成!R$68+(装备拆分数值生成!$AK101-41)*装备拆分数值生成!R$32)</f>
        <v>3881</v>
      </c>
      <c r="AT101">
        <f>INT(装备拆分数值生成!S$68+(装备拆分数值生成!$AK101-41)*装备拆分数值生成!S$32)</f>
        <v>330</v>
      </c>
      <c r="AU101">
        <f>INT(装备拆分数值生成!R$74+(装备拆分数值生成!$AK101-41)*装备拆分数值生成!R$38)</f>
        <v>970</v>
      </c>
      <c r="AV101">
        <f>INT(装备拆分数值生成!T$74+(装备拆分数值生成!$AK101-41)*装备拆分数值生成!T$38)</f>
        <v>1323</v>
      </c>
    </row>
    <row r="102" spans="1:48">
      <c r="A102" t="s">
        <v>302</v>
      </c>
      <c r="AK102">
        <v>45</v>
      </c>
      <c r="AL102" t="s">
        <v>218</v>
      </c>
      <c r="AM102">
        <f>INT(装备拆分数值生成!S$44+(装备拆分数值生成!$AK102-41)*装备拆分数值生成!S$8)</f>
        <v>1408</v>
      </c>
      <c r="AN102">
        <f>INT(装备拆分数值生成!T$44+(装备拆分数值生成!$AK102-41)*装备拆分数值生成!T$8)</f>
        <v>2816</v>
      </c>
      <c r="AO102">
        <f>INT(装备拆分数值生成!K$50+(装备拆分数值生成!$AK102-41)*装备拆分数值生成!K$14)</f>
        <v>5163</v>
      </c>
      <c r="AP102">
        <f>INT(装备拆分数值生成!N$56+(装备拆分数值生成!$AK102-41)*装备拆分数值生成!N$20)</f>
        <v>1344</v>
      </c>
      <c r="AQ102">
        <f>INT(装备拆分数值生成!T$62+(装备拆分数值生成!$AK102-41)*装备拆分数值生成!T$26)</f>
        <v>704</v>
      </c>
      <c r="AR102">
        <f>INT(装备拆分数值生成!U$62+(装备拆分数值生成!$AK102-41)*装备拆分数值生成!U$26)</f>
        <v>1008</v>
      </c>
      <c r="AS102">
        <f>INT(装备拆分数值生成!R$68+(装备拆分数值生成!$AK102-41)*装备拆分数值生成!R$32)</f>
        <v>4130</v>
      </c>
      <c r="AT102">
        <f>INT(装备拆分数值生成!S$68+(装备拆分数值生成!$AK102-41)*装备拆分数值生成!S$32)</f>
        <v>352</v>
      </c>
      <c r="AU102">
        <f>INT(装备拆分数值生成!R$74+(装备拆分数值生成!$AK102-41)*装备拆分数值生成!R$38)</f>
        <v>1032</v>
      </c>
      <c r="AV102">
        <f>INT(装备拆分数值生成!T$74+(装备拆分数值生成!$AK102-41)*装备拆分数值生成!T$38)</f>
        <v>1408</v>
      </c>
    </row>
    <row r="103" spans="1:48">
      <c r="A103">
        <v>1</v>
      </c>
      <c r="AK103">
        <v>46</v>
      </c>
      <c r="AL103" t="s">
        <v>219</v>
      </c>
      <c r="AM103">
        <f>INT(装备拆分数值生成!S$44+(装备拆分数值生成!$AK103-41)*装备拆分数值生成!S$8)</f>
        <v>1493</v>
      </c>
      <c r="AN103">
        <f>INT(装备拆分数值生成!T$44+(装备拆分数值生成!$AK103-41)*装备拆分数值生成!T$8)</f>
        <v>2987</v>
      </c>
      <c r="AO103">
        <f>INT(装备拆分数值生成!K$50+(装备拆分数值生成!$AK103-41)*装备拆分数值生成!K$14)</f>
        <v>5476</v>
      </c>
      <c r="AP103">
        <f>INT(装备拆分数值生成!N$56+(装备拆分数值生成!$AK103-41)*装备拆分数值生成!N$20)</f>
        <v>1425</v>
      </c>
      <c r="AQ103">
        <f>INT(装备拆分数值生成!T$62+(装备拆分数值生成!$AK103-41)*装备拆分数值生成!T$26)</f>
        <v>746</v>
      </c>
      <c r="AR103">
        <f>INT(装备拆分数值生成!U$62+(装备拆分数值生成!$AK103-41)*装备拆分数值生成!U$26)</f>
        <v>1069</v>
      </c>
      <c r="AS103">
        <f>INT(装备拆分数值生成!R$68+(装备拆分数值生成!$AK103-41)*装备拆分数值生成!R$32)</f>
        <v>4380</v>
      </c>
      <c r="AT103">
        <f>INT(装备拆分数值生成!S$68+(装备拆分数值生成!$AK103-41)*装备拆分数值生成!S$32)</f>
        <v>373</v>
      </c>
      <c r="AU103">
        <f>INT(装备拆分数值生成!R$74+(装备拆分数值生成!$AK103-41)*装备拆分数值生成!R$38)</f>
        <v>1095</v>
      </c>
      <c r="AV103">
        <f>INT(装备拆分数值生成!T$74+(装备拆分数值生成!$AK103-41)*装备拆分数值生成!T$38)</f>
        <v>1493</v>
      </c>
    </row>
    <row r="104" spans="1:48">
      <c r="A104">
        <v>2</v>
      </c>
      <c r="AK104">
        <v>47</v>
      </c>
      <c r="AL104" t="s">
        <v>220</v>
      </c>
      <c r="AM104">
        <f>INT(装备拆分数值生成!S$44+(装备拆分数值生成!$AK104-41)*装备拆分数值生成!S$8)</f>
        <v>1578</v>
      </c>
      <c r="AN104">
        <f>INT(装备拆分数值生成!T$44+(装备拆分数值生成!$AK104-41)*装备拆分数值生成!T$8)</f>
        <v>3157</v>
      </c>
      <c r="AO104">
        <f>INT(装备拆分数值生成!K$50+(装备拆分数值生成!$AK104-41)*装备拆分数值生成!K$14)</f>
        <v>5788</v>
      </c>
      <c r="AP104">
        <f>INT(装备拆分数值生成!N$56+(装备拆分数值生成!$AK104-41)*装备拆分数值生成!N$20)</f>
        <v>1506</v>
      </c>
      <c r="AQ104">
        <f>INT(装备拆分数值生成!T$62+(装备拆分数值生成!$AK104-41)*装备拆分数值生成!T$26)</f>
        <v>789</v>
      </c>
      <c r="AR104">
        <f>INT(装备拆分数值生成!U$62+(装备拆分数值生成!$AK104-41)*装备拆分数值生成!U$26)</f>
        <v>1130</v>
      </c>
      <c r="AS104">
        <f>INT(装备拆分数值生成!R$68+(装备拆分数值生成!$AK104-41)*装备拆分数值生成!R$32)</f>
        <v>4630</v>
      </c>
      <c r="AT104">
        <f>INT(装备拆分数值生成!S$68+(装备拆分数值生成!$AK104-41)*装备拆分数值生成!S$32)</f>
        <v>394</v>
      </c>
      <c r="AU104">
        <f>INT(装备拆分数值生成!R$74+(装备拆分数值生成!$AK104-41)*装备拆分数值生成!R$38)</f>
        <v>1157</v>
      </c>
      <c r="AV104">
        <f>INT(装备拆分数值生成!T$74+(装备拆分数值生成!$AK104-41)*装备拆分数值生成!T$38)</f>
        <v>1578</v>
      </c>
    </row>
    <row r="105" spans="1:48">
      <c r="A105">
        <v>3</v>
      </c>
      <c r="AK105">
        <v>48</v>
      </c>
      <c r="AL105" t="s">
        <v>481</v>
      </c>
      <c r="AM105">
        <f>INT(装备拆分数值生成!S$44+(装备拆分数值生成!$AK105-41)*装备拆分数值生成!S$8)</f>
        <v>1664</v>
      </c>
      <c r="AN105">
        <f>INT(装备拆分数值生成!T$44+(装备拆分数值生成!$AK105-41)*装备拆分数值生成!T$8)</f>
        <v>3328</v>
      </c>
      <c r="AO105">
        <f>INT(装备拆分数值生成!K$50+(装备拆分数值生成!$AK105-41)*装备拆分数值生成!K$14)</f>
        <v>6100</v>
      </c>
      <c r="AP105">
        <f>INT(装备拆分数值生成!N$56+(装备拆分数值生成!$AK105-41)*装备拆分数值生成!N$20)</f>
        <v>1588</v>
      </c>
      <c r="AQ105">
        <f>INT(装备拆分数值生成!T$62+(装备拆分数值生成!$AK105-41)*装备拆分数值生成!T$26)</f>
        <v>832</v>
      </c>
      <c r="AR105">
        <f>INT(装备拆分数值生成!U$62+(装备拆分数值生成!$AK105-41)*装备拆分数值生成!U$26)</f>
        <v>1191</v>
      </c>
      <c r="AS105">
        <f>INT(装备拆分数值生成!R$68+(装备拆分数值生成!$AK105-41)*装备拆分数值生成!R$32)</f>
        <v>4880</v>
      </c>
      <c r="AT105">
        <f>INT(装备拆分数值生成!S$68+(装备拆分数值生成!$AK105-41)*装备拆分数值生成!S$32)</f>
        <v>416</v>
      </c>
      <c r="AU105">
        <f>INT(装备拆分数值生成!R$74+(装备拆分数值生成!$AK105-41)*装备拆分数值生成!R$38)</f>
        <v>1220</v>
      </c>
      <c r="AV105">
        <f>INT(装备拆分数值生成!T$74+(装备拆分数值生成!$AK105-41)*装备拆分数值生成!T$38)</f>
        <v>1664</v>
      </c>
    </row>
    <row r="106" spans="1:48">
      <c r="A106">
        <v>4</v>
      </c>
      <c r="AK106">
        <v>49</v>
      </c>
      <c r="AL106" t="s">
        <v>482</v>
      </c>
      <c r="AM106">
        <f>INT(装备拆分数值生成!S$44+(装备拆分数值生成!$AK106-41)*装备拆分数值生成!S$8)</f>
        <v>1749</v>
      </c>
      <c r="AN106">
        <f>INT(装备拆分数值生成!T$44+(装备拆分数值生成!$AK106-41)*装备拆分数值生成!T$8)</f>
        <v>3498</v>
      </c>
      <c r="AO106">
        <f>INT(装备拆分数值生成!K$50+(装备拆分数值生成!$AK106-41)*装备拆分数值生成!K$14)</f>
        <v>6413</v>
      </c>
      <c r="AP106">
        <f>INT(装备拆分数值生成!N$56+(装备拆分数值生成!$AK106-41)*装备拆分数值生成!N$20)</f>
        <v>1669</v>
      </c>
      <c r="AQ106">
        <f>INT(装备拆分数值生成!T$62+(装备拆分数值生成!$AK106-41)*装备拆分数值生成!T$26)</f>
        <v>874</v>
      </c>
      <c r="AR106">
        <f>INT(装备拆分数值生成!U$62+(装备拆分数值生成!$AK106-41)*装备拆分数值生成!U$26)</f>
        <v>1252</v>
      </c>
      <c r="AS106">
        <f>INT(装备拆分数值生成!R$68+(装备拆分数值生成!$AK106-41)*装备拆分数值生成!R$32)</f>
        <v>5130</v>
      </c>
      <c r="AT106">
        <f>INT(装备拆分数值生成!S$68+(装备拆分数值生成!$AK106-41)*装备拆分数值生成!S$32)</f>
        <v>437</v>
      </c>
      <c r="AU106">
        <f>INT(装备拆分数值生成!R$74+(装备拆分数值生成!$AK106-41)*装备拆分数值生成!R$38)</f>
        <v>1282</v>
      </c>
      <c r="AV106">
        <f>INT(装备拆分数值生成!T$74+(装备拆分数值生成!$AK106-41)*装备拆分数值生成!T$38)</f>
        <v>1749</v>
      </c>
    </row>
    <row r="107" spans="1:48">
      <c r="A107">
        <v>5</v>
      </c>
      <c r="AK107">
        <v>50</v>
      </c>
      <c r="AL107" t="s">
        <v>483</v>
      </c>
      <c r="AM107">
        <f>INT(装备拆分数值生成!S$44+(装备拆分数值生成!$AK107-41)*装备拆分数值生成!S$8)</f>
        <v>1834</v>
      </c>
      <c r="AN107">
        <f>INT(装备拆分数值生成!T$44+(装备拆分数值生成!$AK107-41)*装备拆分数值生成!T$8)</f>
        <v>3668</v>
      </c>
      <c r="AO107">
        <f>INT(装备拆分数值生成!K$50+(装备拆分数值生成!$AK107-41)*装备拆分数值生成!K$14)</f>
        <v>6725</v>
      </c>
      <c r="AP107">
        <f>INT(装备拆分数值生成!N$56+(装备拆分数值生成!$AK107-41)*装备拆分数值生成!N$20)</f>
        <v>1750</v>
      </c>
      <c r="AQ107">
        <f>INT(装备拆分数值生成!T$62+(装备拆分数值生成!$AK107-41)*装备拆分数值生成!T$26)</f>
        <v>917</v>
      </c>
      <c r="AR107">
        <f>INT(装备拆分数值生成!U$62+(装备拆分数值生成!$AK107-41)*装备拆分数值生成!U$26)</f>
        <v>1313</v>
      </c>
      <c r="AS107">
        <f>INT(装备拆分数值生成!R$68+(装备拆分数值生成!$AK107-41)*装备拆分数值生成!R$32)</f>
        <v>5380</v>
      </c>
      <c r="AT107">
        <f>INT(装备拆分数值生成!S$68+(装备拆分数值生成!$AK107-41)*装备拆分数值生成!S$32)</f>
        <v>458</v>
      </c>
      <c r="AU107">
        <f>INT(装备拆分数值生成!R$74+(装备拆分数值生成!$AK107-41)*装备拆分数值生成!R$38)</f>
        <v>1345</v>
      </c>
      <c r="AV107">
        <f>INT(装备拆分数值生成!T$74+(装备拆分数值生成!$AK107-41)*装备拆分数值生成!T$38)</f>
        <v>1834</v>
      </c>
    </row>
    <row r="108" spans="1:48">
      <c r="A108">
        <v>6</v>
      </c>
    </row>
    <row r="109" spans="1:48">
      <c r="A109">
        <v>7</v>
      </c>
    </row>
    <row r="110" spans="1:48">
      <c r="A110">
        <v>8</v>
      </c>
      <c r="AL110" t="s">
        <v>489</v>
      </c>
      <c r="AM110" t="s">
        <v>450</v>
      </c>
      <c r="AO110" t="s">
        <v>465</v>
      </c>
      <c r="AP110" t="s">
        <v>467</v>
      </c>
      <c r="AQ110" t="s">
        <v>469</v>
      </c>
      <c r="AS110" t="s">
        <v>486</v>
      </c>
      <c r="AU110" t="s">
        <v>487</v>
      </c>
    </row>
    <row r="111" spans="1:48">
      <c r="A111">
        <v>9</v>
      </c>
      <c r="AM111" t="s">
        <v>463</v>
      </c>
      <c r="AN111" t="s">
        <v>464</v>
      </c>
      <c r="AO111" t="s">
        <v>466</v>
      </c>
      <c r="AP111" t="s">
        <v>468</v>
      </c>
      <c r="AQ111" t="s">
        <v>491</v>
      </c>
      <c r="AR111" t="s">
        <v>485</v>
      </c>
      <c r="AS111" t="s">
        <v>466</v>
      </c>
      <c r="AT111" t="s">
        <v>491</v>
      </c>
      <c r="AU111" t="s">
        <v>466</v>
      </c>
      <c r="AV111" t="s">
        <v>485</v>
      </c>
    </row>
    <row r="112" spans="1:48">
      <c r="A112" t="s">
        <v>303</v>
      </c>
      <c r="AK112">
        <v>1</v>
      </c>
      <c r="AL112" t="s">
        <v>456</v>
      </c>
      <c r="AM112">
        <f>INT(装备拆分数值生成!Z$40+(装备拆分数值生成!$AK112-1)*装备拆分数值生成!Z$4)</f>
        <v>102</v>
      </c>
      <c r="AN112">
        <f>INT(装备拆分数值生成!AA$40+(装备拆分数值生成!$AK112-1)*装备拆分数值生成!AA$4)</f>
        <v>102</v>
      </c>
      <c r="AO112">
        <f>INT(装备拆分数值生成!Y$46+(装备拆分数值生成!$AK112-1)*装备拆分数值生成!Y$10)</f>
        <v>436</v>
      </c>
      <c r="AP112">
        <f>INT(装备拆分数值生成!AB$52+(装备拆分数值生成!$AK112-1)*装备拆分数值生成!AB$16)</f>
        <v>106</v>
      </c>
      <c r="AR112">
        <f>INT(装备拆分数值生成!AB$58+(装备拆分数值生成!$AK112-1)*装备拆分数值生成!AB$22)</f>
        <v>79</v>
      </c>
      <c r="AS112">
        <f>INT(装备拆分数值生成!Y$64+(装备拆分数值生成!$AK112-1)*装备拆分数值生成!Y$28)</f>
        <v>272</v>
      </c>
      <c r="AU112">
        <f>INT(装备拆分数值生成!R$70+(装备拆分数值生成!$AK112-1)*装备拆分数值生成!R$34)</f>
        <v>54</v>
      </c>
      <c r="AV112">
        <f>INT(装备拆分数值生成!T$70+(装备拆分数值生成!$AK112-1)*装备拆分数值生成!T$34)</f>
        <v>74</v>
      </c>
    </row>
    <row r="113" spans="1:48">
      <c r="A113">
        <v>1</v>
      </c>
      <c r="AK113">
        <v>2</v>
      </c>
      <c r="AL113" t="s">
        <v>451</v>
      </c>
      <c r="AM113">
        <f>INT(装备拆分数值生成!Z$40+(装备拆分数值生成!$AK113-1)*装备拆分数值生成!Z$4)</f>
        <v>111</v>
      </c>
      <c r="AN113">
        <f>INT(装备拆分数值生成!AA$40+(装备拆分数值生成!$AK113-1)*装备拆分数值生成!AA$4)</f>
        <v>111</v>
      </c>
      <c r="AO113">
        <f>INT(装备拆分数值生成!Y$46+(装备拆分数值生成!$AK113-1)*装备拆分数值生成!Y$10)</f>
        <v>474</v>
      </c>
      <c r="AP113">
        <f>INT(装备拆分数值生成!AB$52+(装备拆分数值生成!$AK113-1)*装备拆分数值生成!AB$16)</f>
        <v>115</v>
      </c>
      <c r="AR113">
        <f>INT(装备拆分数值生成!AB$58+(装备拆分数值生成!$AK113-1)*装备拆分数值生成!AB$22)</f>
        <v>86</v>
      </c>
      <c r="AS113">
        <f>INT(装备拆分数值生成!Y$64+(装备拆分数值生成!$AK113-1)*装备拆分数值生成!Y$28)</f>
        <v>296</v>
      </c>
      <c r="AU113">
        <f>INT(装备拆分数值生成!R$70+(装备拆分数值生成!$AK113-1)*装备拆分数值生成!R$34)</f>
        <v>59</v>
      </c>
      <c r="AV113">
        <f>INT(装备拆分数值生成!T$70+(装备拆分数值生成!$AK113-1)*装备拆分数值生成!T$34)</f>
        <v>80</v>
      </c>
    </row>
    <row r="114" spans="1:48">
      <c r="A114">
        <v>2</v>
      </c>
      <c r="AK114">
        <v>3</v>
      </c>
      <c r="AL114" t="s">
        <v>192</v>
      </c>
      <c r="AM114">
        <f>INT(装备拆分数值生成!Z$40+(装备拆分数值生成!$AK114-1)*装备拆分数值生成!Z$4)</f>
        <v>120</v>
      </c>
      <c r="AN114">
        <f>INT(装备拆分数值生成!AA$40+(装备拆分数值生成!$AK114-1)*装备拆分数值生成!AA$4)</f>
        <v>120</v>
      </c>
      <c r="AO114">
        <f>INT(装备拆分数值生成!Y$46+(装备拆分数值生成!$AK114-1)*装备拆分数值生成!Y$10)</f>
        <v>511</v>
      </c>
      <c r="AP114">
        <f>INT(装备拆分数值生成!AB$52+(装备拆分数值生成!$AK114-1)*装备拆分数值生成!AB$16)</f>
        <v>124</v>
      </c>
      <c r="AR114">
        <f>INT(装备拆分数值生成!AB$58+(装备拆分数值生成!$AK114-1)*装备拆分数值生成!AB$22)</f>
        <v>93</v>
      </c>
      <c r="AS114">
        <f>INT(装备拆分数值生成!Y$64+(装备拆分数值生成!$AK114-1)*装备拆分数值生成!Y$28)</f>
        <v>319</v>
      </c>
      <c r="AU114">
        <f>INT(装备拆分数值生成!R$70+(装备拆分数值生成!$AK114-1)*装备拆分数值生成!R$34)</f>
        <v>63</v>
      </c>
      <c r="AV114">
        <f>INT(装备拆分数值生成!T$70+(装备拆分数值生成!$AK114-1)*装备拆分数值生成!T$34)</f>
        <v>87</v>
      </c>
    </row>
    <row r="115" spans="1:48">
      <c r="A115">
        <v>3</v>
      </c>
      <c r="AK115">
        <v>4</v>
      </c>
      <c r="AL115" t="s">
        <v>193</v>
      </c>
      <c r="AM115">
        <f>INT(装备拆分数值生成!Z$40+(装备拆分数值生成!$AK115-1)*装备拆分数值生成!Z$4)</f>
        <v>128</v>
      </c>
      <c r="AN115">
        <f>INT(装备拆分数值生成!AA$40+(装备拆分数值生成!$AK115-1)*装备拆分数值生成!AA$4)</f>
        <v>128</v>
      </c>
      <c r="AO115">
        <f>INT(装备拆分数值生成!Y$46+(装备拆分数值生成!$AK115-1)*装备拆分数值生成!Y$10)</f>
        <v>549</v>
      </c>
      <c r="AP115">
        <f>INT(装备拆分数值生成!AB$52+(装备拆分数值生成!$AK115-1)*装备拆分数值生成!AB$16)</f>
        <v>134</v>
      </c>
      <c r="AR115">
        <f>INT(装备拆分数值生成!AB$58+(装备拆分数值生成!$AK115-1)*装备拆分数值生成!AB$22)</f>
        <v>100</v>
      </c>
      <c r="AS115">
        <f>INT(装备拆分数值生成!Y$64+(装备拆分数值生成!$AK115-1)*装备拆分数值生成!Y$28)</f>
        <v>343</v>
      </c>
      <c r="AU115">
        <f>INT(装备拆分数值生成!R$70+(装备拆分数值生成!$AK115-1)*装备拆分数值生成!R$34)</f>
        <v>68</v>
      </c>
      <c r="AV115">
        <f>INT(装备拆分数值生成!T$70+(装备拆分数值生成!$AK115-1)*装备拆分数值生成!T$34)</f>
        <v>93</v>
      </c>
    </row>
    <row r="116" spans="1:48">
      <c r="A116">
        <v>4</v>
      </c>
      <c r="AK116">
        <v>5</v>
      </c>
      <c r="AL116" t="s">
        <v>194</v>
      </c>
      <c r="AM116">
        <f>INT(装备拆分数值生成!Z$40+(装备拆分数值生成!$AK116-1)*装备拆分数值生成!Z$4)</f>
        <v>137</v>
      </c>
      <c r="AN116">
        <f>INT(装备拆分数值生成!AA$40+(装备拆分数值生成!$AK116-1)*装备拆分数值生成!AA$4)</f>
        <v>137</v>
      </c>
      <c r="AO116">
        <f>INT(装备拆分数值生成!Y$46+(装备拆分数值生成!$AK116-1)*装备拆分数值生成!Y$10)</f>
        <v>587</v>
      </c>
      <c r="AP116">
        <f>INT(装备拆分数值生成!AB$52+(装备拆分数值生成!$AK116-1)*装备拆分数值生成!AB$16)</f>
        <v>143</v>
      </c>
      <c r="AR116">
        <f>INT(装备拆分数值生成!AB$58+(装备拆分数值生成!$AK116-1)*装备拆分数值生成!AB$22)</f>
        <v>107</v>
      </c>
      <c r="AS116">
        <f>INT(装备拆分数值生成!Y$64+(装备拆分数值生成!$AK116-1)*装备拆分数值生成!Y$28)</f>
        <v>366</v>
      </c>
      <c r="AU116">
        <f>INT(装备拆分数值生成!R$70+(装备拆分数值生成!$AK116-1)*装备拆分数值生成!R$34)</f>
        <v>73</v>
      </c>
      <c r="AV116">
        <f>INT(装备拆分数值生成!T$70+(装备拆分数值生成!$AK116-1)*装备拆分数值生成!T$34)</f>
        <v>100</v>
      </c>
    </row>
    <row r="117" spans="1:48">
      <c r="A117">
        <v>5</v>
      </c>
      <c r="AK117">
        <v>6</v>
      </c>
      <c r="AL117" t="s">
        <v>195</v>
      </c>
      <c r="AM117">
        <f>INT(装备拆分数值生成!Z$40+(装备拆分数值生成!$AK117-1)*装备拆分数值生成!Z$4)</f>
        <v>146</v>
      </c>
      <c r="AN117">
        <f>INT(装备拆分数值生成!AA$40+(装备拆分数值生成!$AK117-1)*装备拆分数值生成!AA$4)</f>
        <v>146</v>
      </c>
      <c r="AO117">
        <f>INT(装备拆分数值生成!Y$46+(装备拆分数值生成!$AK117-1)*装备拆分数值生成!Y$10)</f>
        <v>624</v>
      </c>
      <c r="AP117">
        <f>INT(装备拆分数值生成!AB$52+(装备拆分数值生成!$AK117-1)*装备拆分数值生成!AB$16)</f>
        <v>152</v>
      </c>
      <c r="AR117">
        <f>INT(装备拆分数值生成!AB$58+(装备拆分数值生成!$AK117-1)*装备拆分数值生成!AB$22)</f>
        <v>114</v>
      </c>
      <c r="AS117">
        <f>INT(装备拆分数值生成!Y$64+(装备拆分数值生成!$AK117-1)*装备拆分数值生成!Y$28)</f>
        <v>390</v>
      </c>
      <c r="AU117">
        <f>INT(装备拆分数值生成!R$70+(装备拆分数值生成!$AK117-1)*装备拆分数值生成!R$34)</f>
        <v>78</v>
      </c>
      <c r="AV117">
        <f>INT(装备拆分数值生成!T$70+(装备拆分数值生成!$AK117-1)*装备拆分数值生成!T$34)</f>
        <v>106</v>
      </c>
    </row>
    <row r="118" spans="1:48">
      <c r="A118">
        <v>6</v>
      </c>
      <c r="AK118">
        <v>7</v>
      </c>
      <c r="AL118" t="s">
        <v>196</v>
      </c>
      <c r="AM118">
        <f>INT(装备拆分数值生成!Z$40+(装备拆分数值生成!$AK118-1)*装备拆分数值生成!Z$4)</f>
        <v>155</v>
      </c>
      <c r="AN118">
        <f>INT(装备拆分数值生成!AA$40+(装备拆分数值生成!$AK118-1)*装备拆分数值生成!AA$4)</f>
        <v>155</v>
      </c>
      <c r="AO118">
        <f>INT(装备拆分数值生成!Y$46+(装备拆分数值生成!$AK118-1)*装备拆分数值生成!Y$10)</f>
        <v>662</v>
      </c>
      <c r="AP118">
        <f>INT(装备拆分数值生成!AB$52+(装备拆分数值生成!$AK118-1)*装备拆分数值生成!AB$16)</f>
        <v>161</v>
      </c>
      <c r="AR118">
        <f>INT(装备拆分数值生成!AB$58+(装备拆分数值生成!$AK118-1)*装备拆分数值生成!AB$22)</f>
        <v>121</v>
      </c>
      <c r="AS118">
        <f>INT(装备拆分数值生成!Y$64+(装备拆分数值生成!$AK118-1)*装备拆分数值生成!Y$28)</f>
        <v>414</v>
      </c>
      <c r="AU118">
        <f>INT(装备拆分数值生成!R$70+(装备拆分数值生成!$AK118-1)*装备拆分数值生成!R$34)</f>
        <v>82</v>
      </c>
      <c r="AV118">
        <f>INT(装备拆分数值生成!T$70+(装备拆分数值生成!$AK118-1)*装备拆分数值生成!T$34)</f>
        <v>113</v>
      </c>
    </row>
    <row r="119" spans="1:48">
      <c r="A119">
        <v>7</v>
      </c>
      <c r="AK119">
        <v>8</v>
      </c>
      <c r="AL119" t="s">
        <v>452</v>
      </c>
      <c r="AM119">
        <f>INT(装备拆分数值生成!Z$40+(装备拆分数值生成!$AK119-1)*装备拆分数值生成!Z$4)</f>
        <v>164</v>
      </c>
      <c r="AN119">
        <f>INT(装备拆分数值生成!AA$40+(装备拆分数值生成!$AK119-1)*装备拆分数值生成!AA$4)</f>
        <v>164</v>
      </c>
      <c r="AO119">
        <f>INT(装备拆分数值生成!Y$46+(装备拆分数值生成!$AK119-1)*装备拆分数值生成!Y$10)</f>
        <v>700</v>
      </c>
      <c r="AP119">
        <f>INT(装备拆分数值生成!AB$52+(装备拆分数值生成!$AK119-1)*装备拆分数值生成!AB$16)</f>
        <v>170</v>
      </c>
      <c r="AR119">
        <f>INT(装备拆分数值生成!AB$58+(装备拆分数值生成!$AK119-1)*装备拆分数值生成!AB$22)</f>
        <v>128</v>
      </c>
      <c r="AS119">
        <f>INT(装备拆分数值生成!Y$64+(装备拆分数值生成!$AK119-1)*装备拆分数值生成!Y$28)</f>
        <v>437</v>
      </c>
      <c r="AU119">
        <f>INT(装备拆分数值生成!R$70+(装备拆分数值生成!$AK119-1)*装备拆分数值生成!R$34)</f>
        <v>87</v>
      </c>
      <c r="AV119">
        <f>INT(装备拆分数值生成!T$70+(装备拆分数值生成!$AK119-1)*装备拆分数值生成!T$34)</f>
        <v>119</v>
      </c>
    </row>
    <row r="120" spans="1:48">
      <c r="A120">
        <v>8</v>
      </c>
      <c r="AK120">
        <v>9</v>
      </c>
      <c r="AL120" t="s">
        <v>453</v>
      </c>
      <c r="AM120">
        <f>INT(装备拆分数值生成!Z$40+(装备拆分数值生成!$AK120-1)*装备拆分数值生成!Z$4)</f>
        <v>173</v>
      </c>
      <c r="AN120">
        <f>INT(装备拆分数值生成!AA$40+(装备拆分数值生成!$AK120-1)*装备拆分数值生成!AA$4)</f>
        <v>173</v>
      </c>
      <c r="AO120">
        <f>INT(装备拆分数值生成!Y$46+(装备拆分数值生成!$AK120-1)*装备拆分数值生成!Y$10)</f>
        <v>737</v>
      </c>
      <c r="AP120">
        <f>INT(装备拆分数值生成!AB$52+(装备拆分数值生成!$AK120-1)*装备拆分数值生成!AB$16)</f>
        <v>180</v>
      </c>
      <c r="AR120">
        <f>INT(装备拆分数值生成!AB$58+(装备拆分数值生成!$AK120-1)*装备拆分数值生成!AB$22)</f>
        <v>135</v>
      </c>
      <c r="AS120">
        <f>INT(装备拆分数值生成!Y$64+(装备拆分数值生成!$AK120-1)*装备拆分数值生成!Y$28)</f>
        <v>461</v>
      </c>
      <c r="AU120">
        <f>INT(装备拆分数值生成!R$70+(装备拆分数值生成!$AK120-1)*装备拆分数值生成!R$34)</f>
        <v>92</v>
      </c>
      <c r="AV120">
        <f>INT(装备拆分数值生成!T$70+(装备拆分数值生成!$AK120-1)*装备拆分数值生成!T$34)</f>
        <v>125</v>
      </c>
    </row>
    <row r="121" spans="1:48">
      <c r="A121">
        <v>9</v>
      </c>
      <c r="AK121">
        <v>10</v>
      </c>
      <c r="AL121" t="s">
        <v>454</v>
      </c>
      <c r="AM121">
        <f>INT(装备拆分数值生成!Z$40+(装备拆分数值生成!$AK121-1)*装备拆分数值生成!Z$4)</f>
        <v>182</v>
      </c>
      <c r="AN121">
        <f>INT(装备拆分数值生成!AA$40+(装备拆分数值生成!$AK121-1)*装备拆分数值生成!AA$4)</f>
        <v>182</v>
      </c>
      <c r="AO121">
        <f>INT(装备拆分数值生成!Y$46+(装备拆分数值生成!$AK121-1)*装备拆分数值生成!Y$10)</f>
        <v>775</v>
      </c>
      <c r="AP121">
        <f>INT(装备拆分数值生成!AB$52+(装备拆分数值生成!$AK121-1)*装备拆分数值生成!AB$16)</f>
        <v>189</v>
      </c>
      <c r="AR121">
        <f>INT(装备拆分数值生成!AB$58+(装备拆分数值生成!$AK121-1)*装备拆分数值生成!AB$22)</f>
        <v>141</v>
      </c>
      <c r="AS121">
        <f>INT(装备拆分数值生成!Y$64+(装备拆分数值生成!$AK121-1)*装备拆分数值生成!Y$28)</f>
        <v>484</v>
      </c>
      <c r="AU121">
        <f>INT(装备拆分数值生成!R$70+(装备拆分数值生成!$AK121-1)*装备拆分数值生成!R$34)</f>
        <v>96</v>
      </c>
      <c r="AV121">
        <f>INT(装备拆分数值生成!T$70+(装备拆分数值生成!$AK121-1)*装备拆分数值生成!T$34)</f>
        <v>132</v>
      </c>
    </row>
    <row r="122" spans="1:48">
      <c r="A122" t="s">
        <v>290</v>
      </c>
      <c r="AK122">
        <v>11</v>
      </c>
      <c r="AL122" t="s">
        <v>455</v>
      </c>
      <c r="AM122">
        <f>INT(装备拆分数值生成!Z$41+(装备拆分数值生成!$AK122-11)*装备拆分数值生成!Z$5)</f>
        <v>192</v>
      </c>
      <c r="AN122">
        <f>INT(装备拆分数值生成!AA$41+(装备拆分数值生成!$AK122-11)*装备拆分数值生成!AA$5)</f>
        <v>192</v>
      </c>
      <c r="AO122">
        <f>INT(装备拆分数值生成!Y$47+(装备拆分数值生成!$AK122-11)*装备拆分数值生成!Y$11)</f>
        <v>822</v>
      </c>
      <c r="AP122">
        <f>INT(装备拆分数值生成!AB$53+(装备拆分数值生成!$AK122-11)*装备拆分数值生成!AB$17)</f>
        <v>200</v>
      </c>
      <c r="AR122">
        <f>INT(装备拆分数值生成!AB$59+(装备拆分数值生成!$AK122-11)*装备拆分数值生成!AB$23)</f>
        <v>150</v>
      </c>
      <c r="AS122">
        <f>INT(装备拆分数值生成!Y$65+(装备拆分数值生成!$AK122-11)*装备拆分数值生成!Y$29)</f>
        <v>514</v>
      </c>
      <c r="AU122">
        <f>INT(装备拆分数值生成!R$71+(装备拆分数值生成!$AK122-11)*装备拆分数值生成!R$35)</f>
        <v>102</v>
      </c>
      <c r="AV122">
        <f>INT(装备拆分数值生成!T$71+(装备拆分数值生成!$AK122-11)*装备拆分数值生成!T$35)</f>
        <v>140</v>
      </c>
    </row>
    <row r="123" spans="1:48">
      <c r="A123">
        <v>1</v>
      </c>
      <c r="AK123">
        <v>12</v>
      </c>
      <c r="AL123" t="s">
        <v>457</v>
      </c>
      <c r="AM123">
        <f>INT(装备拆分数值生成!Z$41+(装备拆分数值生成!$AK123-11)*装备拆分数值生成!Z$5)</f>
        <v>206</v>
      </c>
      <c r="AN123">
        <f>INT(装备拆分数值生成!AA$41+(装备拆分数值生成!$AK123-11)*装备拆分数值生成!AA$5)</f>
        <v>206</v>
      </c>
      <c r="AO123">
        <f>INT(装备拆分数值生成!Y$47+(装备拆分数值生成!$AK123-11)*装备拆分数值生成!Y$11)</f>
        <v>880</v>
      </c>
      <c r="AP123">
        <f>INT(装备拆分数值生成!AB$53+(装备拆分数值生成!$AK123-11)*装备拆分数值生成!AB$17)</f>
        <v>214</v>
      </c>
      <c r="AR123">
        <f>INT(装备拆分数值生成!AB$59+(装备拆分数值生成!$AK123-11)*装备拆分数值生成!AB$23)</f>
        <v>161</v>
      </c>
      <c r="AS123">
        <f>INT(装备拆分数值生成!Y$65+(装备拆分数值生成!$AK123-11)*装备拆分数值生成!Y$29)</f>
        <v>550</v>
      </c>
      <c r="AU123">
        <f>INT(装备拆分数值生成!R$71+(装备拆分数值生成!$AK123-11)*装备拆分数值生成!R$35)</f>
        <v>110</v>
      </c>
      <c r="AV123">
        <f>INT(装备拆分数值生成!T$71+(装备拆分数值生成!$AK123-11)*装备拆分数值生成!T$35)</f>
        <v>150</v>
      </c>
    </row>
    <row r="124" spans="1:48">
      <c r="A124">
        <v>2</v>
      </c>
      <c r="AK124">
        <v>13</v>
      </c>
      <c r="AL124" t="s">
        <v>198</v>
      </c>
      <c r="AM124">
        <f>INT(装备拆分数值生成!Z$41+(装备拆分数值生成!$AK124-11)*装备拆分数值生成!Z$5)</f>
        <v>219</v>
      </c>
      <c r="AN124">
        <f>INT(装备拆分数值生成!AA$41+(装备拆分数值生成!$AK124-11)*装备拆分数值生成!AA$5)</f>
        <v>219</v>
      </c>
      <c r="AO124">
        <f>INT(装备拆分数值生成!Y$47+(装备拆分数值生成!$AK124-11)*装备拆分数值生成!Y$11)</f>
        <v>938</v>
      </c>
      <c r="AP124">
        <f>INT(装备拆分数值生成!AB$53+(装备拆分数值生成!$AK124-11)*装备拆分数值生成!AB$17)</f>
        <v>228</v>
      </c>
      <c r="AR124">
        <f>INT(装备拆分数值生成!AB$59+(装备拆分数值生成!$AK124-11)*装备拆分数值生成!AB$23)</f>
        <v>171</v>
      </c>
      <c r="AS124">
        <f>INT(装备拆分数值生成!Y$65+(装备拆分数值生成!$AK124-11)*装备拆分数值生成!Y$29)</f>
        <v>586</v>
      </c>
      <c r="AU124">
        <f>INT(装备拆分数值生成!R$71+(装备拆分数值生成!$AK124-11)*装备拆分数值生成!R$35)</f>
        <v>117</v>
      </c>
      <c r="AV124">
        <f>INT(装备拆分数值生成!T$71+(装备拆分数值生成!$AK124-11)*装备拆分数值生成!T$35)</f>
        <v>159</v>
      </c>
    </row>
    <row r="125" spans="1:48">
      <c r="A125">
        <v>3</v>
      </c>
      <c r="AK125">
        <v>14</v>
      </c>
      <c r="AL125" t="s">
        <v>199</v>
      </c>
      <c r="AM125">
        <f>INT(装备拆分数值生成!Z$41+(装备拆分数值生成!$AK125-11)*装备拆分数值生成!Z$5)</f>
        <v>233</v>
      </c>
      <c r="AN125">
        <f>INT(装备拆分数值生成!AA$41+(装备拆分数值生成!$AK125-11)*装备拆分数值生成!AA$5)</f>
        <v>233</v>
      </c>
      <c r="AO125">
        <f>INT(装备拆分数值生成!Y$47+(装备拆分数值生成!$AK125-11)*装备拆分数值生成!Y$11)</f>
        <v>996</v>
      </c>
      <c r="AP125">
        <f>INT(装备拆分数值生成!AB$53+(装备拆分数值生成!$AK125-11)*装备拆分数值生成!AB$17)</f>
        <v>243</v>
      </c>
      <c r="AR125">
        <f>INT(装备拆分数值生成!AB$59+(装备拆分数值生成!$AK125-11)*装备拆分数值生成!AB$23)</f>
        <v>182</v>
      </c>
      <c r="AS125">
        <f>INT(装备拆分数值生成!Y$65+(装备拆分数值生成!$AK125-11)*装备拆分数值生成!Y$29)</f>
        <v>622</v>
      </c>
      <c r="AU125">
        <f>INT(装备拆分数值生成!R$71+(装备拆分数值生成!$AK125-11)*装备拆分数值生成!R$35)</f>
        <v>124</v>
      </c>
      <c r="AV125">
        <f>INT(装备拆分数值生成!T$71+(装备拆分数值生成!$AK125-11)*装备拆分数值生成!T$35)</f>
        <v>169</v>
      </c>
    </row>
    <row r="126" spans="1:48">
      <c r="A126">
        <v>4</v>
      </c>
      <c r="AK126">
        <v>15</v>
      </c>
      <c r="AL126" t="s">
        <v>200</v>
      </c>
      <c r="AM126">
        <f>INT(装备拆分数值生成!Z$41+(装备拆分数值生成!$AK126-11)*装备拆分数值生成!Z$5)</f>
        <v>247</v>
      </c>
      <c r="AN126">
        <f>INT(装备拆分数值生成!AA$41+(装备拆分数值生成!$AK126-11)*装备拆分数值生成!AA$5)</f>
        <v>247</v>
      </c>
      <c r="AO126">
        <f>INT(装备拆分数值生成!Y$47+(装备拆分数值生成!$AK126-11)*装备拆分数值生成!Y$11)</f>
        <v>1053</v>
      </c>
      <c r="AP126">
        <f>INT(装备拆分数值生成!AB$53+(装备拆分数值生成!$AK126-11)*装备拆分数值生成!AB$17)</f>
        <v>257</v>
      </c>
      <c r="AR126">
        <f>INT(装备拆分数值生成!AB$59+(装备拆分数值生成!$AK126-11)*装备拆分数值生成!AB$23)</f>
        <v>192</v>
      </c>
      <c r="AS126">
        <f>INT(装备拆分数值生成!Y$65+(装备拆分数值生成!$AK126-11)*装备拆分数值生成!Y$29)</f>
        <v>658</v>
      </c>
      <c r="AU126">
        <f>INT(装备拆分数值生成!R$71+(装备拆分数值生成!$AK126-11)*装备拆分数值生成!R$35)</f>
        <v>131</v>
      </c>
      <c r="AV126">
        <f>INT(装备拆分数值生成!T$71+(装备拆分数值生成!$AK126-11)*装备拆分数值生成!T$35)</f>
        <v>179</v>
      </c>
    </row>
    <row r="127" spans="1:48">
      <c r="A127">
        <v>5</v>
      </c>
      <c r="AK127">
        <v>16</v>
      </c>
      <c r="AL127" t="s">
        <v>201</v>
      </c>
      <c r="AM127">
        <f>INT(装备拆分数值生成!Z$41+(装备拆分数值生成!$AK127-11)*装备拆分数值生成!Z$5)</f>
        <v>260</v>
      </c>
      <c r="AN127">
        <f>INT(装备拆分数值生成!AA$41+(装备拆分数值生成!$AK127-11)*装备拆分数值生成!AA$5)</f>
        <v>260</v>
      </c>
      <c r="AO127">
        <f>INT(装备拆分数值生成!Y$47+(装备拆分数值生成!$AK127-11)*装备拆分数值生成!Y$11)</f>
        <v>1111</v>
      </c>
      <c r="AP127">
        <f>INT(装备拆分数值生成!AB$53+(装备拆分数值生成!$AK127-11)*装备拆分数值生成!AB$17)</f>
        <v>271</v>
      </c>
      <c r="AR127">
        <f>INT(装备拆分数值生成!AB$59+(装备拆分数值生成!$AK127-11)*装备拆分数值生成!AB$23)</f>
        <v>203</v>
      </c>
      <c r="AS127">
        <f>INT(装备拆分数值生成!Y$65+(装备拆分数值生成!$AK127-11)*装备拆分数值生成!Y$29)</f>
        <v>694</v>
      </c>
      <c r="AU127">
        <f>INT(装备拆分数值生成!R$71+(装备拆分数值生成!$AK127-11)*装备拆分数值生成!R$35)</f>
        <v>138</v>
      </c>
      <c r="AV127">
        <f>INT(装备拆分数值生成!T$71+(装备拆分数值生成!$AK127-11)*装备拆分数值生成!T$35)</f>
        <v>189</v>
      </c>
    </row>
    <row r="128" spans="1:48">
      <c r="A128">
        <v>6</v>
      </c>
      <c r="AK128">
        <v>17</v>
      </c>
      <c r="AL128" t="s">
        <v>202</v>
      </c>
      <c r="AM128">
        <f>INT(装备拆分数值生成!Z$41+(装备拆分数值生成!$AK128-11)*装备拆分数值生成!Z$5)</f>
        <v>274</v>
      </c>
      <c r="AN128">
        <f>INT(装备拆分数值生成!AA$41+(装备拆分数值生成!$AK128-11)*装备拆分数值生成!AA$5)</f>
        <v>274</v>
      </c>
      <c r="AO128">
        <f>INT(装备拆分数值生成!Y$47+(装备拆分数值生成!$AK128-11)*装备拆分数值生成!Y$11)</f>
        <v>1169</v>
      </c>
      <c r="AP128">
        <f>INT(装备拆分数值生成!AB$53+(装备拆分数值生成!$AK128-11)*装备拆分数值生成!AB$17)</f>
        <v>285</v>
      </c>
      <c r="AR128">
        <f>INT(装备拆分数值生成!AB$59+(装备拆分数值生成!$AK128-11)*装备拆分数值生成!AB$23)</f>
        <v>214</v>
      </c>
      <c r="AS128">
        <f>INT(装备拆分数值生成!Y$65+(装备拆分数值生成!$AK128-11)*装备拆分数值生成!Y$29)</f>
        <v>731</v>
      </c>
      <c r="AU128">
        <f>INT(装备拆分数值生成!R$71+(装备拆分数值生成!$AK128-11)*装备拆分数值生成!R$35)</f>
        <v>146</v>
      </c>
      <c r="AV128">
        <f>INT(装备拆分数值生成!T$71+(装备拆分数值生成!$AK128-11)*装备拆分数值生成!T$35)</f>
        <v>199</v>
      </c>
    </row>
    <row r="129" spans="1:48">
      <c r="A129">
        <v>7</v>
      </c>
      <c r="AK129">
        <v>18</v>
      </c>
      <c r="AL129" t="s">
        <v>458</v>
      </c>
      <c r="AM129">
        <f>INT(装备拆分数值生成!Z$41+(装备拆分数值生成!$AK129-11)*装备拆分数值生成!Z$5)</f>
        <v>287</v>
      </c>
      <c r="AN129">
        <f>INT(装备拆分数值生成!AA$41+(装备拆分数值生成!$AK129-11)*装备拆分数值生成!AA$5)</f>
        <v>287</v>
      </c>
      <c r="AO129">
        <f>INT(装备拆分数值生成!Y$47+(装备拆分数值生成!$AK129-11)*装备拆分数值生成!Y$11)</f>
        <v>1227</v>
      </c>
      <c r="AP129">
        <f>INT(装备拆分数值生成!AB$53+(装备拆分数值生成!$AK129-11)*装备拆分数值生成!AB$17)</f>
        <v>299</v>
      </c>
      <c r="AR129">
        <f>INT(装备拆分数值生成!AB$59+(装备拆分数值生成!$AK129-11)*装备拆分数值生成!AB$23)</f>
        <v>224</v>
      </c>
      <c r="AS129">
        <f>INT(装备拆分数值生成!Y$65+(装备拆分数值生成!$AK129-11)*装备拆分数值生成!Y$29)</f>
        <v>767</v>
      </c>
      <c r="AU129">
        <f>INT(装备拆分数值生成!R$71+(装备拆分数值生成!$AK129-11)*装备拆分数值生成!R$35)</f>
        <v>153</v>
      </c>
      <c r="AV129">
        <f>INT(装备拆分数值生成!T$71+(装备拆分数值生成!$AK129-11)*装备拆分数值生成!T$35)</f>
        <v>209</v>
      </c>
    </row>
    <row r="130" spans="1:48">
      <c r="A130">
        <v>8</v>
      </c>
      <c r="AK130">
        <v>19</v>
      </c>
      <c r="AL130" t="s">
        <v>459</v>
      </c>
      <c r="AM130">
        <f>INT(装备拆分数值生成!Z$41+(装备拆分数值生成!$AK130-11)*装备拆分数值生成!Z$5)</f>
        <v>301</v>
      </c>
      <c r="AN130">
        <f>INT(装备拆分数值生成!AA$41+(装备拆分数值生成!$AK130-11)*装备拆分数值生成!AA$5)</f>
        <v>301</v>
      </c>
      <c r="AO130">
        <f>INT(装备拆分数值生成!Y$47+(装备拆分数值生成!$AK130-11)*装备拆分数值生成!Y$11)</f>
        <v>1285</v>
      </c>
      <c r="AP130">
        <f>INT(装备拆分数值生成!AB$53+(装备拆分数值生成!$AK130-11)*装备拆分数值生成!AB$17)</f>
        <v>313</v>
      </c>
      <c r="AR130">
        <f>INT(装备拆分数值生成!AB$59+(装备拆分数值生成!$AK130-11)*装备拆分数值生成!AB$23)</f>
        <v>235</v>
      </c>
      <c r="AS130">
        <f>INT(装备拆分数值生成!Y$65+(装备拆分数值生成!$AK130-11)*装备拆分数值生成!Y$29)</f>
        <v>803</v>
      </c>
      <c r="AU130">
        <f>INT(装备拆分数值生成!R$71+(装备拆分数值生成!$AK130-11)*装备拆分数值生成!R$35)</f>
        <v>160</v>
      </c>
      <c r="AV130">
        <f>INT(装备拆分数值生成!T$71+(装备拆分数值生成!$AK130-11)*装备拆分数值生成!T$35)</f>
        <v>219</v>
      </c>
    </row>
    <row r="131" spans="1:48">
      <c r="A131">
        <v>9</v>
      </c>
      <c r="AK131">
        <v>20</v>
      </c>
      <c r="AL131" t="s">
        <v>460</v>
      </c>
      <c r="AM131">
        <f>INT(装备拆分数值生成!Z$41+(装备拆分数值生成!$AK131-11)*装备拆分数值生成!Z$5)</f>
        <v>314</v>
      </c>
      <c r="AN131">
        <f>INT(装备拆分数值生成!AA$41+(装备拆分数值生成!$AK131-11)*装备拆分数值生成!AA$5)</f>
        <v>314</v>
      </c>
      <c r="AO131">
        <f>INT(装备拆分数值生成!Y$47+(装备拆分数值生成!$AK131-11)*装备拆分数值生成!Y$11)</f>
        <v>1343</v>
      </c>
      <c r="AP131">
        <f>INT(装备拆分数值生成!AB$53+(装备拆分数值生成!$AK131-11)*装备拆分数值生成!AB$17)</f>
        <v>327</v>
      </c>
      <c r="AR131">
        <f>INT(装备拆分数值生成!AB$59+(装备拆分数值生成!$AK131-11)*装备拆分数值生成!AB$23)</f>
        <v>245</v>
      </c>
      <c r="AS131">
        <f>INT(装备拆分数值生成!Y$65+(装备拆分数值生成!$AK131-11)*装备拆分数值生成!Y$29)</f>
        <v>839</v>
      </c>
      <c r="AU131">
        <f>INT(装备拆分数值生成!R$71+(装备拆分数值生成!$AK131-11)*装备拆分数值生成!R$35)</f>
        <v>167</v>
      </c>
      <c r="AV131">
        <f>INT(装备拆分数值生成!T$71+(装备拆分数值生成!$AK131-11)*装备拆分数值生成!T$35)</f>
        <v>229</v>
      </c>
    </row>
    <row r="132" spans="1:48">
      <c r="A132" t="s">
        <v>291</v>
      </c>
      <c r="AK132">
        <v>21</v>
      </c>
      <c r="AL132" t="s">
        <v>462</v>
      </c>
      <c r="AM132">
        <f>INT(装备拆分数值生成!Z$42+(装备拆分数值生成!$AK132-21)*装备拆分数值生成!Z$6)</f>
        <v>346</v>
      </c>
      <c r="AN132">
        <f>INT(装备拆分数值生成!AA$42+(装备拆分数值生成!$AK132-21)*装备拆分数值生成!AA$6)</f>
        <v>346</v>
      </c>
      <c r="AO132">
        <f>INT(装备拆分数值生成!Y$48+(装备拆分数值生成!$AK132-21)*装备拆分数值生成!Y$12)</f>
        <v>1477</v>
      </c>
      <c r="AP132">
        <f>INT(装备拆分数值生成!AB$54+(装备拆分数值生成!$AK132-21)*装备拆分数值生成!AB$18)</f>
        <v>360</v>
      </c>
      <c r="AR132">
        <f>INT(装备拆分数值生成!AB$60+(装备拆分数值生成!$AK132-21)*装备拆分数值生成!AB$24)</f>
        <v>270</v>
      </c>
      <c r="AS132">
        <f>INT(装备拆分数值生成!Y$66+(装备拆分数值生成!$AK132-21)*装备拆分数值生成!Y$30)</f>
        <v>923</v>
      </c>
      <c r="AU132">
        <f>INT(装备拆分数值生成!R$72+(装备拆分数值生成!$AK132-21)*装备拆分数值生成!R$36)</f>
        <v>184</v>
      </c>
      <c r="AV132">
        <f>INT(装备拆分数值生成!T$72+(装备拆分数值生成!$AK132-21)*装备拆分数值生成!T$36)</f>
        <v>251</v>
      </c>
    </row>
    <row r="133" spans="1:48">
      <c r="A133">
        <v>1</v>
      </c>
      <c r="AK133">
        <v>22</v>
      </c>
      <c r="AL133" t="s">
        <v>470</v>
      </c>
      <c r="AM133">
        <f>INT(装备拆分数值生成!Z$42+(装备拆分数值生成!$AK133-21)*装备拆分数值生成!Z$6)</f>
        <v>367</v>
      </c>
      <c r="AN133">
        <f>INT(装备拆分数值生成!AA$42+(装备拆分数值生成!$AK133-21)*装备拆分数值生成!AA$6)</f>
        <v>367</v>
      </c>
      <c r="AO133">
        <f>INT(装备拆分数值生成!Y$48+(装备拆分数值生成!$AK133-21)*装备拆分数值生成!Y$12)</f>
        <v>1567</v>
      </c>
      <c r="AP133">
        <f>INT(装备拆分数值生成!AB$54+(装备拆分数值生成!$AK133-21)*装备拆分数值生成!AB$18)</f>
        <v>382</v>
      </c>
      <c r="AR133">
        <f>INT(装备拆分数值生成!AB$60+(装备拆分数值生成!$AK133-21)*装备拆分数值生成!AB$24)</f>
        <v>286</v>
      </c>
      <c r="AS133">
        <f>INT(装备拆分数值生成!Y$66+(装备拆分数值生成!$AK133-21)*装备拆分数值生成!Y$30)</f>
        <v>979</v>
      </c>
      <c r="AU133">
        <f>INT(装备拆分数值生成!R$72+(装备拆分数值生成!$AK133-21)*装备拆分数值生成!R$36)</f>
        <v>195</v>
      </c>
      <c r="AV133">
        <f>INT(装备拆分数值生成!T$72+(装备拆分数值生成!$AK133-21)*装备拆分数值生成!T$36)</f>
        <v>267</v>
      </c>
    </row>
    <row r="134" spans="1:48">
      <c r="A134">
        <v>2</v>
      </c>
      <c r="AK134">
        <v>23</v>
      </c>
      <c r="AL134" t="s">
        <v>204</v>
      </c>
      <c r="AM134">
        <f>INT(装备拆分数值生成!Z$42+(装备拆分数值生成!$AK134-21)*装备拆分数值生成!Z$6)</f>
        <v>388</v>
      </c>
      <c r="AN134">
        <f>INT(装备拆分数值生成!AA$42+(装备拆分数值生成!$AK134-21)*装备拆分数值生成!AA$6)</f>
        <v>388</v>
      </c>
      <c r="AO134">
        <f>INT(装备拆分数值生成!Y$48+(装备拆分数值生成!$AK134-21)*装备拆分数值生成!Y$12)</f>
        <v>1658</v>
      </c>
      <c r="AP134">
        <f>INT(装备拆分数值生成!AB$54+(装备拆分数值生成!$AK134-21)*装备拆分数值生成!AB$18)</f>
        <v>404</v>
      </c>
      <c r="AR134">
        <f>INT(装备拆分数值生成!AB$60+(装备拆分数值生成!$AK134-21)*装备拆分数值生成!AB$24)</f>
        <v>303</v>
      </c>
      <c r="AS134">
        <f>INT(装备拆分数值生成!Y$66+(装备拆分数值生成!$AK134-21)*装备拆分数值生成!Y$30)</f>
        <v>1036</v>
      </c>
      <c r="AU134">
        <f>INT(装备拆分数值生成!R$72+(装备拆分数值生成!$AK134-21)*装备拆分数值生成!R$36)</f>
        <v>207</v>
      </c>
      <c r="AV134">
        <f>INT(装备拆分数值生成!T$72+(装备拆分数值生成!$AK134-21)*装备拆分数值生成!T$36)</f>
        <v>282</v>
      </c>
    </row>
    <row r="135" spans="1:48">
      <c r="A135">
        <v>3</v>
      </c>
      <c r="AK135">
        <v>24</v>
      </c>
      <c r="AL135" t="s">
        <v>205</v>
      </c>
      <c r="AM135">
        <f>INT(装备拆分数值生成!Z$42+(装备拆分数值生成!$AK135-21)*装备拆分数值生成!Z$6)</f>
        <v>410</v>
      </c>
      <c r="AN135">
        <f>INT(装备拆分数值生成!AA$42+(装备拆分数值生成!$AK135-21)*装备拆分数值生成!AA$6)</f>
        <v>410</v>
      </c>
      <c r="AO135">
        <f>INT(装备拆分数值生成!Y$48+(装备拆分数值生成!$AK135-21)*装备拆分数值生成!Y$12)</f>
        <v>1749</v>
      </c>
      <c r="AP135">
        <f>INT(装备拆分数值生成!AB$54+(装备拆分数值生成!$AK135-21)*装备拆分数值生成!AB$18)</f>
        <v>426</v>
      </c>
      <c r="AR135">
        <f>INT(装备拆分数值生成!AB$60+(装备拆分数值生成!$AK135-21)*装备拆分数值生成!AB$24)</f>
        <v>320</v>
      </c>
      <c r="AS135">
        <f>INT(装备拆分数值生成!Y$66+(装备拆分数值生成!$AK135-21)*装备拆分数值生成!Y$30)</f>
        <v>1093</v>
      </c>
      <c r="AU135">
        <f>INT(装备拆分数值生成!R$72+(装备拆分数值生成!$AK135-21)*装备拆分数值生成!R$36)</f>
        <v>218</v>
      </c>
      <c r="AV135">
        <f>INT(装备拆分数值生成!T$72+(装备拆分数值生成!$AK135-21)*装备拆分数值生成!T$36)</f>
        <v>298</v>
      </c>
    </row>
    <row r="136" spans="1:48">
      <c r="A136">
        <v>4</v>
      </c>
      <c r="AK136">
        <v>25</v>
      </c>
      <c r="AL136" t="s">
        <v>206</v>
      </c>
      <c r="AM136">
        <f>INT(装备拆分数值生成!Z$42+(装备拆分数值生成!$AK136-21)*装备拆分数值生成!Z$6)</f>
        <v>431</v>
      </c>
      <c r="AN136">
        <f>INT(装备拆分数值生成!AA$42+(装备拆分数值生成!$AK136-21)*装备拆分数值生成!AA$6)</f>
        <v>431</v>
      </c>
      <c r="AO136">
        <f>INT(装备拆分数值生成!Y$48+(装备拆分数值生成!$AK136-21)*装备拆分数值生成!Y$12)</f>
        <v>1839</v>
      </c>
      <c r="AP136">
        <f>INT(装备拆分数值生成!AB$54+(装备拆分数值生成!$AK136-21)*装备拆分数值生成!AB$18)</f>
        <v>449</v>
      </c>
      <c r="AR136">
        <f>INT(装备拆分数值生成!AB$60+(装备拆分数值生成!$AK136-21)*装备拆分数值生成!AB$24)</f>
        <v>336</v>
      </c>
      <c r="AS136">
        <f>INT(装备拆分数值生成!Y$66+(装备拆分数值生成!$AK136-21)*装备拆分数值生成!Y$30)</f>
        <v>1149</v>
      </c>
      <c r="AU136">
        <f>INT(装备拆分数值生成!R$72+(装备拆分数值生成!$AK136-21)*装备拆分数值生成!R$36)</f>
        <v>229</v>
      </c>
      <c r="AV136">
        <f>INT(装备拆分数值生成!T$72+(装备拆分数值生成!$AK136-21)*装备拆分数值生成!T$36)</f>
        <v>313</v>
      </c>
    </row>
    <row r="137" spans="1:48">
      <c r="A137">
        <v>5</v>
      </c>
      <c r="AK137">
        <v>26</v>
      </c>
      <c r="AL137" t="s">
        <v>207</v>
      </c>
      <c r="AM137">
        <f>INT(装备拆分数值生成!Z$42+(装备拆分数值生成!$AK137-21)*装备拆分数值生成!Z$6)</f>
        <v>452</v>
      </c>
      <c r="AN137">
        <f>INT(装备拆分数值生成!AA$42+(装备拆分数值生成!$AK137-21)*装备拆分数值生成!AA$6)</f>
        <v>452</v>
      </c>
      <c r="AO137">
        <f>INT(装备拆分数值生成!Y$48+(装备拆分数值生成!$AK137-21)*装备拆分数值生成!Y$12)</f>
        <v>1930</v>
      </c>
      <c r="AP137">
        <f>INT(装备拆分数值生成!AB$54+(装备拆分数值生成!$AK137-21)*装备拆分数值生成!AB$18)</f>
        <v>471</v>
      </c>
      <c r="AR137">
        <f>INT(装备拆分数值生成!AB$60+(装备拆分数值生成!$AK137-21)*装备拆分数值生成!AB$24)</f>
        <v>353</v>
      </c>
      <c r="AS137">
        <f>INT(装备拆分数值生成!Y$66+(装备拆分数值生成!$AK137-21)*装备拆分数值生成!Y$30)</f>
        <v>1206</v>
      </c>
      <c r="AU137">
        <f>INT(装备拆分数值生成!R$72+(装备拆分数值生成!$AK137-21)*装备拆分数值生成!R$36)</f>
        <v>241</v>
      </c>
      <c r="AV137">
        <f>INT(装备拆分数值生成!T$72+(装备拆分数值生成!$AK137-21)*装备拆分数值生成!T$36)</f>
        <v>329</v>
      </c>
    </row>
    <row r="138" spans="1:48">
      <c r="A138">
        <v>6</v>
      </c>
      <c r="AK138">
        <v>27</v>
      </c>
      <c r="AL138" t="s">
        <v>208</v>
      </c>
      <c r="AM138">
        <f>INT(装备拆分数值生成!Z$42+(装备拆分数值生成!$AK138-21)*装备拆分数值生成!Z$6)</f>
        <v>473</v>
      </c>
      <c r="AN138">
        <f>INT(装备拆分数值生成!AA$42+(装备拆分数值生成!$AK138-21)*装备拆分数值生成!AA$6)</f>
        <v>473</v>
      </c>
      <c r="AO138">
        <f>INT(装备拆分数值生成!Y$48+(装备拆分数值生成!$AK138-21)*装备拆分数值生成!Y$12)</f>
        <v>2021</v>
      </c>
      <c r="AP138">
        <f>INT(装备拆分数值生成!AB$54+(装备拆分数值生成!$AK138-21)*装备拆分数值生成!AB$18)</f>
        <v>493</v>
      </c>
      <c r="AR138">
        <f>INT(装备拆分数值生成!AB$60+(装备拆分数值生成!$AK138-21)*装备拆分数值生成!AB$24)</f>
        <v>369</v>
      </c>
      <c r="AS138">
        <f>INT(装备拆分数值生成!Y$66+(装备拆分数值生成!$AK138-21)*装备拆分数值生成!Y$30)</f>
        <v>1263</v>
      </c>
      <c r="AU138">
        <f>INT(装备拆分数值生成!R$72+(装备拆分数值生成!$AK138-21)*装备拆分数值生成!R$36)</f>
        <v>252</v>
      </c>
      <c r="AV138">
        <f>INT(装备拆分数值生成!T$72+(装备拆分数值生成!$AK138-21)*装备拆分数值生成!T$36)</f>
        <v>344</v>
      </c>
    </row>
    <row r="139" spans="1:48">
      <c r="A139">
        <v>7</v>
      </c>
      <c r="AK139">
        <v>28</v>
      </c>
      <c r="AL139" t="s">
        <v>471</v>
      </c>
      <c r="AM139">
        <f>INT(装备拆分数值生成!Z$42+(装备拆分数值生成!$AK139-21)*装备拆分数值生成!Z$6)</f>
        <v>495</v>
      </c>
      <c r="AN139">
        <f>INT(装备拆分数值生成!AA$42+(装备拆分数值生成!$AK139-21)*装备拆分数值生成!AA$6)</f>
        <v>495</v>
      </c>
      <c r="AO139">
        <f>INT(装备拆分数值生成!Y$48+(装备拆分数值生成!$AK139-21)*装备拆分数值生成!Y$12)</f>
        <v>2111</v>
      </c>
      <c r="AP139">
        <f>INT(装备拆分数值生成!AB$54+(装备拆分数值生成!$AK139-21)*装备拆分数值生成!AB$18)</f>
        <v>515</v>
      </c>
      <c r="AR139">
        <f>INT(装备拆分数值生成!AB$60+(装备拆分数值生成!$AK139-21)*装备拆分数值生成!AB$24)</f>
        <v>386</v>
      </c>
      <c r="AS139">
        <f>INT(装备拆分数值生成!Y$66+(装备拆分数值生成!$AK139-21)*装备拆分数值生成!Y$30)</f>
        <v>1319</v>
      </c>
      <c r="AU139">
        <f>INT(装备拆分数值生成!R$72+(装备拆分数值生成!$AK139-21)*装备拆分数值生成!R$36)</f>
        <v>263</v>
      </c>
      <c r="AV139">
        <f>INT(装备拆分数值生成!T$72+(装备拆分数值生成!$AK139-21)*装备拆分数值生成!T$36)</f>
        <v>360</v>
      </c>
    </row>
    <row r="140" spans="1:48">
      <c r="A140">
        <v>8</v>
      </c>
      <c r="AK140">
        <v>29</v>
      </c>
      <c r="AL140" t="s">
        <v>472</v>
      </c>
      <c r="AM140">
        <f>INT(装备拆分数值生成!Z$42+(装备拆分数值生成!$AK140-21)*装备拆分数值生成!Z$6)</f>
        <v>516</v>
      </c>
      <c r="AN140">
        <f>INT(装备拆分数值生成!AA$42+(装备拆分数值生成!$AK140-21)*装备拆分数值生成!AA$6)</f>
        <v>516</v>
      </c>
      <c r="AO140">
        <f>INT(装备拆分数值生成!Y$48+(装备拆分数值生成!$AK140-21)*装备拆分数值生成!Y$12)</f>
        <v>2202</v>
      </c>
      <c r="AP140">
        <f>INT(装备拆分数值生成!AB$54+(装备拆分数值生成!$AK140-21)*装备拆分数值生成!AB$18)</f>
        <v>537</v>
      </c>
      <c r="AR140">
        <f>INT(装备拆分数值生成!AB$60+(装备拆分数值生成!$AK140-21)*装备拆分数值生成!AB$24)</f>
        <v>403</v>
      </c>
      <c r="AS140">
        <f>INT(装备拆分数值生成!Y$66+(装备拆分数值生成!$AK140-21)*装备拆分数值生成!Y$30)</f>
        <v>1376</v>
      </c>
      <c r="AU140">
        <f>INT(装备拆分数值生成!R$72+(装备拆分数值生成!$AK140-21)*装备拆分数值生成!R$36)</f>
        <v>275</v>
      </c>
      <c r="AV140">
        <f>INT(装备拆分数值生成!T$72+(装备拆分数值生成!$AK140-21)*装备拆分数值生成!T$36)</f>
        <v>375</v>
      </c>
    </row>
    <row r="141" spans="1:48">
      <c r="A141">
        <v>9</v>
      </c>
      <c r="AK141">
        <v>30</v>
      </c>
      <c r="AL141" t="s">
        <v>473</v>
      </c>
      <c r="AM141">
        <f>INT(装备拆分数值生成!Z$42+(装备拆分数值生成!$AK141-21)*装备拆分数值生成!Z$6)</f>
        <v>537</v>
      </c>
      <c r="AN141">
        <f>INT(装备拆分数值生成!AA$42+(装备拆分数值生成!$AK141-21)*装备拆分数值生成!AA$6)</f>
        <v>537</v>
      </c>
      <c r="AO141">
        <f>INT(装备拆分数值生成!Y$48+(装备拆分数值生成!$AK141-21)*装备拆分数值生成!Y$12)</f>
        <v>2293</v>
      </c>
      <c r="AP141">
        <f>INT(装备拆分数值生成!AB$54+(装备拆分数值生成!$AK141-21)*装备拆分数值生成!AB$18)</f>
        <v>559</v>
      </c>
      <c r="AR141">
        <f>INT(装备拆分数值生成!AB$60+(装备拆分数值生成!$AK141-21)*装备拆分数值生成!AB$24)</f>
        <v>419</v>
      </c>
      <c r="AS141">
        <f>INT(装备拆分数值生成!Y$66+(装备拆分数值生成!$AK141-21)*装备拆分数值生成!Y$30)</f>
        <v>1433</v>
      </c>
      <c r="AU141">
        <f>INT(装备拆分数值生成!R$72+(装备拆分数值生成!$AK141-21)*装备拆分数值生成!R$36)</f>
        <v>286</v>
      </c>
      <c r="AV141">
        <f>INT(装备拆分数值生成!T$72+(装备拆分数值生成!$AK141-21)*装备拆分数值生成!T$36)</f>
        <v>391</v>
      </c>
    </row>
    <row r="142" spans="1:48">
      <c r="AK142">
        <v>31</v>
      </c>
      <c r="AL142" t="s">
        <v>474</v>
      </c>
      <c r="AM142">
        <f>INT(装备拆分数值生成!Z$43+(装备拆分数值生成!$AK142-31)*装备拆分数值生成!Z$7)</f>
        <v>730</v>
      </c>
      <c r="AN142">
        <f>INT(装备拆分数值生成!AA$43+(装备拆分数值生成!$AK142-31)*装备拆分数值生成!AA$7)</f>
        <v>730</v>
      </c>
      <c r="AO142">
        <f>INT(装备拆分数值生成!Y$49+(装备拆分数值生成!$AK142-31)*装备拆分数值生成!Y$13)</f>
        <v>3116</v>
      </c>
      <c r="AP142">
        <f>INT(装备拆分数值生成!AB$55+(装备拆分数值生成!$AK142-31)*装备拆分数值生成!AB$19)</f>
        <v>760</v>
      </c>
      <c r="AR142">
        <f>INT(装备拆分数值生成!AB$61+(装备拆分数值生成!$AK142-31)*装备拆分数值生成!AB$25)</f>
        <v>570</v>
      </c>
      <c r="AS142">
        <f>INT(装备拆分数值生成!Y$67+(装备拆分数值生成!$AK142-31)*装备拆分数值生成!Y$31)</f>
        <v>1947</v>
      </c>
      <c r="AU142">
        <f>INT(装备拆分数值生成!R$73+(装备拆分数值生成!$AK142-31)*装备拆分数值生成!R$37)</f>
        <v>389</v>
      </c>
      <c r="AV142">
        <f>INT(装备拆分数值生成!T$73+(装备拆分数值生成!$AK142-31)*装备拆分数值生成!T$37)</f>
        <v>531</v>
      </c>
    </row>
    <row r="143" spans="1:48">
      <c r="AK143">
        <v>32</v>
      </c>
      <c r="AL143" t="s">
        <v>475</v>
      </c>
      <c r="AM143">
        <f>INT(装备拆分数值生成!Z$43+(装备拆分数值生成!$AK143-31)*装备拆分数值生成!Z$7)</f>
        <v>784</v>
      </c>
      <c r="AN143">
        <f>INT(装备拆分数值生成!AA$43+(装备拆分数值生成!$AK143-31)*装备拆分数值生成!AA$7)</f>
        <v>784</v>
      </c>
      <c r="AO143">
        <f>INT(装备拆分数值生成!Y$49+(装备拆分数值生成!$AK143-31)*装备拆分数值生成!Y$13)</f>
        <v>3345</v>
      </c>
      <c r="AP143">
        <f>INT(装备拆分数值生成!AB$55+(装备拆分数值生成!$AK143-31)*装备拆分数值生成!AB$19)</f>
        <v>816</v>
      </c>
      <c r="AR143">
        <f>INT(装备拆分数值生成!AB$61+(装备拆分数值生成!$AK143-31)*装备拆分数值生成!AB$25)</f>
        <v>612</v>
      </c>
      <c r="AS143">
        <f>INT(装备拆分数值生成!Y$67+(装备拆分数值生成!$AK143-31)*装备拆分数值生成!Y$31)</f>
        <v>2090</v>
      </c>
      <c r="AU143">
        <f>INT(装备拆分数值生成!R$73+(装备拆分数值生成!$AK143-31)*装备拆分数值生成!R$37)</f>
        <v>418</v>
      </c>
      <c r="AV143">
        <f>INT(装备拆分数值生成!T$73+(装备拆分数值生成!$AK143-31)*装备拆分数值生成!T$37)</f>
        <v>570</v>
      </c>
    </row>
    <row r="144" spans="1:48">
      <c r="AK144">
        <v>33</v>
      </c>
      <c r="AL144" t="s">
        <v>210</v>
      </c>
      <c r="AM144">
        <f>INT(装备拆分数值生成!Z$43+(装备拆分数值生成!$AK144-31)*装备拆分数值生成!Z$7)</f>
        <v>837</v>
      </c>
      <c r="AN144">
        <f>INT(装备拆分数值生成!AA$43+(装备拆分数值生成!$AK144-31)*装备拆分数值生成!AA$7)</f>
        <v>837</v>
      </c>
      <c r="AO144">
        <f>INT(装备拆分数值生成!Y$49+(装备拆分数值生成!$AK144-31)*装备拆分数值生成!Y$13)</f>
        <v>3574</v>
      </c>
      <c r="AP144">
        <f>INT(装备拆分数值生成!AB$55+(装备拆分数值生成!$AK144-31)*装备拆分数值生成!AB$19)</f>
        <v>872</v>
      </c>
      <c r="AR144">
        <f>INT(装备拆分数值生成!AB$61+(装备拆分数值生成!$AK144-31)*装备拆分数值生成!AB$25)</f>
        <v>654</v>
      </c>
      <c r="AS144">
        <f>INT(装备拆分数值生成!Y$67+(装备拆分数值生成!$AK144-31)*装备拆分数值生成!Y$31)</f>
        <v>2233</v>
      </c>
      <c r="AU144">
        <f>INT(装备拆分数值生成!R$73+(装备拆分数值生成!$AK144-31)*装备拆分数值生成!R$37)</f>
        <v>446</v>
      </c>
      <c r="AV144">
        <f>INT(装备拆分数值生成!T$73+(装备拆分数值生成!$AK144-31)*装备拆分数值生成!T$37)</f>
        <v>609</v>
      </c>
    </row>
    <row r="145" spans="37:48">
      <c r="AK145">
        <v>34</v>
      </c>
      <c r="AL145" t="s">
        <v>211</v>
      </c>
      <c r="AM145">
        <f>INT(装备拆分数值生成!Z$43+(装备拆分数值生成!$AK145-31)*装备拆分数值生成!Z$7)</f>
        <v>891</v>
      </c>
      <c r="AN145">
        <f>INT(装备拆分数值生成!AA$43+(装备拆分数值生成!$AK145-31)*装备拆分数值生成!AA$7)</f>
        <v>891</v>
      </c>
      <c r="AO145">
        <f>INT(装备拆分数值生成!Y$49+(装备拆分数值生成!$AK145-31)*装备拆分数值生成!Y$13)</f>
        <v>3802</v>
      </c>
      <c r="AP145">
        <f>INT(装备拆分数值生成!AB$55+(装备拆分数值生成!$AK145-31)*装备拆分数值生成!AB$19)</f>
        <v>928</v>
      </c>
      <c r="AR145">
        <f>INT(装备拆分数值生成!AB$61+(装备拆分数值生成!$AK145-31)*装备拆分数值生成!AB$25)</f>
        <v>696</v>
      </c>
      <c r="AS145">
        <f>INT(装备拆分数值生成!Y$67+(装备拆分数值生成!$AK145-31)*装备拆分数值生成!Y$31)</f>
        <v>2376</v>
      </c>
      <c r="AU145">
        <f>INT(装备拆分数值生成!R$73+(装备拆分数值生成!$AK145-31)*装备拆分数值生成!R$37)</f>
        <v>475</v>
      </c>
      <c r="AV145">
        <f>INT(装备拆分数值生成!T$73+(装备拆分数值生成!$AK145-31)*装备拆分数值生成!T$37)</f>
        <v>648</v>
      </c>
    </row>
    <row r="146" spans="37:48">
      <c r="AK146">
        <v>35</v>
      </c>
      <c r="AL146" t="s">
        <v>212</v>
      </c>
      <c r="AM146">
        <f>INT(装备拆分数值生成!Z$43+(装备拆分数值生成!$AK146-31)*装备拆分数值生成!Z$7)</f>
        <v>945</v>
      </c>
      <c r="AN146">
        <f>INT(装备拆分数值生成!AA$43+(装备拆分数值生成!$AK146-31)*装备拆分数值生成!AA$7)</f>
        <v>945</v>
      </c>
      <c r="AO146">
        <f>INT(装备拆分数值生成!Y$49+(装备拆分数值生成!$AK146-31)*装备拆分数值生成!Y$13)</f>
        <v>4031</v>
      </c>
      <c r="AP146">
        <f>INT(装备拆分数值生成!AB$55+(装备拆分数值生成!$AK146-31)*装备拆分数值生成!AB$19)</f>
        <v>984</v>
      </c>
      <c r="AR146">
        <f>INT(装备拆分数值生成!AB$61+(装备拆分数值生成!$AK146-31)*装备拆分数值生成!AB$25)</f>
        <v>738</v>
      </c>
      <c r="AS146">
        <f>INT(装备拆分数值生成!Y$67+(装备拆分数值生成!$AK146-31)*装备拆分数值生成!Y$31)</f>
        <v>2519</v>
      </c>
      <c r="AU146">
        <f>INT(装备拆分数值生成!R$73+(装备拆分数值生成!$AK146-31)*装备拆分数值生成!R$37)</f>
        <v>503</v>
      </c>
      <c r="AV146">
        <f>INT(装备拆分数值生成!T$73+(装备拆分数值生成!$AK146-31)*装备拆分数值生成!T$37)</f>
        <v>687</v>
      </c>
    </row>
    <row r="147" spans="37:48">
      <c r="AK147">
        <v>36</v>
      </c>
      <c r="AL147" t="s">
        <v>213</v>
      </c>
      <c r="AM147">
        <f>INT(装备拆分数值生成!Z$43+(装备拆分数值生成!$AK147-31)*装备拆分数值生成!Z$7)</f>
        <v>998</v>
      </c>
      <c r="AN147">
        <f>INT(装备拆分数值生成!AA$43+(装备拆分数值生成!$AK147-31)*装备拆分数值生成!AA$7)</f>
        <v>998</v>
      </c>
      <c r="AO147">
        <f>INT(装备拆分数值生成!Y$49+(装备拆分数值生成!$AK147-31)*装备拆分数值生成!Y$13)</f>
        <v>4260</v>
      </c>
      <c r="AP147">
        <f>INT(装备拆分数值生成!AB$55+(装备拆分数值生成!$AK147-31)*装备拆分数值生成!AB$19)</f>
        <v>1039</v>
      </c>
      <c r="AR147">
        <f>INT(装备拆分数值生成!AB$61+(装备拆分数值生成!$AK147-31)*装备拆分数值生成!AB$25)</f>
        <v>779</v>
      </c>
      <c r="AS147">
        <f>INT(装备拆分数值生成!Y$67+(装备拆分数值生成!$AK147-31)*装备拆分数值生成!Y$31)</f>
        <v>2662</v>
      </c>
      <c r="AU147">
        <f>INT(装备拆分数值生成!R$73+(装备拆分数值生成!$AK147-31)*装备拆分数值生成!R$37)</f>
        <v>532</v>
      </c>
      <c r="AV147">
        <f>INT(装备拆分数值生成!T$73+(装备拆分数值生成!$AK147-31)*装备拆分数值生成!T$37)</f>
        <v>726</v>
      </c>
    </row>
    <row r="148" spans="37:48">
      <c r="AK148">
        <v>37</v>
      </c>
      <c r="AL148" t="s">
        <v>214</v>
      </c>
      <c r="AM148">
        <f>INT(装备拆分数值生成!Z$43+(装备拆分数值生成!$AK148-31)*装备拆分数值生成!Z$7)</f>
        <v>1052</v>
      </c>
      <c r="AN148">
        <f>INT(装备拆分数值生成!AA$43+(装备拆分数值生成!$AK148-31)*装备拆分数值生成!AA$7)</f>
        <v>1052</v>
      </c>
      <c r="AO148">
        <f>INT(装备拆分数值生成!Y$49+(装备拆分数值生成!$AK148-31)*装备拆分数值生成!Y$13)</f>
        <v>4489</v>
      </c>
      <c r="AP148">
        <f>INT(装备拆分数值生成!AB$55+(装备拆分数值生成!$AK148-31)*装备拆分数值生成!AB$19)</f>
        <v>1095</v>
      </c>
      <c r="AR148">
        <f>INT(装备拆分数值生成!AB$61+(装备拆分数值生成!$AK148-31)*装备拆分数值生成!AB$25)</f>
        <v>821</v>
      </c>
      <c r="AS148">
        <f>INT(装备拆分数值生成!Y$67+(装备拆分数值生成!$AK148-31)*装备拆分数值生成!Y$31)</f>
        <v>2805</v>
      </c>
      <c r="AU148">
        <f>INT(装备拆分数值生成!R$73+(装备拆分数值生成!$AK148-31)*装备拆分数值生成!R$37)</f>
        <v>561</v>
      </c>
      <c r="AV148">
        <f>INT(装备拆分数值生成!T$73+(装备拆分数值生成!$AK148-31)*装备拆分数值生成!T$37)</f>
        <v>765</v>
      </c>
    </row>
    <row r="149" spans="37:48">
      <c r="AK149">
        <v>38</v>
      </c>
      <c r="AL149" t="s">
        <v>476</v>
      </c>
      <c r="AM149">
        <f>INT(装备拆分数值生成!Z$43+(装备拆分数值生成!$AK149-31)*装备拆分数值生成!Z$7)</f>
        <v>1106</v>
      </c>
      <c r="AN149">
        <f>INT(装备拆分数值生成!AA$43+(装备拆分数值生成!$AK149-31)*装备拆分数值生成!AA$7)</f>
        <v>1106</v>
      </c>
      <c r="AO149">
        <f>INT(装备拆分数值生成!Y$49+(装备拆分数值生成!$AK149-31)*装备拆分数值生成!Y$13)</f>
        <v>4718</v>
      </c>
      <c r="AP149">
        <f>INT(装备拆分数值生成!AB$55+(装备拆分数值生成!$AK149-31)*装备拆分数值生成!AB$19)</f>
        <v>1151</v>
      </c>
      <c r="AR149">
        <f>INT(装备拆分数值生成!AB$61+(装备拆分数值生成!$AK149-31)*装备拆分数值生成!AB$25)</f>
        <v>863</v>
      </c>
      <c r="AS149">
        <f>INT(装备拆分数值生成!Y$67+(装备拆分数值生成!$AK149-31)*装备拆分数值生成!Y$31)</f>
        <v>2948</v>
      </c>
      <c r="AU149">
        <f>INT(装备拆分数值生成!R$73+(装备拆分数值生成!$AK149-31)*装备拆分数值生成!R$37)</f>
        <v>589</v>
      </c>
      <c r="AV149">
        <f>INT(装备拆分数值生成!T$73+(装备拆分数值生成!$AK149-31)*装备拆分数值生成!T$37)</f>
        <v>804</v>
      </c>
    </row>
    <row r="150" spans="37:48">
      <c r="AK150">
        <v>39</v>
      </c>
      <c r="AL150" t="s">
        <v>477</v>
      </c>
      <c r="AM150">
        <f>INT(装备拆分数值生成!Z$43+(装备拆分数值生成!$AK150-31)*装备拆分数值生成!Z$7)</f>
        <v>1159</v>
      </c>
      <c r="AN150">
        <f>INT(装备拆分数值生成!AA$43+(装备拆分数值生成!$AK150-31)*装备拆分数值生成!AA$7)</f>
        <v>1159</v>
      </c>
      <c r="AO150">
        <f>INT(装备拆分数值生成!Y$49+(装备拆分数值生成!$AK150-31)*装备拆分数值生成!Y$13)</f>
        <v>4946</v>
      </c>
      <c r="AP150">
        <f>INT(装备拆分数值生成!AB$55+(装备拆分数值生成!$AK150-31)*装备拆分数值生成!AB$19)</f>
        <v>1207</v>
      </c>
      <c r="AR150">
        <f>INT(装备拆分数值生成!AB$61+(装备拆分数值生成!$AK150-31)*装备拆分数值生成!AB$25)</f>
        <v>905</v>
      </c>
      <c r="AS150">
        <f>INT(装备拆分数值生成!Y$67+(装备拆分数值生成!$AK150-31)*装备拆分数值生成!Y$31)</f>
        <v>3091</v>
      </c>
      <c r="AU150">
        <f>INT(装备拆分数值生成!R$73+(装备拆分数值生成!$AK150-31)*装备拆分数值生成!R$37)</f>
        <v>618</v>
      </c>
      <c r="AV150">
        <f>INT(装备拆分数值生成!T$73+(装备拆分数值生成!$AK150-31)*装备拆分数值生成!T$37)</f>
        <v>843</v>
      </c>
    </row>
    <row r="151" spans="37:48">
      <c r="AK151">
        <v>40</v>
      </c>
      <c r="AL151" t="s">
        <v>478</v>
      </c>
      <c r="AM151">
        <f>INT(装备拆分数值生成!Z$43+(装备拆分数值生成!$AK151-31)*装备拆分数值生成!Z$7)</f>
        <v>1213</v>
      </c>
      <c r="AN151">
        <f>INT(装备拆分数值生成!AA$43+(装备拆分数值生成!$AK151-31)*装备拆分数值生成!AA$7)</f>
        <v>1213</v>
      </c>
      <c r="AO151">
        <f>INT(装备拆分数值生成!Y$49+(装备拆分数值生成!$AK151-31)*装备拆分数值生成!Y$13)</f>
        <v>5175</v>
      </c>
      <c r="AP151">
        <f>INT(装备拆分数值生成!AB$55+(装备拆分数值生成!$AK151-31)*装备拆分数值生成!AB$19)</f>
        <v>1263</v>
      </c>
      <c r="AR151">
        <f>INT(装备拆分数值生成!AB$61+(装备拆分数值生成!$AK151-31)*装备拆分数值生成!AB$25)</f>
        <v>947</v>
      </c>
      <c r="AS151">
        <f>INT(装备拆分数值生成!Y$67+(装备拆分数值生成!$AK151-31)*装备拆分数值生成!Y$31)</f>
        <v>3234</v>
      </c>
      <c r="AU151">
        <f>INT(装备拆分数值生成!R$73+(装备拆分数值生成!$AK151-31)*装备拆分数值生成!R$37)</f>
        <v>646</v>
      </c>
      <c r="AV151">
        <f>INT(装备拆分数值生成!T$73+(装备拆分数值生成!$AK151-31)*装备拆分数值生成!T$37)</f>
        <v>882</v>
      </c>
    </row>
    <row r="152" spans="37:48">
      <c r="AK152">
        <v>41</v>
      </c>
      <c r="AL152" t="s">
        <v>479</v>
      </c>
      <c r="AM152">
        <f>INT(装备拆分数值生成!Z$44+(装备拆分数值生成!$AK152-41)*装备拆分数值生成!Z$8)</f>
        <v>1468</v>
      </c>
      <c r="AN152">
        <f>INT(装备拆分数值生成!AA$44+(装备拆分数值生成!$AK152-41)*装备拆分数值生成!AA$8)</f>
        <v>1468</v>
      </c>
      <c r="AO152">
        <f>INT(装备拆分数值生成!Y$50+(装备拆分数值生成!$AK152-41)*装备拆分数值生成!Y$14)</f>
        <v>6262</v>
      </c>
      <c r="AP152">
        <f>INT(装备拆分数值生成!AB$56+(装备拆分数值生成!$AK152-41)*装备拆分数值生成!AB$20)</f>
        <v>1528</v>
      </c>
      <c r="AR152">
        <f>INT(装备拆分数值生成!AB$62+(装备拆分数值生成!$AK152-41)*装备拆分数值生成!AB$26)</f>
        <v>1146</v>
      </c>
      <c r="AS152">
        <f>INT(装备拆分数值生成!Y$68+(装备拆分数值生成!$AK152-41)*装备拆分数值生成!Y$32)</f>
        <v>3914</v>
      </c>
      <c r="AU152">
        <f>INT(装备拆分数值生成!R$74+(装备拆分数值生成!$AK152-41)*装备拆分数值生成!R$38)</f>
        <v>782</v>
      </c>
      <c r="AV152">
        <f>INT(装备拆分数值生成!T$74+(装备拆分数值生成!$AK152-41)*装备拆分数值生成!T$38)</f>
        <v>1067</v>
      </c>
    </row>
    <row r="153" spans="37:48">
      <c r="AK153">
        <v>42</v>
      </c>
      <c r="AL153" t="s">
        <v>480</v>
      </c>
      <c r="AM153">
        <f>INT(装备拆分数值生成!Z$44+(装备拆分数值生成!$AK153-41)*装备拆分数值生成!Z$8)</f>
        <v>1585</v>
      </c>
      <c r="AN153">
        <f>INT(装备拆分数值生成!AA$44+(装备拆分数值生成!$AK153-41)*装备拆分数值生成!AA$8)</f>
        <v>1585</v>
      </c>
      <c r="AO153">
        <f>INT(装备拆分数值生成!Y$50+(装备拆分数值生成!$AK153-41)*装备拆分数值生成!Y$14)</f>
        <v>6762</v>
      </c>
      <c r="AP153">
        <f>INT(装备拆分数值生成!AB$56+(装备拆分数值生成!$AK153-41)*装备拆分数值生成!AB$20)</f>
        <v>1650</v>
      </c>
      <c r="AR153">
        <f>INT(装备拆分数值生成!AB$62+(装备拆分数值生成!$AK153-41)*装备拆分数值生成!AB$26)</f>
        <v>1237</v>
      </c>
      <c r="AS153">
        <f>INT(装备拆分数值生成!Y$68+(装备拆分数值生成!$AK153-41)*装备拆分数值生成!Y$32)</f>
        <v>4226</v>
      </c>
      <c r="AU153">
        <f>INT(装备拆分数值生成!R$74+(装备拆分数值生成!$AK153-41)*装备拆分数值生成!R$38)</f>
        <v>845</v>
      </c>
      <c r="AV153">
        <f>INT(装备拆分数值生成!T$74+(装备拆分数值生成!$AK153-41)*装备拆分数值生成!T$38)</f>
        <v>1152</v>
      </c>
    </row>
    <row r="154" spans="37:48">
      <c r="AK154">
        <v>43</v>
      </c>
      <c r="AL154" t="s">
        <v>216</v>
      </c>
      <c r="AM154">
        <f>INT(装备拆分数值生成!Z$44+(装备拆分数值生成!$AK154-41)*装备拆分数值生成!Z$8)</f>
        <v>1702</v>
      </c>
      <c r="AN154">
        <f>INT(装备拆分数值生成!AA$44+(装备拆分数值生成!$AK154-41)*装备拆分数值生成!AA$8)</f>
        <v>1702</v>
      </c>
      <c r="AO154">
        <f>INT(装备拆分数值生成!Y$50+(装备拆分数值生成!$AK154-41)*装备拆分数值生成!Y$14)</f>
        <v>7262</v>
      </c>
      <c r="AP154">
        <f>INT(装备拆分数值生成!AB$56+(装备拆分数值生成!$AK154-41)*装备拆分数值生成!AB$20)</f>
        <v>1772</v>
      </c>
      <c r="AR154">
        <f>INT(装备拆分数值生成!AB$62+(装备拆分数值生成!$AK154-41)*装备拆分数值生成!AB$26)</f>
        <v>1329</v>
      </c>
      <c r="AS154">
        <f>INT(装备拆分数值生成!Y$68+(装备拆分数值生成!$AK154-41)*装备拆分数值生成!Y$32)</f>
        <v>4538</v>
      </c>
      <c r="AU154">
        <f>INT(装备拆分数值生成!R$74+(装备拆分数值生成!$AK154-41)*装备拆分数值生成!R$38)</f>
        <v>907</v>
      </c>
      <c r="AV154">
        <f>INT(装备拆分数值生成!T$74+(装备拆分数值生成!$AK154-41)*装备拆分数值生成!T$38)</f>
        <v>1238</v>
      </c>
    </row>
    <row r="155" spans="37:48">
      <c r="AK155">
        <v>44</v>
      </c>
      <c r="AL155" t="s">
        <v>217</v>
      </c>
      <c r="AM155">
        <f>INT(装备拆分数值生成!Z$44+(装备拆分数值生成!$AK155-41)*装备拆分数值生成!Z$8)</f>
        <v>1819</v>
      </c>
      <c r="AN155">
        <f>INT(装备拆分数值生成!AA$44+(装备拆分数值生成!$AK155-41)*装备拆分数值生成!AA$8)</f>
        <v>1819</v>
      </c>
      <c r="AO155">
        <f>INT(装备拆分数值生成!Y$50+(装备拆分数值生成!$AK155-41)*装备拆分数值生成!Y$14)</f>
        <v>7762</v>
      </c>
      <c r="AP155">
        <f>INT(装备拆分数值生成!AB$56+(装备拆分数值生成!$AK155-41)*装备拆分数值生成!AB$20)</f>
        <v>1894</v>
      </c>
      <c r="AR155">
        <f>INT(装备拆分数值生成!AB$62+(装备拆分数值生成!$AK155-41)*装备拆分数值生成!AB$26)</f>
        <v>1420</v>
      </c>
      <c r="AS155">
        <f>INT(装备拆分数值生成!Y$68+(装备拆分数值生成!$AK155-41)*装备拆分数值生成!Y$32)</f>
        <v>4851</v>
      </c>
      <c r="AU155">
        <f>INT(装备拆分数值生成!R$74+(装备拆分数值生成!$AK155-41)*装备拆分数值生成!R$38)</f>
        <v>970</v>
      </c>
      <c r="AV155">
        <f>INT(装备拆分数值生成!T$74+(装备拆分数值生成!$AK155-41)*装备拆分数值生成!T$38)</f>
        <v>1323</v>
      </c>
    </row>
    <row r="156" spans="37:48">
      <c r="AK156">
        <v>45</v>
      </c>
      <c r="AL156" t="s">
        <v>218</v>
      </c>
      <c r="AM156">
        <f>INT(装备拆分数值生成!Z$44+(装备拆分数值生成!$AK156-41)*装备拆分数值生成!Z$8)</f>
        <v>1936</v>
      </c>
      <c r="AN156">
        <f>INT(装备拆分数值生成!AA$44+(装备拆分数值生成!$AK156-41)*装备拆分数值生成!AA$8)</f>
        <v>1936</v>
      </c>
      <c r="AO156">
        <f>INT(装备拆分数值生成!Y$50+(装备拆分数值生成!$AK156-41)*装备拆分数值生成!Y$14)</f>
        <v>8261</v>
      </c>
      <c r="AP156">
        <f>INT(装备拆分数值生成!AB$56+(装备拆分数值生成!$AK156-41)*装备拆分数值生成!AB$20)</f>
        <v>2016</v>
      </c>
      <c r="AR156">
        <f>INT(装备拆分数值生成!AB$62+(装备拆分数值生成!$AK156-41)*装备拆分数值生成!AB$26)</f>
        <v>1512</v>
      </c>
      <c r="AS156">
        <f>INT(装备拆分数值生成!Y$68+(装备拆分数值生成!$AK156-41)*装备拆分数值生成!Y$32)</f>
        <v>5163</v>
      </c>
      <c r="AU156">
        <f>INT(装备拆分数值生成!R$74+(装备拆分数值生成!$AK156-41)*装备拆分数值生成!R$38)</f>
        <v>1032</v>
      </c>
      <c r="AV156">
        <f>INT(装备拆分数值生成!T$74+(装备拆分数值生成!$AK156-41)*装备拆分数值生成!T$38)</f>
        <v>1408</v>
      </c>
    </row>
    <row r="157" spans="37:48">
      <c r="AK157">
        <v>46</v>
      </c>
      <c r="AL157" t="s">
        <v>219</v>
      </c>
      <c r="AM157">
        <f>INT(装备拆分数值生成!Z$44+(装备拆分数值生成!$AK157-41)*装备拆分数值生成!Z$8)</f>
        <v>2053</v>
      </c>
      <c r="AN157">
        <f>INT(装备拆分数值生成!AA$44+(装备拆分数值生成!$AK157-41)*装备拆分数值生成!AA$8)</f>
        <v>2053</v>
      </c>
      <c r="AO157">
        <f>INT(装备拆分数值生成!Y$50+(装备拆分数值生成!$AK157-41)*装备拆分数值生成!Y$14)</f>
        <v>8761</v>
      </c>
      <c r="AP157">
        <f>INT(装备拆分数值生成!AB$56+(装备拆分数值生成!$AK157-41)*装备拆分数值生成!AB$20)</f>
        <v>2138</v>
      </c>
      <c r="AR157">
        <f>INT(装备拆分数值生成!AB$62+(装备拆分数值生成!$AK157-41)*装备拆分数值生成!AB$26)</f>
        <v>1603</v>
      </c>
      <c r="AS157">
        <f>INT(装备拆分数值生成!Y$68+(装备拆分数值生成!$AK157-41)*装备拆分数值生成!Y$32)</f>
        <v>5476</v>
      </c>
      <c r="AU157">
        <f>INT(装备拆分数值生成!R$74+(装备拆分数值生成!$AK157-41)*装备拆分数值生成!R$38)</f>
        <v>1095</v>
      </c>
      <c r="AV157">
        <f>INT(装备拆分数值生成!T$74+(装备拆分数值生成!$AK157-41)*装备拆分数值生成!T$38)</f>
        <v>1493</v>
      </c>
    </row>
    <row r="158" spans="37:48">
      <c r="AK158">
        <v>47</v>
      </c>
      <c r="AL158" t="s">
        <v>220</v>
      </c>
      <c r="AM158">
        <f>INT(装备拆分数值生成!Z$44+(装备拆分数值生成!$AK158-41)*装备拆分数值生成!Z$8)</f>
        <v>2170</v>
      </c>
      <c r="AN158">
        <f>INT(装备拆分数值生成!AA$44+(装备拆分数值生成!$AK158-41)*装备拆分数值生成!AA$8)</f>
        <v>2170</v>
      </c>
      <c r="AO158">
        <f>INT(装备拆分数值生成!Y$50+(装备拆分数值生成!$AK158-41)*装备拆分数值生成!Y$14)</f>
        <v>9261</v>
      </c>
      <c r="AP158">
        <f>INT(装备拆分数值生成!AB$56+(装备拆分数值生成!$AK158-41)*装备拆分数值生成!AB$20)</f>
        <v>2260</v>
      </c>
      <c r="AR158">
        <f>INT(装备拆分数值生成!AB$62+(装备拆分数值生成!$AK158-41)*装备拆分数值生成!AB$26)</f>
        <v>1695</v>
      </c>
      <c r="AS158">
        <f>INT(装备拆分数值生成!Y$68+(装备拆分数值生成!$AK158-41)*装备拆分数值生成!Y$32)</f>
        <v>5788</v>
      </c>
      <c r="AU158">
        <f>INT(装备拆分数值生成!R$74+(装备拆分数值生成!$AK158-41)*装备拆分数值生成!R$38)</f>
        <v>1157</v>
      </c>
      <c r="AV158">
        <f>INT(装备拆分数值生成!T$74+(装备拆分数值生成!$AK158-41)*装备拆分数值生成!T$38)</f>
        <v>1578</v>
      </c>
    </row>
    <row r="159" spans="37:48">
      <c r="AK159">
        <v>48</v>
      </c>
      <c r="AL159" t="s">
        <v>481</v>
      </c>
      <c r="AM159">
        <f>INT(装备拆分数值生成!Z$44+(装备拆分数值生成!$AK159-41)*装备拆分数值生成!Z$8)</f>
        <v>2288</v>
      </c>
      <c r="AN159">
        <f>INT(装备拆分数值生成!AA$44+(装备拆分数值生成!$AK159-41)*装备拆分数值生成!AA$8)</f>
        <v>2288</v>
      </c>
      <c r="AO159">
        <f>INT(装备拆分数值生成!Y$50+(装备拆分数值生成!$AK159-41)*装备拆分数值生成!Y$14)</f>
        <v>9761</v>
      </c>
      <c r="AP159">
        <f>INT(装备拆分数值生成!AB$56+(装备拆分数值生成!$AK159-41)*装备拆分数值生成!AB$20)</f>
        <v>2382</v>
      </c>
      <c r="AR159">
        <f>INT(装备拆分数值生成!AB$62+(装备拆分数值生成!$AK159-41)*装备拆分数值生成!AB$26)</f>
        <v>1786</v>
      </c>
      <c r="AS159">
        <f>INT(装备拆分数值生成!Y$68+(装备拆分数值生成!$AK159-41)*装备拆分数值生成!Y$32)</f>
        <v>6100</v>
      </c>
      <c r="AU159">
        <f>INT(装备拆分数值生成!R$74+(装备拆分数值生成!$AK159-41)*装备拆分数值生成!R$38)</f>
        <v>1220</v>
      </c>
      <c r="AV159">
        <f>INT(装备拆分数值生成!T$74+(装备拆分数值生成!$AK159-41)*装备拆分数值生成!T$38)</f>
        <v>1664</v>
      </c>
    </row>
    <row r="160" spans="37:48">
      <c r="AK160">
        <v>49</v>
      </c>
      <c r="AL160" t="s">
        <v>482</v>
      </c>
      <c r="AM160">
        <f>INT(装备拆分数值生成!Z$44+(装备拆分数值生成!$AK160-41)*装备拆分数值生成!Z$8)</f>
        <v>2405</v>
      </c>
      <c r="AN160">
        <f>INT(装备拆分数值生成!AA$44+(装备拆分数值生成!$AK160-41)*装备拆分数值生成!AA$8)</f>
        <v>2405</v>
      </c>
      <c r="AO160">
        <f>INT(装备拆分数值生成!Y$50+(装备拆分数值生成!$AK160-41)*装备拆分数值生成!Y$14)</f>
        <v>10261</v>
      </c>
      <c r="AP160">
        <f>INT(装备拆分数值生成!AB$56+(装备拆分数值生成!$AK160-41)*装备拆分数值生成!AB$20)</f>
        <v>2504</v>
      </c>
      <c r="AR160">
        <f>INT(装备拆分数值生成!AB$62+(装备拆分数值生成!$AK160-41)*装备拆分数值生成!AB$26)</f>
        <v>1878</v>
      </c>
      <c r="AS160">
        <f>INT(装备拆分数值生成!Y$68+(装备拆分数值生成!$AK160-41)*装备拆分数值生成!Y$32)</f>
        <v>6413</v>
      </c>
      <c r="AU160">
        <f>INT(装备拆分数值生成!R$74+(装备拆分数值生成!$AK160-41)*装备拆分数值生成!R$38)</f>
        <v>1282</v>
      </c>
      <c r="AV160">
        <f>INT(装备拆分数值生成!T$74+(装备拆分数值生成!$AK160-41)*装备拆分数值生成!T$38)</f>
        <v>1749</v>
      </c>
    </row>
    <row r="161" spans="37:48">
      <c r="AK161">
        <v>50</v>
      </c>
      <c r="AL161" t="s">
        <v>483</v>
      </c>
      <c r="AM161">
        <f>INT(装备拆分数值生成!Z$44+(装备拆分数值生成!$AK161-41)*装备拆分数值生成!Z$8)</f>
        <v>2522</v>
      </c>
      <c r="AN161">
        <f>INT(装备拆分数值生成!AA$44+(装备拆分数值生成!$AK161-41)*装备拆分数值生成!AA$8)</f>
        <v>2522</v>
      </c>
      <c r="AO161">
        <f>INT(装备拆分数值生成!Y$50+(装备拆分数值生成!$AK161-41)*装备拆分数值生成!Y$14)</f>
        <v>10761</v>
      </c>
      <c r="AP161">
        <f>INT(装备拆分数值生成!AB$56+(装备拆分数值生成!$AK161-41)*装备拆分数值生成!AB$20)</f>
        <v>2626</v>
      </c>
      <c r="AR161">
        <f>INT(装备拆分数值生成!AB$62+(装备拆分数值生成!$AK161-41)*装备拆分数值生成!AB$26)</f>
        <v>1969</v>
      </c>
      <c r="AS161">
        <f>INT(装备拆分数值生成!Y$68+(装备拆分数值生成!$AK161-41)*装备拆分数值生成!Y$32)</f>
        <v>6725</v>
      </c>
      <c r="AU161">
        <f>INT(装备拆分数值生成!R$74+(装备拆分数值生成!$AK161-41)*装备拆分数值生成!R$38)</f>
        <v>1345</v>
      </c>
      <c r="AV161">
        <f>INT(装备拆分数值生成!T$74+(装备拆分数值生成!$AK161-41)*装备拆分数值生成!T$38)</f>
        <v>1834</v>
      </c>
    </row>
    <row r="163" spans="37:48">
      <c r="AL163" t="s">
        <v>492</v>
      </c>
      <c r="AM163" t="s">
        <v>450</v>
      </c>
      <c r="AO163" t="s">
        <v>465</v>
      </c>
      <c r="AP163" t="s">
        <v>467</v>
      </c>
      <c r="AQ163" t="s">
        <v>469</v>
      </c>
      <c r="AS163" t="s">
        <v>486</v>
      </c>
      <c r="AU163" t="s">
        <v>487</v>
      </c>
    </row>
    <row r="164" spans="37:48">
      <c r="AM164" t="s">
        <v>463</v>
      </c>
      <c r="AN164" t="s">
        <v>464</v>
      </c>
      <c r="AO164" t="s">
        <v>466</v>
      </c>
      <c r="AP164" t="s">
        <v>468</v>
      </c>
      <c r="AQ164" t="s">
        <v>491</v>
      </c>
      <c r="AR164" t="s">
        <v>485</v>
      </c>
      <c r="AS164" t="s">
        <v>466</v>
      </c>
      <c r="AT164" t="s">
        <v>464</v>
      </c>
      <c r="AU164" t="s">
        <v>466</v>
      </c>
      <c r="AV164" t="s">
        <v>485</v>
      </c>
    </row>
    <row r="165" spans="37:48">
      <c r="AK165">
        <v>1</v>
      </c>
      <c r="AL165" t="s">
        <v>456</v>
      </c>
      <c r="AM165">
        <f>INT(装备拆分数值生成!AG$40+(装备拆分数值生成!$AK112-1)*装备拆分数值生成!AG$4)</f>
        <v>111</v>
      </c>
      <c r="AN165">
        <f>INT(装备拆分数值生成!AH$40+(装备拆分数值生成!$AK112-1)*装备拆分数值生成!AH$4)</f>
        <v>111</v>
      </c>
      <c r="AO165">
        <f>INT(装备拆分数值生成!AF$46+(装备拆分数值生成!$AK112-1)*装备拆分数值生成!AF$10)</f>
        <v>272</v>
      </c>
      <c r="AP165">
        <f>INT(装备拆分数值生成!AI$52+(装备拆分数值生成!$AK112-1)*装备拆分数值生成!AI$16)</f>
        <v>88</v>
      </c>
      <c r="AR165">
        <f>INT(装备拆分数值生成!AI$58+(装备拆分数值生成!$AK112-1)*装备拆分数值生成!AI$22)</f>
        <v>53</v>
      </c>
      <c r="AS165">
        <f>INT(装备拆分数值生成!AF$64+(装备拆分数值生成!$AK112-1)*装备拆分数值生成!AF$28)</f>
        <v>163</v>
      </c>
      <c r="AT165">
        <f>INT(装备拆分数值生成!AH$64+(装备拆分数值生成!$AK112-1)*装备拆分数值生成!AH$28)</f>
        <v>37</v>
      </c>
      <c r="AU165">
        <f>INT(装备拆分数值生成!AF$70+(装备拆分数值生成!$AK165-1)*装备拆分数值生成!AF$34)</f>
        <v>109</v>
      </c>
      <c r="AV165">
        <f>INT(装备拆分数值生成!AI$70+(装备拆分数值生成!$AK165-1)*装备拆分数值生成!AI$34)</f>
        <v>17</v>
      </c>
    </row>
    <row r="166" spans="37:48">
      <c r="AK166">
        <v>2</v>
      </c>
      <c r="AL166" t="s">
        <v>451</v>
      </c>
      <c r="AM166">
        <f>INT(装备拆分数值生成!AG$40+(装备拆分数值生成!$AK113-1)*装备拆分数值生成!AG$4)</f>
        <v>121</v>
      </c>
      <c r="AN166">
        <f>INT(装备拆分数值生成!AH$40+(装备拆分数值生成!$AK113-1)*装备拆分数值生成!AH$4)</f>
        <v>121</v>
      </c>
      <c r="AO166">
        <f>INT(装备拆分数值生成!AF$46+(装备拆分数值生成!$AK113-1)*装备拆分数值生成!AF$10)</f>
        <v>296</v>
      </c>
      <c r="AP166">
        <f>INT(装备拆分数值生成!AI$52+(装备拆分数值生成!$AK113-1)*装备拆分数值生成!AI$16)</f>
        <v>96</v>
      </c>
      <c r="AR166">
        <f>INT(装备拆分数值生成!AI$58+(装备拆分数值生成!$AK113-1)*装备拆分数值生成!AI$22)</f>
        <v>57</v>
      </c>
      <c r="AS166">
        <f>INT(装备拆分数值生成!AF$64+(装备拆分数值生成!$AK113-1)*装备拆分数值生成!AF$28)</f>
        <v>177</v>
      </c>
      <c r="AT166">
        <f>INT(装备拆分数值生成!AH$64+(装备拆分数值生成!$AK113-1)*装备拆分数值生成!AH$28)</f>
        <v>40</v>
      </c>
      <c r="AU166">
        <f>INT(装备拆分数值生成!AF$70+(装备拆分数值生成!$AK166-1)*装备拆分数值生成!AF$34)</f>
        <v>118</v>
      </c>
      <c r="AV166">
        <f>INT(装备拆分数值生成!AI$70+(装备拆分数值生成!$AK166-1)*装备拆分数值生成!AI$34)</f>
        <v>19</v>
      </c>
    </row>
    <row r="167" spans="37:48">
      <c r="AK167">
        <v>3</v>
      </c>
      <c r="AL167" t="s">
        <v>192</v>
      </c>
      <c r="AM167">
        <f>INT(装备拆分数值生成!AG$40+(装备拆分数值生成!$AK114-1)*装备拆分数值生成!AG$4)</f>
        <v>130</v>
      </c>
      <c r="AN167">
        <f>INT(装备拆分数值生成!AH$40+(装备拆分数值生成!$AK114-1)*装备拆分数值生成!AH$4)</f>
        <v>130</v>
      </c>
      <c r="AO167">
        <f>INT(装备拆分数值生成!AF$46+(装备拆分数值生成!$AK114-1)*装备拆分数值生成!AF$10)</f>
        <v>319</v>
      </c>
      <c r="AP167">
        <f>INT(装备拆分数值生成!AI$52+(装备拆分数值生成!$AK114-1)*装备拆分数值生成!AI$16)</f>
        <v>104</v>
      </c>
      <c r="AR167">
        <f>INT(装备拆分数值生成!AI$58+(装备拆分数值生成!$AK114-1)*装备拆分数值生成!AI$22)</f>
        <v>62</v>
      </c>
      <c r="AS167">
        <f>INT(装备拆分数值生成!AF$64+(装备拆分数值生成!$AK114-1)*装备拆分数值生成!AF$28)</f>
        <v>191</v>
      </c>
      <c r="AT167">
        <f>INT(装备拆分数值生成!AH$64+(装备拆分数值生成!$AK114-1)*装备拆分数值生成!AH$28)</f>
        <v>43</v>
      </c>
      <c r="AU167">
        <f>INT(装备拆分数值生成!AF$70+(装备拆分数值生成!$AK167-1)*装备拆分数值生成!AF$34)</f>
        <v>127</v>
      </c>
      <c r="AV167">
        <f>INT(装备拆分数值生成!AI$70+(装备拆分数值生成!$AK167-1)*装备拆分数值生成!AI$34)</f>
        <v>20</v>
      </c>
    </row>
    <row r="168" spans="37:48">
      <c r="AK168">
        <v>4</v>
      </c>
      <c r="AL168" t="s">
        <v>193</v>
      </c>
      <c r="AM168">
        <f>INT(装备拆分数值生成!AG$40+(装备拆分数值生成!$AK115-1)*装备拆分数值生成!AG$4)</f>
        <v>140</v>
      </c>
      <c r="AN168">
        <f>INT(装备拆分数值生成!AH$40+(装备拆分数值生成!$AK115-1)*装备拆分数值生成!AH$4)</f>
        <v>140</v>
      </c>
      <c r="AO168">
        <f>INT(装备拆分数值生成!AF$46+(装备拆分数值生成!$AK115-1)*装备拆分数值生成!AF$10)</f>
        <v>343</v>
      </c>
      <c r="AP168">
        <f>INT(装备拆分数值生成!AI$52+(装备拆分数值生成!$AK115-1)*装备拆分数值生成!AI$16)</f>
        <v>111</v>
      </c>
      <c r="AR168">
        <f>INT(装备拆分数值生成!AI$58+(装备拆分数值生成!$AK115-1)*装备拆分数值生成!AI$22)</f>
        <v>67</v>
      </c>
      <c r="AS168">
        <f>INT(装备拆分数值生成!AF$64+(装备拆分数值生成!$AK115-1)*装备拆分数值生成!AF$28)</f>
        <v>206</v>
      </c>
      <c r="AT168">
        <f>INT(装备拆分数值生成!AH$64+(装备拆分数值生成!$AK115-1)*装备拆分数值生成!AH$28)</f>
        <v>46</v>
      </c>
      <c r="AU168">
        <f>INT(装备拆分数值生成!AF$70+(装备拆分数值生成!$AK168-1)*装备拆分数值生成!AF$34)</f>
        <v>137</v>
      </c>
      <c r="AV168">
        <f>INT(装备拆分数值生成!AI$70+(装备拆分数值生成!$AK168-1)*装备拆分数值生成!AI$34)</f>
        <v>22</v>
      </c>
    </row>
    <row r="169" spans="37:48">
      <c r="AK169">
        <v>5</v>
      </c>
      <c r="AL169" t="s">
        <v>194</v>
      </c>
      <c r="AM169">
        <f>INT(装备拆分数值生成!AG$40+(装备拆分数值生成!$AK116-1)*装备拆分数值生成!AG$4)</f>
        <v>150</v>
      </c>
      <c r="AN169">
        <f>INT(装备拆分数值生成!AH$40+(装备拆分数值生成!$AK116-1)*装备拆分数值生成!AH$4)</f>
        <v>150</v>
      </c>
      <c r="AO169">
        <f>INT(装备拆分数值生成!AF$46+(装备拆分数值生成!$AK116-1)*装备拆分数值生成!AF$10)</f>
        <v>366</v>
      </c>
      <c r="AP169">
        <f>INT(装备拆分数值生成!AI$52+(装备拆分数值生成!$AK116-1)*装备拆分数值生成!AI$16)</f>
        <v>119</v>
      </c>
      <c r="AR169">
        <f>INT(装备拆分数值生成!AI$58+(装备拆分数值生成!$AK116-1)*装备拆分数值生成!AI$22)</f>
        <v>71</v>
      </c>
      <c r="AS169">
        <f>INT(装备拆分数值生成!AF$64+(装备拆分数值生成!$AK116-1)*装备拆分数值生成!AF$28)</f>
        <v>220</v>
      </c>
      <c r="AT169">
        <f>INT(装备拆分数值生成!AH$64+(装备拆分数值生成!$AK116-1)*装备拆分数值生成!AH$28)</f>
        <v>50</v>
      </c>
      <c r="AU169">
        <f>INT(装备拆分数值生成!AF$70+(装备拆分数值生成!$AK169-1)*装备拆分数值生成!AF$34)</f>
        <v>146</v>
      </c>
      <c r="AV169">
        <f>INT(装备拆分数值生成!AI$70+(装备拆分数值生成!$AK169-1)*装备拆分数值生成!AI$34)</f>
        <v>23</v>
      </c>
    </row>
    <row r="170" spans="37:48">
      <c r="AK170">
        <v>6</v>
      </c>
      <c r="AL170" t="s">
        <v>195</v>
      </c>
      <c r="AM170">
        <f>INT(装备拆分数值生成!AG$40+(装备拆分数值生成!$AK117-1)*装备拆分数值生成!AG$4)</f>
        <v>159</v>
      </c>
      <c r="AN170">
        <f>INT(装备拆分数值生成!AH$40+(装备拆分数值生成!$AK117-1)*装备拆分数值生成!AH$4)</f>
        <v>159</v>
      </c>
      <c r="AO170">
        <f>INT(装备拆分数值生成!AF$46+(装备拆分数值生成!$AK117-1)*装备拆分数值生成!AF$10)</f>
        <v>390</v>
      </c>
      <c r="AP170">
        <f>INT(装备拆分数值生成!AI$52+(装备拆分数值生成!$AK117-1)*装备拆分数值生成!AI$16)</f>
        <v>127</v>
      </c>
      <c r="AR170">
        <f>INT(装备拆分数值生成!AI$58+(装备拆分数值生成!$AK117-1)*装备拆分数值生成!AI$22)</f>
        <v>76</v>
      </c>
      <c r="AS170">
        <f>INT(装备拆分数值生成!AF$64+(装备拆分数值生成!$AK117-1)*装备拆分数值生成!AF$28)</f>
        <v>234</v>
      </c>
      <c r="AT170">
        <f>INT(装备拆分数值生成!AH$64+(装备拆分数值生成!$AK117-1)*装备拆分数值生成!AH$28)</f>
        <v>53</v>
      </c>
      <c r="AU170">
        <f>INT(装备拆分数值生成!AF$70+(装备拆分数值生成!$AK170-1)*装备拆分数值生成!AF$34)</f>
        <v>156</v>
      </c>
      <c r="AV170">
        <f>INT(装备拆分数值生成!AI$70+(装备拆分数值生成!$AK170-1)*装备拆分数值生成!AI$34)</f>
        <v>25</v>
      </c>
    </row>
    <row r="171" spans="37:48">
      <c r="AK171">
        <v>7</v>
      </c>
      <c r="AL171" t="s">
        <v>196</v>
      </c>
      <c r="AM171">
        <f>INT(装备拆分数值生成!AG$40+(装备拆分数值生成!$AK118-1)*装备拆分数值生成!AG$4)</f>
        <v>169</v>
      </c>
      <c r="AN171">
        <f>INT(装备拆分数值生成!AH$40+(装备拆分数值生成!$AK118-1)*装备拆分数值生成!AH$4)</f>
        <v>169</v>
      </c>
      <c r="AO171">
        <f>INT(装备拆分数值生成!AF$46+(装备拆分数值生成!$AK118-1)*装备拆分数值生成!AF$10)</f>
        <v>414</v>
      </c>
      <c r="AP171">
        <f>INT(装备拆分数值生成!AI$52+(装备拆分数值生成!$AK118-1)*装备拆分数值生成!AI$16)</f>
        <v>134</v>
      </c>
      <c r="AR171">
        <f>INT(装备拆分数值生成!AI$58+(装备拆分数值生成!$AK118-1)*装备拆分数值生成!AI$22)</f>
        <v>80</v>
      </c>
      <c r="AS171">
        <f>INT(装备拆分数值生成!AF$64+(装备拆分数值生成!$AK118-1)*装备拆分数值生成!AF$28)</f>
        <v>248</v>
      </c>
      <c r="AT171">
        <f>INT(装备拆分数值生成!AH$64+(装备拆分数值生成!$AK118-1)*装备拆分数值生成!AH$28)</f>
        <v>56</v>
      </c>
      <c r="AU171">
        <f>INT(装备拆分数值生成!AF$70+(装备拆分数值生成!$AK171-1)*装备拆分数值生成!AF$34)</f>
        <v>165</v>
      </c>
      <c r="AV171">
        <f>INT(装备拆分数值生成!AI$70+(装备拆分数值生成!$AK171-1)*装备拆分数值生成!AI$34)</f>
        <v>26</v>
      </c>
    </row>
    <row r="172" spans="37:48">
      <c r="AK172">
        <v>8</v>
      </c>
      <c r="AL172" t="s">
        <v>452</v>
      </c>
      <c r="AM172">
        <f>INT(装备拆分数值生成!AG$40+(装备拆分数值生成!$AK119-1)*装备拆分数值生成!AG$4)</f>
        <v>179</v>
      </c>
      <c r="AN172">
        <f>INT(装备拆分数值生成!AH$40+(装备拆分数值生成!$AK119-1)*装备拆分数值生成!AH$4)</f>
        <v>179</v>
      </c>
      <c r="AO172">
        <f>INT(装备拆分数值生成!AF$46+(装备拆分数值生成!$AK119-1)*装备拆分数值生成!AF$10)</f>
        <v>437</v>
      </c>
      <c r="AP172">
        <f>INT(装备拆分数值生成!AI$52+(装备拆分数值生成!$AK119-1)*装备拆分数值生成!AI$16)</f>
        <v>142</v>
      </c>
      <c r="AR172">
        <f>INT(装备拆分数值生成!AI$58+(装备拆分数值生成!$AK119-1)*装备拆分数值生成!AI$22)</f>
        <v>85</v>
      </c>
      <c r="AS172">
        <f>INT(装备拆分数值生成!AF$64+(装备拆分数值生成!$AK119-1)*装备拆分数值生成!AF$28)</f>
        <v>262</v>
      </c>
      <c r="AT172">
        <f>INT(装备拆分数值生成!AH$64+(装备拆分数值生成!$AK119-1)*装备拆分数值生成!AH$28)</f>
        <v>59</v>
      </c>
      <c r="AU172">
        <f>INT(装备拆分数值生成!AF$70+(装备拆分数值生成!$AK172-1)*装备拆分数值生成!AF$34)</f>
        <v>175</v>
      </c>
      <c r="AV172">
        <f>INT(装备拆分数值生成!AI$70+(装备拆分数值生成!$AK172-1)*装备拆分数值生成!AI$34)</f>
        <v>28</v>
      </c>
    </row>
    <row r="173" spans="37:48">
      <c r="AK173">
        <v>9</v>
      </c>
      <c r="AL173" t="s">
        <v>453</v>
      </c>
      <c r="AM173">
        <f>INT(装备拆分数值生成!AG$40+(装备拆分数值生成!$AK120-1)*装备拆分数值生成!AG$4)</f>
        <v>188</v>
      </c>
      <c r="AN173">
        <f>INT(装备拆分数值生成!AH$40+(装备拆分数值生成!$AK120-1)*装备拆分数值生成!AH$4)</f>
        <v>188</v>
      </c>
      <c r="AO173">
        <f>INT(装备拆分数值生成!AF$46+(装备拆分数值生成!$AK120-1)*装备拆分数值生成!AF$10)</f>
        <v>461</v>
      </c>
      <c r="AP173">
        <f>INT(装备拆分数值生成!AI$52+(装备拆分数值生成!$AK120-1)*装备拆分数值生成!AI$16)</f>
        <v>150</v>
      </c>
      <c r="AR173">
        <f>INT(装备拆分数值生成!AI$58+(装备拆分数值生成!$AK120-1)*装备拆分数值生成!AI$22)</f>
        <v>90</v>
      </c>
      <c r="AS173">
        <f>INT(装备拆分数值生成!AF$64+(装备拆分数值生成!$AK120-1)*装备拆分数值生成!AF$28)</f>
        <v>276</v>
      </c>
      <c r="AT173">
        <f>INT(装备拆分数值生成!AH$64+(装备拆分数值生成!$AK120-1)*装备拆分数值生成!AH$28)</f>
        <v>62</v>
      </c>
      <c r="AU173">
        <f>INT(装备拆分数值生成!AF$70+(装备拆分数值生成!$AK173-1)*装备拆分数值生成!AF$34)</f>
        <v>184</v>
      </c>
      <c r="AV173">
        <f>INT(装备拆分数值生成!AI$70+(装备拆分数值生成!$AK173-1)*装备拆分数值生成!AI$34)</f>
        <v>30</v>
      </c>
    </row>
    <row r="174" spans="37:48">
      <c r="AK174">
        <v>10</v>
      </c>
      <c r="AL174" t="s">
        <v>454</v>
      </c>
      <c r="AM174">
        <f>INT(装备拆分数值生成!AG$40+(装备拆分数值生成!$AK121-1)*装备拆分数值生成!AG$4)</f>
        <v>198</v>
      </c>
      <c r="AN174">
        <f>INT(装备拆分数值生成!AH$40+(装备拆分数值生成!$AK121-1)*装备拆分数值生成!AH$4)</f>
        <v>198</v>
      </c>
      <c r="AO174">
        <f>INT(装备拆分数值生成!AF$46+(装备拆分数值生成!$AK121-1)*装备拆分数值生成!AF$10)</f>
        <v>484</v>
      </c>
      <c r="AP174">
        <f>INT(装备拆分数值生成!AI$52+(装备拆分数值生成!$AK121-1)*装备拆分数值生成!AI$16)</f>
        <v>157</v>
      </c>
      <c r="AR174">
        <f>INT(装备拆分数值生成!AI$58+(装备拆分数值生成!$AK121-1)*装备拆分数值生成!AI$22)</f>
        <v>94</v>
      </c>
      <c r="AS174">
        <f>INT(装备拆分数值生成!AF$64+(装备拆分数值生成!$AK121-1)*装备拆分数值生成!AF$28)</f>
        <v>290</v>
      </c>
      <c r="AT174">
        <f>INT(装备拆分数值生成!AH$64+(装备拆分数值生成!$AK121-1)*装备拆分数值生成!AH$28)</f>
        <v>66</v>
      </c>
      <c r="AU174">
        <f>INT(装备拆分数值生成!AF$70+(装备拆分数值生成!$AK174-1)*装备拆分数值生成!AF$34)</f>
        <v>193</v>
      </c>
      <c r="AV174">
        <f>INT(装备拆分数值生成!AI$70+(装备拆分数值生成!$AK174-1)*装备拆分数值生成!AI$34)</f>
        <v>31</v>
      </c>
    </row>
    <row r="175" spans="37:48">
      <c r="AK175">
        <v>11</v>
      </c>
      <c r="AL175" t="s">
        <v>455</v>
      </c>
      <c r="AM175">
        <f>INT(装备拆分数值生成!AG$41+(装备拆分数值生成!$AK122-11)*装备拆分数值生成!AG$5)</f>
        <v>210</v>
      </c>
      <c r="AN175">
        <f>INT(装备拆分数值生成!AH$41+(装备拆分数值生成!$AK122-11)*装备拆分数值生成!AH$5)</f>
        <v>210</v>
      </c>
      <c r="AO175">
        <f>INT(装备拆分数值生成!AF$47+(装备拆分数值生成!$AK122-11)*装备拆分数值生成!AF$11)</f>
        <v>514</v>
      </c>
      <c r="AP175">
        <f>INT(装备拆分数值生成!AI$53+(装备拆分数值生成!$AK122-11)*装备拆分数值生成!AI$17)</f>
        <v>167</v>
      </c>
      <c r="AR175">
        <f>INT(装备拆分数值生成!AI$59+(装备拆分数值生成!$AK122-11)*装备拆分数值生成!AI$23)</f>
        <v>100</v>
      </c>
      <c r="AS175">
        <f>INT(装备拆分数值生成!AF$65+(装备拆分数值生成!$AK122-11)*装备拆分数值生成!AF$29)</f>
        <v>308</v>
      </c>
      <c r="AT175">
        <f>INT(装备拆分数值生成!AH$65+(装备拆分数值生成!$AK122-11)*装备拆分数值生成!AH$29)</f>
        <v>70</v>
      </c>
      <c r="AU175">
        <f>INT(装备拆分数值生成!AF$71+(装备拆分数值生成!$AK175-11)*装备拆分数值生成!AF$35)</f>
        <v>205</v>
      </c>
      <c r="AV175">
        <f>INT(装备拆分数值生成!AI$71+(装备拆分数值生成!$AK175-11)*装备拆分数值生成!AI$35)</f>
        <v>33</v>
      </c>
    </row>
    <row r="176" spans="37:48">
      <c r="AK176">
        <v>12</v>
      </c>
      <c r="AL176" t="s">
        <v>457</v>
      </c>
      <c r="AM176">
        <f>INT(装备拆分数值生成!AG$41+(装备拆分数值生成!$AK123-11)*装备拆分数值生成!AG$5)</f>
        <v>225</v>
      </c>
      <c r="AN176">
        <f>INT(装备拆分数值生成!AH$41+(装备拆分数值生成!$AK123-11)*装备拆分数值生成!AH$5)</f>
        <v>225</v>
      </c>
      <c r="AO176">
        <f>INT(装备拆分数值生成!AF$47+(装备拆分数值生成!$AK123-11)*装备拆分数值生成!AF$11)</f>
        <v>550</v>
      </c>
      <c r="AP176">
        <f>INT(装备拆分数值生成!AI$53+(装备拆分数值生成!$AK123-11)*装备拆分数值生成!AI$17)</f>
        <v>179</v>
      </c>
      <c r="AR176">
        <f>INT(装备拆分数值生成!AI$59+(装备拆分数值生成!$AK123-11)*装备拆分数值生成!AI$23)</f>
        <v>107</v>
      </c>
      <c r="AS176">
        <f>INT(装备拆分数值生成!AF$65+(装备拆分数值生成!$AK123-11)*装备拆分数值生成!AF$29)</f>
        <v>330</v>
      </c>
      <c r="AT176">
        <f>INT(装备拆分数值生成!AH$65+(装备拆分数值生成!$AK123-11)*装备拆分数值生成!AH$29)</f>
        <v>75</v>
      </c>
      <c r="AU176">
        <f>INT(装备拆分数值生成!AF$71+(装备拆分数值生成!$AK176-11)*装备拆分数值生成!AF$35)</f>
        <v>220</v>
      </c>
      <c r="AV176">
        <f>INT(装备拆分数值生成!AI$71+(装备拆分数值生成!$AK176-11)*装备拆分数值生成!AI$35)</f>
        <v>35</v>
      </c>
    </row>
    <row r="177" spans="37:48">
      <c r="AK177">
        <v>13</v>
      </c>
      <c r="AL177" t="s">
        <v>198</v>
      </c>
      <c r="AM177">
        <f>INT(装备拆分数值生成!AG$41+(装备拆分数值生成!$AK124-11)*装备拆分数值生成!AG$5)</f>
        <v>239</v>
      </c>
      <c r="AN177">
        <f>INT(装备拆分数值生成!AH$41+(装备拆分数值生成!$AK124-11)*装备拆分数值生成!AH$5)</f>
        <v>239</v>
      </c>
      <c r="AO177">
        <f>INT(装备拆分数值生成!AF$47+(装备拆分数值生成!$AK124-11)*装备拆分数值生成!AF$11)</f>
        <v>586</v>
      </c>
      <c r="AP177">
        <f>INT(装备拆分数值生成!AI$53+(装备拆分数值生成!$AK124-11)*装备拆分数值生成!AI$17)</f>
        <v>190</v>
      </c>
      <c r="AR177">
        <f>INT(装备拆分数值生成!AI$59+(装备拆分数值生成!$AK124-11)*装备拆分数值生成!AI$23)</f>
        <v>114</v>
      </c>
      <c r="AS177">
        <f>INT(装备拆分数值生成!AF$65+(装备拆分数值生成!$AK124-11)*装备拆分数值生成!AF$29)</f>
        <v>351</v>
      </c>
      <c r="AT177">
        <f>INT(装备拆分数值生成!AH$65+(装备拆分数值生成!$AK124-11)*装备拆分数值生成!AH$29)</f>
        <v>79</v>
      </c>
      <c r="AU177">
        <f>INT(装备拆分数值生成!AF$71+(装备拆分数值生成!$AK177-11)*装备拆分数值生成!AF$35)</f>
        <v>234</v>
      </c>
      <c r="AV177">
        <f>INT(装备拆分数值生成!AI$71+(装备拆分数值生成!$AK177-11)*装备拆分数值生成!AI$35)</f>
        <v>38</v>
      </c>
    </row>
    <row r="178" spans="37:48">
      <c r="AK178">
        <v>14</v>
      </c>
      <c r="AL178" t="s">
        <v>199</v>
      </c>
      <c r="AM178">
        <f>INT(装备拆分数值生成!AG$41+(装备拆分数值生成!$AK125-11)*装备拆分数值生成!AG$5)</f>
        <v>254</v>
      </c>
      <c r="AN178">
        <f>INT(装备拆分数值生成!AH$41+(装备拆分数值生成!$AK125-11)*装备拆分数值生成!AH$5)</f>
        <v>254</v>
      </c>
      <c r="AO178">
        <f>INT(装备拆分数值生成!AF$47+(装备拆分数值生成!$AK125-11)*装备拆分数值生成!AF$11)</f>
        <v>622</v>
      </c>
      <c r="AP178">
        <f>INT(装备拆分数值生成!AI$53+(装备拆分数值生成!$AK125-11)*装备拆分数值生成!AI$17)</f>
        <v>202</v>
      </c>
      <c r="AR178">
        <f>INT(装备拆分数值生成!AI$59+(装备拆分数值生成!$AK125-11)*装备拆分数值生成!AI$23)</f>
        <v>121</v>
      </c>
      <c r="AS178">
        <f>INT(装备拆分数值生成!AF$65+(装备拆分数值生成!$AK125-11)*装备拆分数值生成!AF$29)</f>
        <v>373</v>
      </c>
      <c r="AT178">
        <f>INT(装备拆分数值生成!AH$65+(装备拆分数值生成!$AK125-11)*装备拆分数值生成!AH$29)</f>
        <v>84</v>
      </c>
      <c r="AU178">
        <f>INT(装备拆分数值生成!AF$71+(装备拆分数值生成!$AK178-11)*装备拆分数值生成!AF$35)</f>
        <v>249</v>
      </c>
      <c r="AV178">
        <f>INT(装备拆分数值生成!AI$71+(装备拆分数值生成!$AK178-11)*装备拆分数值生成!AI$35)</f>
        <v>40</v>
      </c>
    </row>
    <row r="179" spans="37:48">
      <c r="AK179">
        <v>15</v>
      </c>
      <c r="AL179" t="s">
        <v>200</v>
      </c>
      <c r="AM179">
        <f>INT(装备拆分数值生成!AG$41+(装备拆分数值生成!$AK126-11)*装备拆分数值生成!AG$5)</f>
        <v>269</v>
      </c>
      <c r="AN179">
        <f>INT(装备拆分数值生成!AH$41+(装备拆分数值生成!$AK126-11)*装备拆分数值生成!AH$5)</f>
        <v>269</v>
      </c>
      <c r="AO179">
        <f>INT(装备拆分数值生成!AF$47+(装备拆分数值生成!$AK126-11)*装备拆分数值生成!AF$11)</f>
        <v>658</v>
      </c>
      <c r="AP179">
        <f>INT(装备拆分数值生成!AI$53+(装备拆分数值生成!$AK126-11)*装备拆分数值生成!AI$17)</f>
        <v>214</v>
      </c>
      <c r="AR179">
        <f>INT(装备拆分数值生成!AI$59+(装备拆分数值生成!$AK126-11)*装备拆分数值生成!AI$23)</f>
        <v>128</v>
      </c>
      <c r="AS179">
        <f>INT(装备拆分数值生成!AF$65+(装备拆分数值生成!$AK126-11)*装备拆分数值生成!AF$29)</f>
        <v>395</v>
      </c>
      <c r="AT179">
        <f>INT(装备拆分数值生成!AH$65+(装备拆分数值生成!$AK126-11)*装备拆分数值生成!AH$29)</f>
        <v>89</v>
      </c>
      <c r="AU179">
        <f>INT(装备拆分数值生成!AF$71+(装备拆分数值生成!$AK179-11)*装备拆分数值生成!AF$35)</f>
        <v>263</v>
      </c>
      <c r="AV179">
        <f>INT(装备拆分数值生成!AI$71+(装备拆分数值生成!$AK179-11)*装备拆分数值生成!AI$35)</f>
        <v>42</v>
      </c>
    </row>
    <row r="180" spans="37:48">
      <c r="AK180">
        <v>16</v>
      </c>
      <c r="AL180" t="s">
        <v>201</v>
      </c>
      <c r="AM180">
        <f>INT(装备拆分数值生成!AG$41+(装备拆分数值生成!$AK127-11)*装备拆分数值生成!AG$5)</f>
        <v>284</v>
      </c>
      <c r="AN180">
        <f>INT(装备拆分数值生成!AH$41+(装备拆分数值生成!$AK127-11)*装备拆分数值生成!AH$5)</f>
        <v>284</v>
      </c>
      <c r="AO180">
        <f>INT(装备拆分数值生成!AF$47+(装备拆分数值生成!$AK127-11)*装备拆分数值生成!AF$11)</f>
        <v>694</v>
      </c>
      <c r="AP180">
        <f>INT(装备拆分数值生成!AI$53+(装备拆分数值生成!$AK127-11)*装备拆分数值生成!AI$17)</f>
        <v>226</v>
      </c>
      <c r="AR180">
        <f>INT(装备拆分数值生成!AI$59+(装备拆分数值生成!$AK127-11)*装备拆分数值生成!AI$23)</f>
        <v>135</v>
      </c>
      <c r="AS180">
        <f>INT(装备拆分数值生成!AF$65+(装备拆分数值生成!$AK127-11)*装备拆分数值生成!AF$29)</f>
        <v>416</v>
      </c>
      <c r="AT180">
        <f>INT(装备拆分数值生成!AH$65+(装备拆分数值生成!$AK127-11)*装备拆分数值生成!AH$29)</f>
        <v>94</v>
      </c>
      <c r="AU180">
        <f>INT(装备拆分数值生成!AF$71+(装备拆分数值生成!$AK180-11)*装备拆分数值生成!AF$35)</f>
        <v>277</v>
      </c>
      <c r="AV180">
        <f>INT(装备拆分数值生成!AI$71+(装备拆分数值生成!$AK180-11)*装备拆分数值生成!AI$35)</f>
        <v>45</v>
      </c>
    </row>
    <row r="181" spans="37:48">
      <c r="AK181">
        <v>17</v>
      </c>
      <c r="AL181" t="s">
        <v>202</v>
      </c>
      <c r="AM181">
        <f>INT(装备拆分数值生成!AG$41+(装备拆分数值生成!$AK128-11)*装备拆分数值生成!AG$5)</f>
        <v>299</v>
      </c>
      <c r="AN181">
        <f>INT(装备拆分数值生成!AH$41+(装备拆分数值生成!$AK128-11)*装备拆分数值生成!AH$5)</f>
        <v>299</v>
      </c>
      <c r="AO181">
        <f>INT(装备拆分数值生成!AF$47+(装备拆分数值生成!$AK128-11)*装备拆分数值生成!AF$11)</f>
        <v>731</v>
      </c>
      <c r="AP181">
        <f>INT(装备拆分数值生成!AI$53+(装备拆分数值生成!$AK128-11)*装备拆分数值生成!AI$17)</f>
        <v>237</v>
      </c>
      <c r="AR181">
        <f>INT(装备拆分数值生成!AI$59+(装备拆分数值生成!$AK128-11)*装备拆分数值生成!AI$23)</f>
        <v>142</v>
      </c>
      <c r="AS181">
        <f>INT(装备拆分数值生成!AF$65+(装备拆分数值生成!$AK128-11)*装备拆分数值生成!AF$29)</f>
        <v>438</v>
      </c>
      <c r="AT181">
        <f>INT(装备拆分数值生成!AH$65+(装备拆分数值生成!$AK128-11)*装备拆分数值生成!AH$29)</f>
        <v>99</v>
      </c>
      <c r="AU181">
        <f>INT(装备拆分数值生成!AF$71+(装备拆分数值生成!$AK181-11)*装备拆分数值生成!AF$35)</f>
        <v>292</v>
      </c>
      <c r="AV181">
        <f>INT(装备拆分数值生成!AI$71+(装备拆分数值生成!$AK181-11)*装备拆分数值生成!AI$35)</f>
        <v>47</v>
      </c>
    </row>
    <row r="182" spans="37:48">
      <c r="AK182">
        <v>18</v>
      </c>
      <c r="AL182" t="s">
        <v>458</v>
      </c>
      <c r="AM182">
        <f>INT(装备拆分数值生成!AG$41+(装备拆分数值生成!$AK129-11)*装备拆分数值生成!AG$5)</f>
        <v>313</v>
      </c>
      <c r="AN182">
        <f>INT(装备拆分数值生成!AH$41+(装备拆分数值生成!$AK129-11)*装备拆分数值生成!AH$5)</f>
        <v>313</v>
      </c>
      <c r="AO182">
        <f>INT(装备拆分数值生成!AF$47+(装备拆分数值生成!$AK129-11)*装备拆分数值生成!AF$11)</f>
        <v>767</v>
      </c>
      <c r="AP182">
        <f>INT(装备拆分数值生成!AI$53+(装备拆分数值生成!$AK129-11)*装备拆分数值生成!AI$17)</f>
        <v>249</v>
      </c>
      <c r="AR182">
        <f>INT(装备拆分数值生成!AI$59+(装备拆分数值生成!$AK129-11)*装备拆分数值生成!AI$23)</f>
        <v>149</v>
      </c>
      <c r="AS182">
        <f>INT(装备拆分数值生成!AF$65+(装备拆分数值生成!$AK129-11)*装备拆分数值生成!AF$29)</f>
        <v>460</v>
      </c>
      <c r="AT182">
        <f>INT(装备拆分数值生成!AH$65+(装备拆分数值生成!$AK129-11)*装备拆分数值生成!AH$29)</f>
        <v>104</v>
      </c>
      <c r="AU182">
        <f>INT(装备拆分数值生成!AF$71+(装备拆分数值生成!$AK182-11)*装备拆分数值生成!AF$35)</f>
        <v>306</v>
      </c>
      <c r="AV182">
        <f>INT(装备拆分数值生成!AI$71+(装备拆分数值生成!$AK182-11)*装备拆分数值生成!AI$35)</f>
        <v>49</v>
      </c>
    </row>
    <row r="183" spans="37:48">
      <c r="AK183">
        <v>19</v>
      </c>
      <c r="AL183" t="s">
        <v>459</v>
      </c>
      <c r="AM183">
        <f>INT(装备拆分数值生成!AG$41+(装备拆分数值生成!$AK130-11)*装备拆分数值生成!AG$5)</f>
        <v>328</v>
      </c>
      <c r="AN183">
        <f>INT(装备拆分数值生成!AH$41+(装备拆分数值生成!$AK130-11)*装备拆分数值生成!AH$5)</f>
        <v>328</v>
      </c>
      <c r="AO183">
        <f>INT(装备拆分数值生成!AF$47+(装备拆分数值生成!$AK130-11)*装备拆分数值生成!AF$11)</f>
        <v>803</v>
      </c>
      <c r="AP183">
        <f>INT(装备拆分数值生成!AI$53+(装备拆分数值生成!$AK130-11)*装备拆分数值生成!AI$17)</f>
        <v>261</v>
      </c>
      <c r="AR183">
        <f>INT(装备拆分数值生成!AI$59+(装备拆分数值生成!$AK130-11)*装备拆分数值生成!AI$23)</f>
        <v>156</v>
      </c>
      <c r="AS183">
        <f>INT(装备拆分数值生成!AF$65+(装备拆分数值生成!$AK130-11)*装备拆分数值生成!AF$29)</f>
        <v>482</v>
      </c>
      <c r="AT183">
        <f>INT(装备拆分数值生成!AH$65+(装备拆分数值生成!$AK130-11)*装备拆分数值生成!AH$29)</f>
        <v>109</v>
      </c>
      <c r="AU183">
        <f>INT(装备拆分数值生成!AF$71+(装备拆分数值生成!$AK183-11)*装备拆分数值生成!AF$35)</f>
        <v>321</v>
      </c>
      <c r="AV183">
        <f>INT(装备拆分数值生成!AI$71+(装备拆分数值生成!$AK183-11)*装备拆分数值生成!AI$35)</f>
        <v>52</v>
      </c>
    </row>
    <row r="184" spans="37:48">
      <c r="AK184">
        <v>20</v>
      </c>
      <c r="AL184" t="s">
        <v>460</v>
      </c>
      <c r="AM184">
        <f>INT(装备拆分数值生成!AG$41+(装备拆分数值生成!$AK131-11)*装备拆分数值生成!AG$5)</f>
        <v>343</v>
      </c>
      <c r="AN184">
        <f>INT(装备拆分数值生成!AH$41+(装备拆分数值生成!$AK131-11)*装备拆分数值生成!AH$5)</f>
        <v>343</v>
      </c>
      <c r="AO184">
        <f>INT(装备拆分数值生成!AF$47+(装备拆分数值生成!$AK131-11)*装备拆分数值生成!AF$11)</f>
        <v>839</v>
      </c>
      <c r="AP184">
        <f>INT(装备拆分数值生成!AI$53+(装备拆分数值生成!$AK131-11)*装备拆分数值生成!AI$17)</f>
        <v>273</v>
      </c>
      <c r="AR184">
        <f>INT(装备拆分数值生成!AI$59+(装备拆分数值生成!$AK131-11)*装备拆分数值生成!AI$23)</f>
        <v>163</v>
      </c>
      <c r="AS184">
        <f>INT(装备拆分数值生成!AF$65+(装备拆分数值生成!$AK131-11)*装备拆分数值生成!AF$29)</f>
        <v>503</v>
      </c>
      <c r="AT184">
        <f>INT(装备拆分数值生成!AH$65+(装备拆分数值生成!$AK131-11)*装备拆分数值生成!AH$29)</f>
        <v>114</v>
      </c>
      <c r="AU184">
        <f>INT(装备拆分数值生成!AF$71+(装备拆分数值生成!$AK184-11)*装备拆分数值生成!AF$35)</f>
        <v>335</v>
      </c>
      <c r="AV184">
        <f>INT(装备拆分数值生成!AI$71+(装备拆分数值生成!$AK184-11)*装备拆分数值生成!AI$35)</f>
        <v>54</v>
      </c>
    </row>
    <row r="185" spans="37:48">
      <c r="AK185">
        <v>21</v>
      </c>
      <c r="AL185" t="s">
        <v>462</v>
      </c>
      <c r="AM185">
        <f>INT(装备拆分数值生成!AG$42+(装备拆分数值生成!$AK132-21)*装备拆分数值生成!AG$6)</f>
        <v>377</v>
      </c>
      <c r="AN185">
        <f>INT(装备拆分数值生成!AH$42+(装备拆分数值生成!$AK132-21)*装备拆分数值生成!AH$6)</f>
        <v>377</v>
      </c>
      <c r="AO185">
        <f>INT(装备拆分数值生成!AF$48+(装备拆分数值生成!$AK132-21)*装备拆分数值生成!AF$12)</f>
        <v>923</v>
      </c>
      <c r="AP185">
        <f>INT(装备拆分数值生成!AI$54+(装备拆分数值生成!$AK132-21)*装备拆分数值生成!AI$18)</f>
        <v>300</v>
      </c>
      <c r="AR185">
        <f>INT(装备拆分数值生成!AI$60+(装备拆分数值生成!$AK132-21)*装备拆分数值生成!AI$24)</f>
        <v>180</v>
      </c>
      <c r="AS185">
        <f>INT(装备拆分数值生成!AF$66+(装备拆分数值生成!$AK132-21)*装备拆分数值生成!AF$30)</f>
        <v>553</v>
      </c>
      <c r="AT185">
        <f>INT(装备拆分数值生成!AH$66+(装备拆分数值生成!$AK132-21)*装备拆分数值生成!AH$30)</f>
        <v>125</v>
      </c>
      <c r="AU185">
        <f>INT(装备拆分数值生成!AF$72+(装备拆分数值生成!$AK185-21)*装备拆分数值生成!AF$36)</f>
        <v>369</v>
      </c>
      <c r="AV185">
        <f>INT(装备拆分数值生成!AI$72+(装备拆分数值生成!$AK185-21)*装备拆分数值生成!AI$36)</f>
        <v>60</v>
      </c>
    </row>
    <row r="186" spans="37:48">
      <c r="AK186">
        <v>22</v>
      </c>
      <c r="AL186" t="s">
        <v>470</v>
      </c>
      <c r="AM186">
        <f>INT(装备拆分数值生成!AG$42+(装备拆分数值生成!$AK133-21)*装备拆分数值生成!AG$6)</f>
        <v>400</v>
      </c>
      <c r="AN186">
        <f>INT(装备拆分数值生成!AH$42+(装备拆分数值生成!$AK133-21)*装备拆分数值生成!AH$6)</f>
        <v>400</v>
      </c>
      <c r="AO186">
        <f>INT(装备拆分数值生成!AF$48+(装备拆分数值生成!$AK133-21)*装备拆分数值生成!AF$12)</f>
        <v>979</v>
      </c>
      <c r="AP186">
        <f>INT(装备拆分数值生成!AI$54+(装备拆分数值生成!$AK133-21)*装备拆分数值生成!AI$18)</f>
        <v>318</v>
      </c>
      <c r="AR186">
        <f>INT(装备拆分数值生成!AI$60+(装备拆分数值生成!$AK133-21)*装备拆分数值生成!AI$24)</f>
        <v>191</v>
      </c>
      <c r="AS186">
        <f>INT(装备拆分数值生成!AF$66+(装备拆分数值生成!$AK133-21)*装备拆分数值生成!AF$30)</f>
        <v>587</v>
      </c>
      <c r="AT186">
        <f>INT(装备拆分数值生成!AH$66+(装备拆分数值生成!$AK133-21)*装备拆分数值生成!AH$30)</f>
        <v>133</v>
      </c>
      <c r="AU186">
        <f>INT(装备拆分数值生成!AF$72+(装备拆分数值生成!$AK186-21)*装备拆分数值生成!AF$36)</f>
        <v>391</v>
      </c>
      <c r="AV186">
        <f>INT(装备拆分数值生成!AI$72+(装备拆分数值生成!$AK186-21)*装备拆分数值生成!AI$36)</f>
        <v>63</v>
      </c>
    </row>
    <row r="187" spans="37:48">
      <c r="AK187">
        <v>23</v>
      </c>
      <c r="AL187" t="s">
        <v>204</v>
      </c>
      <c r="AM187">
        <f>INT(装备拆分数值生成!AG$42+(装备拆分数值生成!$AK134-21)*装备拆分数值生成!AG$6)</f>
        <v>424</v>
      </c>
      <c r="AN187">
        <f>INT(装备拆分数值生成!AH$42+(装备拆分数值生成!$AK134-21)*装备拆分数值生成!AH$6)</f>
        <v>424</v>
      </c>
      <c r="AO187">
        <f>INT(装备拆分数值生成!AF$48+(装备拆分数值生成!$AK134-21)*装备拆分数值生成!AF$12)</f>
        <v>1036</v>
      </c>
      <c r="AP187">
        <f>INT(装备拆分数值生成!AI$54+(装备拆分数值生成!$AK134-21)*装备拆分数值生成!AI$18)</f>
        <v>337</v>
      </c>
      <c r="AR187">
        <f>INT(装备拆分数值生成!AI$60+(装备拆分数值生成!$AK134-21)*装备拆分数值生成!AI$24)</f>
        <v>202</v>
      </c>
      <c r="AS187">
        <f>INT(装备拆分数值生成!AF$66+(装备拆分数值生成!$AK134-21)*装备拆分数值生成!AF$30)</f>
        <v>621</v>
      </c>
      <c r="AT187">
        <f>INT(装备拆分数值生成!AH$66+(装备拆分数值生成!$AK134-21)*装备拆分数值生成!AH$30)</f>
        <v>141</v>
      </c>
      <c r="AU187">
        <f>INT(装备拆分数值生成!AF$72+(装备拆分数值生成!$AK187-21)*装备拆分数值生成!AF$36)</f>
        <v>414</v>
      </c>
      <c r="AV187">
        <f>INT(装备拆分数值生成!AI$72+(装备拆分数值生成!$AK187-21)*装备拆分数值生成!AI$36)</f>
        <v>67</v>
      </c>
    </row>
    <row r="188" spans="37:48">
      <c r="AK188">
        <v>24</v>
      </c>
      <c r="AL188" t="s">
        <v>205</v>
      </c>
      <c r="AM188">
        <f>INT(装备拆分数值生成!AG$42+(装备拆分数值生成!$AK135-21)*装备拆分数值生成!AG$6)</f>
        <v>447</v>
      </c>
      <c r="AN188">
        <f>INT(装备拆分数值生成!AH$42+(装备拆分数值生成!$AK135-21)*装备拆分数值生成!AH$6)</f>
        <v>447</v>
      </c>
      <c r="AO188">
        <f>INT(装备拆分数值生成!AF$48+(装备拆分数值生成!$AK135-21)*装备拆分数值生成!AF$12)</f>
        <v>1093</v>
      </c>
      <c r="AP188">
        <f>INT(装备拆分数值生成!AI$54+(装备拆分数值生成!$AK135-21)*装备拆分数值生成!AI$18)</f>
        <v>355</v>
      </c>
      <c r="AR188">
        <f>INT(装备拆分数值生成!AI$60+(装备拆分数值生成!$AK135-21)*装备拆分数值生成!AI$24)</f>
        <v>213</v>
      </c>
      <c r="AS188">
        <f>INT(装备拆分数值生成!AF$66+(装备拆分数值生成!$AK135-21)*装备拆分数值生成!AF$30)</f>
        <v>655</v>
      </c>
      <c r="AT188">
        <f>INT(装备拆分数值生成!AH$66+(装备拆分数值生成!$AK135-21)*装备拆分数值生成!AH$30)</f>
        <v>149</v>
      </c>
      <c r="AU188">
        <f>INT(装备拆分数值生成!AF$72+(装备拆分数值生成!$AK188-21)*装备拆分数值生成!AF$36)</f>
        <v>437</v>
      </c>
      <c r="AV188">
        <f>INT(装备拆分数值生成!AI$72+(装备拆分数值生成!$AK188-21)*装备拆分数值生成!AI$36)</f>
        <v>71</v>
      </c>
    </row>
    <row r="189" spans="37:48">
      <c r="AK189">
        <v>25</v>
      </c>
      <c r="AL189" t="s">
        <v>206</v>
      </c>
      <c r="AM189">
        <f>INT(装备拆分数值生成!AG$42+(装备拆分数值生成!$AK136-21)*装备拆分数值生成!AG$6)</f>
        <v>470</v>
      </c>
      <c r="AN189">
        <f>INT(装备拆分数值生成!AH$42+(装备拆分数值生成!$AK136-21)*装备拆分数值生成!AH$6)</f>
        <v>470</v>
      </c>
      <c r="AO189">
        <f>INT(装备拆分数值生成!AF$48+(装备拆分数值生成!$AK136-21)*装备拆分数值生成!AF$12)</f>
        <v>1149</v>
      </c>
      <c r="AP189">
        <f>INT(装备拆分数值生成!AI$54+(装备拆分数值生成!$AK136-21)*装备拆分数值生成!AI$18)</f>
        <v>374</v>
      </c>
      <c r="AR189">
        <f>INT(装备拆分数值生成!AI$60+(装备拆分数值生成!$AK136-21)*装备拆分数值生成!AI$24)</f>
        <v>224</v>
      </c>
      <c r="AS189">
        <f>INT(装备拆分数值生成!AF$66+(装备拆分数值生成!$AK136-21)*装备拆分数值生成!AF$30)</f>
        <v>689</v>
      </c>
      <c r="AT189">
        <f>INT(装备拆分数值生成!AH$66+(装备拆分数值生成!$AK136-21)*装备拆分数值生成!AH$30)</f>
        <v>156</v>
      </c>
      <c r="AU189">
        <f>INT(装备拆分数值生成!AF$72+(装备拆分数值生成!$AK189-21)*装备拆分数值生成!AF$36)</f>
        <v>459</v>
      </c>
      <c r="AV189">
        <f>INT(装备拆分数值生成!AI$72+(装备拆分数值生成!$AK189-21)*装备拆分数值生成!AI$36)</f>
        <v>74</v>
      </c>
    </row>
    <row r="190" spans="37:48">
      <c r="AK190">
        <v>26</v>
      </c>
      <c r="AL190" t="s">
        <v>207</v>
      </c>
      <c r="AM190">
        <f>INT(装备拆分数值生成!AG$42+(装备拆分数值生成!$AK137-21)*装备拆分数值生成!AG$6)</f>
        <v>493</v>
      </c>
      <c r="AN190">
        <f>INT(装备拆分数值生成!AH$42+(装备拆分数值生成!$AK137-21)*装备拆分数值生成!AH$6)</f>
        <v>493</v>
      </c>
      <c r="AO190">
        <f>INT(装备拆分数值生成!AF$48+(装备拆分数值生成!$AK137-21)*装备拆分数值生成!AF$12)</f>
        <v>1206</v>
      </c>
      <c r="AP190">
        <f>INT(装备拆分数值生成!AI$54+(装备拆分数值生成!$AK137-21)*装备拆分数值生成!AI$18)</f>
        <v>392</v>
      </c>
      <c r="AR190">
        <f>INT(装备拆分数值生成!AI$60+(装备拆分数值生成!$AK137-21)*装备拆分数值生成!AI$24)</f>
        <v>235</v>
      </c>
      <c r="AS190">
        <f>INT(装备拆分数值生成!AF$66+(装备拆分数值生成!$AK137-21)*装备拆分数值生成!AF$30)</f>
        <v>723</v>
      </c>
      <c r="AT190">
        <f>INT(装备拆分数值生成!AH$66+(装备拆分数值生成!$AK137-21)*装备拆分数值生成!AH$30)</f>
        <v>164</v>
      </c>
      <c r="AU190">
        <f>INT(装备拆分数值生成!AF$72+(装备拆分数值生成!$AK190-21)*装备拆分数值生成!AF$36)</f>
        <v>482</v>
      </c>
      <c r="AV190">
        <f>INT(装备拆分数值生成!AI$72+(装备拆分数值生成!$AK190-21)*装备拆分数值生成!AI$36)</f>
        <v>78</v>
      </c>
    </row>
    <row r="191" spans="37:48">
      <c r="AK191">
        <v>27</v>
      </c>
      <c r="AL191" t="s">
        <v>208</v>
      </c>
      <c r="AM191">
        <f>INT(装备拆分数值生成!AG$42+(装备拆分数值生成!$AK138-21)*装备拆分数值生成!AG$6)</f>
        <v>516</v>
      </c>
      <c r="AN191">
        <f>INT(装备拆分数值生成!AH$42+(装备拆分数值生成!$AK138-21)*装备拆分数值生成!AH$6)</f>
        <v>516</v>
      </c>
      <c r="AO191">
        <f>INT(装备拆分数值生成!AF$48+(装备拆分数值生成!$AK138-21)*装备拆分数值生成!AF$12)</f>
        <v>1263</v>
      </c>
      <c r="AP191">
        <f>INT(装备拆分数值生成!AI$54+(装备拆分数值生成!$AK138-21)*装备拆分数值生成!AI$18)</f>
        <v>411</v>
      </c>
      <c r="AR191">
        <f>INT(装备拆分数值生成!AI$60+(装备拆分数值生成!$AK138-21)*装备拆分数值生成!AI$24)</f>
        <v>246</v>
      </c>
      <c r="AS191">
        <f>INT(装备拆分数值生成!AF$66+(装备拆分数值生成!$AK138-21)*装备拆分数值生成!AF$30)</f>
        <v>757</v>
      </c>
      <c r="AT191">
        <f>INT(装备拆分数值生成!AH$66+(装备拆分数值生成!$AK138-21)*装备拆分数值生成!AH$30)</f>
        <v>172</v>
      </c>
      <c r="AU191">
        <f>INT(装备拆分数值生成!AF$72+(装备拆分数值生成!$AK191-21)*装备拆分数值生成!AF$36)</f>
        <v>505</v>
      </c>
      <c r="AV191">
        <f>INT(装备拆分数值生成!AI$72+(装备拆分数值生成!$AK191-21)*装备拆分数值生成!AI$36)</f>
        <v>82</v>
      </c>
    </row>
    <row r="192" spans="37:48">
      <c r="AK192">
        <v>28</v>
      </c>
      <c r="AL192" t="s">
        <v>471</v>
      </c>
      <c r="AM192">
        <f>INT(装备拆分数值生成!AG$42+(装备拆分数值生成!$AK139-21)*装备拆分数值生成!AG$6)</f>
        <v>540</v>
      </c>
      <c r="AN192">
        <f>INT(装备拆分数值生成!AH$42+(装备拆分数值生成!$AK139-21)*装备拆分数值生成!AH$6)</f>
        <v>540</v>
      </c>
      <c r="AO192">
        <f>INT(装备拆分数值生成!AF$48+(装备拆分数值生成!$AK139-21)*装备拆分数值生成!AF$12)</f>
        <v>1319</v>
      </c>
      <c r="AP192">
        <f>INT(装备拆分数值生成!AI$54+(装备拆分数值生成!$AK139-21)*装备拆分数值生成!AI$18)</f>
        <v>429</v>
      </c>
      <c r="AR192">
        <f>INT(装备拆分数值生成!AI$60+(装备拆分数值生成!$AK139-21)*装备拆分数值生成!AI$24)</f>
        <v>257</v>
      </c>
      <c r="AS192">
        <f>INT(装备拆分数值生成!AF$66+(装备拆分数值生成!$AK139-21)*装备拆分数值生成!AF$30)</f>
        <v>791</v>
      </c>
      <c r="AT192">
        <f>INT(装备拆分数值生成!AH$66+(装备拆分数值生成!$AK139-21)*装备拆分数值生成!AH$30)</f>
        <v>180</v>
      </c>
      <c r="AU192">
        <f>INT(装备拆分数值生成!AF$72+(装备拆分数值生成!$AK192-21)*装备拆分数值生成!AF$36)</f>
        <v>527</v>
      </c>
      <c r="AV192">
        <f>INT(装备拆分数值生成!AI$72+(装备拆分数值生成!$AK192-21)*装备拆分数值生成!AI$36)</f>
        <v>85</v>
      </c>
    </row>
    <row r="193" spans="37:48">
      <c r="AK193">
        <v>29</v>
      </c>
      <c r="AL193" t="s">
        <v>472</v>
      </c>
      <c r="AM193">
        <f>INT(装备拆分数值生成!AG$42+(装备拆分数值生成!$AK140-21)*装备拆分数值生成!AG$6)</f>
        <v>563</v>
      </c>
      <c r="AN193">
        <f>INT(装备拆分数值生成!AH$42+(装备拆分数值生成!$AK140-21)*装备拆分数值生成!AH$6)</f>
        <v>563</v>
      </c>
      <c r="AO193">
        <f>INT(装备拆分数值生成!AF$48+(装备拆分数值生成!$AK140-21)*装备拆分数值生成!AF$12)</f>
        <v>1376</v>
      </c>
      <c r="AP193">
        <f>INT(装备拆分数值生成!AI$54+(装备拆分数值生成!$AK140-21)*装备拆分数值生成!AI$18)</f>
        <v>447</v>
      </c>
      <c r="AR193">
        <f>INT(装备拆分数值生成!AI$60+(装备拆分数值生成!$AK140-21)*装备拆分数值生成!AI$24)</f>
        <v>268</v>
      </c>
      <c r="AS193">
        <f>INT(装备拆分数值生成!AF$66+(装备拆分数值生成!$AK140-21)*装备拆分数值生成!AF$30)</f>
        <v>825</v>
      </c>
      <c r="AT193">
        <f>INT(装备拆分数值生成!AH$66+(装备拆分数值生成!$AK140-21)*装备拆分数值生成!AH$30)</f>
        <v>187</v>
      </c>
      <c r="AU193">
        <f>INT(装备拆分数值生成!AF$72+(装备拆分数值生成!$AK193-21)*装备拆分数值生成!AF$36)</f>
        <v>550</v>
      </c>
      <c r="AV193">
        <f>INT(装备拆分数值生成!AI$72+(装备拆分数值生成!$AK193-21)*装备拆分数值生成!AI$36)</f>
        <v>89</v>
      </c>
    </row>
    <row r="194" spans="37:48">
      <c r="AK194">
        <v>30</v>
      </c>
      <c r="AL194" t="s">
        <v>473</v>
      </c>
      <c r="AM194">
        <f>INT(装备拆分数值生成!AG$42+(装备拆分数值生成!$AK141-21)*装备拆分数值生成!AG$6)</f>
        <v>586</v>
      </c>
      <c r="AN194">
        <f>INT(装备拆分数值生成!AH$42+(装备拆分数值生成!$AK141-21)*装备拆分数值生成!AH$6)</f>
        <v>586</v>
      </c>
      <c r="AO194">
        <f>INT(装备拆分数值生成!AF$48+(装备拆分数值生成!$AK141-21)*装备拆分数值生成!AF$12)</f>
        <v>1433</v>
      </c>
      <c r="AP194">
        <f>INT(装备拆分数值生成!AI$54+(装备拆分数值生成!$AK141-21)*装备拆分数值生成!AI$18)</f>
        <v>466</v>
      </c>
      <c r="AR194">
        <f>INT(装备拆分数值生成!AI$60+(装备拆分数值生成!$AK141-21)*装备拆分数值生成!AI$24)</f>
        <v>279</v>
      </c>
      <c r="AS194">
        <f>INT(装备拆分数值生成!AF$66+(装备拆分数值生成!$AK141-21)*装备拆分数值生成!AF$30)</f>
        <v>859</v>
      </c>
      <c r="AT194">
        <f>INT(装备拆分数值生成!AH$66+(装备拆分数值生成!$AK141-21)*装备拆分数值生成!AH$30)</f>
        <v>195</v>
      </c>
      <c r="AU194">
        <f>INT(装备拆分数值生成!AF$72+(装备拆分数值生成!$AK194-21)*装备拆分数值生成!AF$36)</f>
        <v>573</v>
      </c>
      <c r="AV194">
        <f>INT(装备拆分数值生成!AI$72+(装备拆分数值生成!$AK194-21)*装备拆分数值生成!AI$36)</f>
        <v>93</v>
      </c>
    </row>
    <row r="195" spans="37:48">
      <c r="AK195">
        <v>31</v>
      </c>
      <c r="AL195" t="s">
        <v>474</v>
      </c>
      <c r="AM195">
        <f>INT(装备拆分数值生成!AG$43+(装备拆分数值生成!$AK142-31)*装备拆分数值生成!AG$7)</f>
        <v>796</v>
      </c>
      <c r="AN195">
        <f>INT(装备拆分数值生成!AH$43+(装备拆分数值生成!$AK142-31)*装备拆分数值生成!AH$7)</f>
        <v>796</v>
      </c>
      <c r="AO195">
        <f>INT(装备拆分数值生成!AF$49+(装备拆分数值生成!$AK142-31)*装备拆分数值生成!AF$13)</f>
        <v>1947</v>
      </c>
      <c r="AP195">
        <f>INT(装备拆分数值生成!AI$55+(装备拆分数值生成!$AK142-31)*装备拆分数值生成!AI$19)</f>
        <v>633</v>
      </c>
      <c r="AR195">
        <f>INT(装备拆分数值生成!AI$61+(装备拆分数值生成!$AK142-31)*装备拆分数值生成!AI$25)</f>
        <v>380</v>
      </c>
      <c r="AS195">
        <f>INT(装备拆分数值生成!AF$67+(装备拆分数值生成!$AK142-31)*装备拆分数值生成!AF$31)</f>
        <v>1168</v>
      </c>
      <c r="AT195">
        <f>INT(装备拆分数值生成!AH$67+(装备拆分数值生成!$AK142-31)*装备拆分数值生成!AH$31)</f>
        <v>265</v>
      </c>
      <c r="AU195">
        <f>INT(装备拆分数值生成!AF$73+(装备拆分数值生成!$AK195-31)*装备拆分数值生成!AF$37)</f>
        <v>779</v>
      </c>
      <c r="AV195">
        <f>INT(装备拆分数值生成!AI$73+(装备拆分数值生成!$AK195-31)*装备拆分数值生成!AI$37)</f>
        <v>126</v>
      </c>
    </row>
    <row r="196" spans="37:48">
      <c r="AK196">
        <v>32</v>
      </c>
      <c r="AL196" t="s">
        <v>475</v>
      </c>
      <c r="AM196">
        <f>INT(装备拆分数值生成!AG$43+(装备拆分数值生成!$AK143-31)*装备拆分数值生成!AG$7)</f>
        <v>855</v>
      </c>
      <c r="AN196">
        <f>INT(装备拆分数值生成!AH$43+(装备拆分数值生成!$AK143-31)*装备拆分数值生成!AH$7)</f>
        <v>855</v>
      </c>
      <c r="AO196">
        <f>INT(装备拆分数值生成!AF$49+(装备拆分数值生成!$AK143-31)*装备拆分数值生成!AF$13)</f>
        <v>2090</v>
      </c>
      <c r="AP196">
        <f>INT(装备拆分数值生成!AI$55+(装备拆分数值生成!$AK143-31)*装备拆分数值生成!AI$19)</f>
        <v>680</v>
      </c>
      <c r="AR196">
        <f>INT(装备拆分数值生成!AI$61+(装备拆分数值生成!$AK143-31)*装备拆分数值生成!AI$25)</f>
        <v>408</v>
      </c>
      <c r="AS196">
        <f>INT(装备拆分数值生成!AF$67+(装备拆分数值生成!$AK143-31)*装备拆分数值生成!AF$31)</f>
        <v>1254</v>
      </c>
      <c r="AT196">
        <f>INT(装备拆分数值生成!AH$67+(装备拆分数值生成!$AK143-31)*装备拆分数值生成!AH$31)</f>
        <v>285</v>
      </c>
      <c r="AU196">
        <f>INT(装备拆分数值生成!AF$73+(装备拆分数值生成!$AK196-31)*装备拆分数值生成!AF$37)</f>
        <v>836</v>
      </c>
      <c r="AV196">
        <f>INT(装备拆分数值生成!AI$73+(装备拆分数值生成!$AK196-31)*装备拆分数值生成!AI$37)</f>
        <v>136</v>
      </c>
    </row>
    <row r="197" spans="37:48">
      <c r="AK197">
        <v>33</v>
      </c>
      <c r="AL197" t="s">
        <v>210</v>
      </c>
      <c r="AM197">
        <f>INT(装备拆分数值生成!AG$43+(装备拆分数值生成!$AK144-31)*装备拆分数值生成!AG$7)</f>
        <v>914</v>
      </c>
      <c r="AN197">
        <f>INT(装备拆分数值生成!AH$43+(装备拆分数值生成!$AK144-31)*装备拆分数值生成!AH$7)</f>
        <v>914</v>
      </c>
      <c r="AO197">
        <f>INT(装备拆分数值生成!AF$49+(装备拆分数值生成!$AK144-31)*装备拆分数值生成!AF$13)</f>
        <v>2233</v>
      </c>
      <c r="AP197">
        <f>INT(装备拆分数值生成!AI$55+(装备拆分数值生成!$AK144-31)*装备拆分数值生成!AI$19)</f>
        <v>726</v>
      </c>
      <c r="AR197">
        <f>INT(装备拆分数值生成!AI$61+(装备拆分数值生成!$AK144-31)*装备拆分数值生成!AI$25)</f>
        <v>436</v>
      </c>
      <c r="AS197">
        <f>INT(装备拆分数值生成!AF$67+(装备拆分数值生成!$AK144-31)*装备拆分数值生成!AF$31)</f>
        <v>1340</v>
      </c>
      <c r="AT197">
        <f>INT(装备拆分数值生成!AH$67+(装备拆分数值生成!$AK144-31)*装备拆分数值生成!AH$31)</f>
        <v>304</v>
      </c>
      <c r="AU197">
        <f>INT(装备拆分数值生成!AF$73+(装备拆分数值生成!$AK197-31)*装备拆分数值生成!AF$37)</f>
        <v>893</v>
      </c>
      <c r="AV197">
        <f>INT(装备拆分数值生成!AI$73+(装备拆分数值生成!$AK197-31)*装备拆分数值生成!AI$37)</f>
        <v>145</v>
      </c>
    </row>
    <row r="198" spans="37:48">
      <c r="AK198">
        <v>34</v>
      </c>
      <c r="AL198" t="s">
        <v>211</v>
      </c>
      <c r="AM198">
        <f>INT(装备拆分数值生成!AG$43+(装备拆分数值生成!$AK145-31)*装备拆分数值生成!AG$7)</f>
        <v>972</v>
      </c>
      <c r="AN198">
        <f>INT(装备拆分数值生成!AH$43+(装备拆分数值生成!$AK145-31)*装备拆分数值生成!AH$7)</f>
        <v>972</v>
      </c>
      <c r="AO198">
        <f>INT(装备拆分数值生成!AF$49+(装备拆分数值生成!$AK145-31)*装备拆分数值生成!AF$13)</f>
        <v>2376</v>
      </c>
      <c r="AP198">
        <f>INT(装备拆分数值生成!AI$55+(装备拆分数值生成!$AK145-31)*装备拆分数值生成!AI$19)</f>
        <v>773</v>
      </c>
      <c r="AR198">
        <f>INT(装备拆分数值生成!AI$61+(装备拆分数值生成!$AK145-31)*装备拆分数值生成!AI$25)</f>
        <v>464</v>
      </c>
      <c r="AS198">
        <f>INT(装备拆分数值生成!AF$67+(装备拆分数值生成!$AK145-31)*装备拆分数值生成!AF$31)</f>
        <v>1426</v>
      </c>
      <c r="AT198">
        <f>INT(装备拆分数值生成!AH$67+(装备拆分数值生成!$AK145-31)*装备拆分数值生成!AH$31)</f>
        <v>324</v>
      </c>
      <c r="AU198">
        <f>INT(装备拆分数值生成!AF$73+(装备拆分数值生成!$AK198-31)*装备拆分数值生成!AF$37)</f>
        <v>950</v>
      </c>
      <c r="AV198">
        <f>INT(装备拆分数值生成!AI$73+(装备拆分数值生成!$AK198-31)*装备拆分数值生成!AI$37)</f>
        <v>154</v>
      </c>
    </row>
    <row r="199" spans="37:48">
      <c r="AK199">
        <v>35</v>
      </c>
      <c r="AL199" t="s">
        <v>212</v>
      </c>
      <c r="AM199">
        <f>INT(装备拆分数值生成!AG$43+(装备拆分数值生成!$AK146-31)*装备拆分数值生成!AG$7)</f>
        <v>1031</v>
      </c>
      <c r="AN199">
        <f>INT(装备拆分数值生成!AH$43+(装备拆分数值生成!$AK146-31)*装备拆分数值生成!AH$7)</f>
        <v>1031</v>
      </c>
      <c r="AO199">
        <f>INT(装备拆分数值生成!AF$49+(装备拆分数值生成!$AK146-31)*装备拆分数值生成!AF$13)</f>
        <v>2519</v>
      </c>
      <c r="AP199">
        <f>INT(装备拆分数值生成!AI$55+(装备拆分数值生成!$AK146-31)*装备拆分数值生成!AI$19)</f>
        <v>820</v>
      </c>
      <c r="AR199">
        <f>INT(装备拆分数值生成!AI$61+(装备拆分数值生成!$AK146-31)*装备拆分数值生成!AI$25)</f>
        <v>492</v>
      </c>
      <c r="AS199">
        <f>INT(装备拆分数值生成!AF$67+(装备拆分数值生成!$AK146-31)*装备拆分数值生成!AF$31)</f>
        <v>1511</v>
      </c>
      <c r="AT199">
        <f>INT(装备拆分数值生成!AH$67+(装备拆分数值生成!$AK146-31)*装备拆分数值生成!AH$31)</f>
        <v>343</v>
      </c>
      <c r="AU199">
        <f>INT(装备拆分数值生成!AF$73+(装备拆分数值生成!$AK199-31)*装备拆分数值生成!AF$37)</f>
        <v>1007</v>
      </c>
      <c r="AV199">
        <f>INT(装备拆分数值生成!AI$73+(装备拆分数值生成!$AK199-31)*装备拆分数值生成!AI$37)</f>
        <v>164</v>
      </c>
    </row>
    <row r="200" spans="37:48">
      <c r="AK200">
        <v>36</v>
      </c>
      <c r="AL200" t="s">
        <v>213</v>
      </c>
      <c r="AM200">
        <f>INT(装备拆分数值生成!AG$43+(装备拆分数值生成!$AK147-31)*装备拆分数值生成!AG$7)</f>
        <v>1089</v>
      </c>
      <c r="AN200">
        <f>INT(装备拆分数值生成!AH$43+(装备拆分数值生成!$AK147-31)*装备拆分数值生成!AH$7)</f>
        <v>1089</v>
      </c>
      <c r="AO200">
        <f>INT(装备拆分数值生成!AF$49+(装备拆分数值生成!$AK147-31)*装备拆分数值生成!AF$13)</f>
        <v>2662</v>
      </c>
      <c r="AP200">
        <f>INT(装备拆分数值生成!AI$55+(装备拆分数值生成!$AK147-31)*装备拆分数值生成!AI$19)</f>
        <v>866</v>
      </c>
      <c r="AR200">
        <f>INT(装备拆分数值生成!AI$61+(装备拆分数值生成!$AK147-31)*装备拆分数值生成!AI$25)</f>
        <v>519</v>
      </c>
      <c r="AS200">
        <f>INT(装备拆分数值生成!AF$67+(装备拆分数值生成!$AK147-31)*装备拆分数值生成!AF$31)</f>
        <v>1597</v>
      </c>
      <c r="AT200">
        <f>INT(装备拆分数值生成!AH$67+(装备拆分数值生成!$AK147-31)*装备拆分数值生成!AH$31)</f>
        <v>363</v>
      </c>
      <c r="AU200">
        <f>INT(装备拆分数值生成!AF$73+(装备拆分数值生成!$AK200-31)*装备拆分数值生成!AF$37)</f>
        <v>1065</v>
      </c>
      <c r="AV200">
        <f>INT(装备拆分数值生成!AI$73+(装备拆分数值生成!$AK200-31)*装备拆分数值生成!AI$37)</f>
        <v>173</v>
      </c>
    </row>
    <row r="201" spans="37:48">
      <c r="AK201">
        <v>37</v>
      </c>
      <c r="AL201" t="s">
        <v>214</v>
      </c>
      <c r="AM201">
        <f>INT(装备拆分数值生成!AG$43+(装备拆分数值生成!$AK148-31)*装备拆分数值生成!AG$7)</f>
        <v>1148</v>
      </c>
      <c r="AN201">
        <f>INT(装备拆分数值生成!AH$43+(装备拆分数值生成!$AK148-31)*装备拆分数值生成!AH$7)</f>
        <v>1148</v>
      </c>
      <c r="AO201">
        <f>INT(装备拆分数值生成!AF$49+(装备拆分数值生成!$AK148-31)*装备拆分数值生成!AF$13)</f>
        <v>2805</v>
      </c>
      <c r="AP201">
        <f>INT(装备拆分数值生成!AI$55+(装备拆分数值生成!$AK148-31)*装备拆分数值生成!AI$19)</f>
        <v>913</v>
      </c>
      <c r="AR201">
        <f>INT(装备拆分数值生成!AI$61+(装备拆分数值生成!$AK148-31)*装备拆分数值生成!AI$25)</f>
        <v>547</v>
      </c>
      <c r="AS201">
        <f>INT(装备拆分数值生成!AF$67+(装备拆分数值生成!$AK148-31)*装备拆分数值生成!AF$31)</f>
        <v>1683</v>
      </c>
      <c r="AT201">
        <f>INT(装备拆分数值生成!AH$67+(装备拆分数值生成!$AK148-31)*装备拆分数值生成!AH$31)</f>
        <v>382</v>
      </c>
      <c r="AU201">
        <f>INT(装备拆分数值生成!AF$73+(装备拆分数值生成!$AK201-31)*装备拆分数值生成!AF$37)</f>
        <v>1122</v>
      </c>
      <c r="AV201">
        <f>INT(装备拆分数值生成!AI$73+(装备拆分数值生成!$AK201-31)*装备拆分数值生成!AI$37)</f>
        <v>182</v>
      </c>
    </row>
    <row r="202" spans="37:48">
      <c r="AK202">
        <v>38</v>
      </c>
      <c r="AL202" t="s">
        <v>476</v>
      </c>
      <c r="AM202">
        <f>INT(装备拆分数值生成!AG$43+(装备拆分数值生成!$AK149-31)*装备拆分数值生成!AG$7)</f>
        <v>1206</v>
      </c>
      <c r="AN202">
        <f>INT(装备拆分数值生成!AH$43+(装备拆分数值生成!$AK149-31)*装备拆分数值生成!AH$7)</f>
        <v>1206</v>
      </c>
      <c r="AO202">
        <f>INT(装备拆分数值生成!AF$49+(装备拆分数值生成!$AK149-31)*装备拆分数值生成!AF$13)</f>
        <v>2948</v>
      </c>
      <c r="AP202">
        <f>INT(装备拆分数值生成!AI$55+(装备拆分数值生成!$AK149-31)*装备拆分数值生成!AI$19)</f>
        <v>959</v>
      </c>
      <c r="AR202">
        <f>INT(装备拆分数值生成!AI$61+(装备拆分数值生成!$AK149-31)*装备拆分数值生成!AI$25)</f>
        <v>575</v>
      </c>
      <c r="AS202">
        <f>INT(装备拆分数值生成!AF$67+(装备拆分数值生成!$AK149-31)*装备拆分数值生成!AF$31)</f>
        <v>1769</v>
      </c>
      <c r="AT202">
        <f>INT(装备拆分数值生成!AH$67+(装备拆分数值生成!$AK149-31)*装备拆分数值生成!AH$31)</f>
        <v>402</v>
      </c>
      <c r="AU202">
        <f>INT(装备拆分数值生成!AF$73+(装备拆分数值生成!$AK202-31)*装备拆分数值生成!AF$37)</f>
        <v>1179</v>
      </c>
      <c r="AV202">
        <f>INT(装备拆分数值生成!AI$73+(装备拆分数值生成!$AK202-31)*装备拆分数值生成!AI$37)</f>
        <v>191</v>
      </c>
    </row>
    <row r="203" spans="37:48">
      <c r="AK203">
        <v>39</v>
      </c>
      <c r="AL203" t="s">
        <v>477</v>
      </c>
      <c r="AM203">
        <f>INT(装备拆分数值生成!AG$43+(装备拆分数值生成!$AK150-31)*装备拆分数值生成!AG$7)</f>
        <v>1265</v>
      </c>
      <c r="AN203">
        <f>INT(装备拆分数值生成!AH$43+(装备拆分数值生成!$AK150-31)*装备拆分数值生成!AH$7)</f>
        <v>1265</v>
      </c>
      <c r="AO203">
        <f>INT(装备拆分数值生成!AF$49+(装备拆分数值生成!$AK150-31)*装备拆分数值生成!AF$13)</f>
        <v>3091</v>
      </c>
      <c r="AP203">
        <f>INT(装备拆分数值生成!AI$55+(装备拆分数值生成!$AK150-31)*装备拆分数值生成!AI$19)</f>
        <v>1006</v>
      </c>
      <c r="AR203">
        <f>INT(装备拆分数值生成!AI$61+(装备拆分数值生成!$AK150-31)*装备拆分数值生成!AI$25)</f>
        <v>603</v>
      </c>
      <c r="AS203">
        <f>INT(装备拆分数值生成!AF$67+(装备拆分数值生成!$AK150-31)*装备拆分数值生成!AF$31)</f>
        <v>1855</v>
      </c>
      <c r="AT203">
        <f>INT(装备拆分数值生成!AH$67+(装备拆分数值生成!$AK150-31)*装备拆分数值生成!AH$31)</f>
        <v>421</v>
      </c>
      <c r="AU203">
        <f>INT(装备拆分数值生成!AF$73+(装备拆分数值生成!$AK203-31)*装备拆分数值生成!AF$37)</f>
        <v>1236</v>
      </c>
      <c r="AV203">
        <f>INT(装备拆分数值生成!AI$73+(装备拆分数值生成!$AK203-31)*装备拆分数值生成!AI$37)</f>
        <v>201</v>
      </c>
    </row>
    <row r="204" spans="37:48">
      <c r="AK204">
        <v>40</v>
      </c>
      <c r="AL204" t="s">
        <v>478</v>
      </c>
      <c r="AM204">
        <f>INT(装备拆分数值生成!AG$43+(装备拆分数值生成!$AK151-31)*装备拆分数值生成!AG$7)</f>
        <v>1323</v>
      </c>
      <c r="AN204">
        <f>INT(装备拆分数值生成!AH$43+(装备拆分数值生成!$AK151-31)*装备拆分数值生成!AH$7)</f>
        <v>1323</v>
      </c>
      <c r="AO204">
        <f>INT(装备拆分数值生成!AF$49+(装备拆分数值生成!$AK151-31)*装备拆分数值生成!AF$13)</f>
        <v>3234</v>
      </c>
      <c r="AP204">
        <f>INT(装备拆分数值生成!AI$55+(装备拆分数值生成!$AK151-31)*装备拆分数值生成!AI$19)</f>
        <v>1052</v>
      </c>
      <c r="AR204">
        <f>INT(装备拆分数值生成!AI$61+(装备拆分数值生成!$AK151-31)*装备拆分数值生成!AI$25)</f>
        <v>631</v>
      </c>
      <c r="AS204">
        <f>INT(装备拆分数值生成!AF$67+(装备拆分数值生成!$AK151-31)*装备拆分数值生成!AF$31)</f>
        <v>1940</v>
      </c>
      <c r="AT204">
        <f>INT(装备拆分数值生成!AH$67+(装备拆分数值生成!$AK151-31)*装备拆分数值生成!AH$31)</f>
        <v>441</v>
      </c>
      <c r="AU204">
        <f>INT(装备拆分数值生成!AF$73+(装备拆分数值生成!$AK204-31)*装备拆分数值生成!AF$37)</f>
        <v>1293</v>
      </c>
      <c r="AV204">
        <f>INT(装备拆分数值生成!AI$73+(装备拆分数值生成!$AK204-31)*装备拆分数值生成!AI$37)</f>
        <v>210</v>
      </c>
    </row>
    <row r="205" spans="37:48">
      <c r="AK205">
        <v>41</v>
      </c>
      <c r="AL205" t="s">
        <v>479</v>
      </c>
      <c r="AM205">
        <f>INT(装备拆分数值生成!AG$44+(装备拆分数值生成!$AK152-41)*装备拆分数值生成!AG$8)</f>
        <v>1601</v>
      </c>
      <c r="AN205">
        <f>INT(装备拆分数值生成!AH$44+(装备拆分数值生成!$AK152-41)*装备拆分数值生成!AH$8)</f>
        <v>1601</v>
      </c>
      <c r="AO205">
        <f>INT(装备拆分数值生成!AF$50+(装备拆分数值生成!$AK152-41)*装备拆分数值生成!AF$14)</f>
        <v>3914</v>
      </c>
      <c r="AP205">
        <f>INT(装备拆分数值生成!AI$56+(装备拆分数值生成!$AK152-41)*装备拆分数值生成!AI$20)</f>
        <v>1273</v>
      </c>
      <c r="AR205">
        <f>INT(装备拆分数值生成!AI$62+(装备拆分数值生成!$AK152-41)*装备拆分数值生成!AI$26)</f>
        <v>764</v>
      </c>
      <c r="AS205">
        <f>INT(装备拆分数值生成!AF$68+(装备拆分数值生成!$AK152-41)*装备拆分数值生成!AF$32)</f>
        <v>2348</v>
      </c>
      <c r="AT205">
        <f>INT(装备拆分数值生成!AH$68+(装备拆分数值生成!$AK152-41)*装备拆分数值生成!AH$32)</f>
        <v>533</v>
      </c>
      <c r="AU205">
        <f>INT(装备拆分数值生成!AF$74+(装备拆分数值生成!$AK205-41)*装备拆分数值生成!AF$38)</f>
        <v>1565</v>
      </c>
      <c r="AV205">
        <f>INT(装备拆分数值生成!AI$74+(装备拆分数值生成!$AK205-41)*装备拆分数值生成!AI$38)</f>
        <v>254</v>
      </c>
    </row>
    <row r="206" spans="37:48">
      <c r="AK206">
        <v>42</v>
      </c>
      <c r="AL206" t="s">
        <v>480</v>
      </c>
      <c r="AM206">
        <f>INT(装备拆分数值生成!AG$44+(装备拆分数值生成!$AK153-41)*装备拆分数值生成!AG$8)</f>
        <v>1729</v>
      </c>
      <c r="AN206">
        <f>INT(装备拆分数值生成!AH$44+(装备拆分数值生成!$AK153-41)*装备拆分数值生成!AH$8)</f>
        <v>1729</v>
      </c>
      <c r="AO206">
        <f>INT(装备拆分数值生成!AF$50+(装备拆分数值生成!$AK153-41)*装备拆分数值生成!AF$14)</f>
        <v>4226</v>
      </c>
      <c r="AP206">
        <f>INT(装备拆分数值生成!AI$56+(装备拆分数值生成!$AK153-41)*装备拆分数值生成!AI$20)</f>
        <v>1375</v>
      </c>
      <c r="AR206">
        <f>INT(装备拆分数值生成!AI$62+(装备拆分数值生成!$AK153-41)*装备拆分数值生成!AI$26)</f>
        <v>825</v>
      </c>
      <c r="AS206">
        <f>INT(装备拆分数值生成!AF$68+(装备拆分数值生成!$AK153-41)*装备拆分数值生成!AF$32)</f>
        <v>2535</v>
      </c>
      <c r="AT206">
        <f>INT(装备拆分数值生成!AH$68+(装备拆分数值生成!$AK153-41)*装备拆分数值生成!AH$32)</f>
        <v>576</v>
      </c>
      <c r="AU206">
        <f>INT(装备拆分数值生成!AF$74+(装备拆分数值生成!$AK206-41)*装备拆分数值生成!AF$38)</f>
        <v>1690</v>
      </c>
      <c r="AV206">
        <f>INT(装备拆分数值生成!AI$74+(装备拆分数值生成!$AK206-41)*装备拆分数值生成!AI$38)</f>
        <v>275</v>
      </c>
    </row>
    <row r="207" spans="37:48">
      <c r="AK207">
        <v>43</v>
      </c>
      <c r="AL207" t="s">
        <v>216</v>
      </c>
      <c r="AM207">
        <f>INT(装备拆分数值生成!AG$44+(装备拆分数值生成!$AK154-41)*装备拆分数值生成!AG$8)</f>
        <v>1857</v>
      </c>
      <c r="AN207">
        <f>INT(装备拆分数值生成!AH$44+(装备拆分数值生成!$AK154-41)*装备拆分数值生成!AH$8)</f>
        <v>1857</v>
      </c>
      <c r="AO207">
        <f>INT(装备拆分数值生成!AF$50+(装备拆分数值生成!$AK154-41)*装备拆分数值生成!AF$14)</f>
        <v>4538</v>
      </c>
      <c r="AP207">
        <f>INT(装备拆分数值生成!AI$56+(装备拆分数值生成!$AK154-41)*装备拆分数值生成!AI$20)</f>
        <v>1476</v>
      </c>
      <c r="AR207">
        <f>INT(装备拆分数值生成!AI$62+(装备拆分数值生成!$AK154-41)*装备拆分数值生成!AI$26)</f>
        <v>886</v>
      </c>
      <c r="AS207">
        <f>INT(装备拆分数值生成!AF$68+(装备拆分数值生成!$AK154-41)*装备拆分数值生成!AF$32)</f>
        <v>2723</v>
      </c>
      <c r="AT207">
        <f>INT(装备拆分数值生成!AH$68+(装备拆分数值生成!$AK154-41)*装备拆分数值生成!AH$32)</f>
        <v>619</v>
      </c>
      <c r="AU207">
        <f>INT(装备拆分数值生成!AF$74+(装备拆分数值生成!$AK207-41)*装备拆分数值生成!AF$38)</f>
        <v>1815</v>
      </c>
      <c r="AV207">
        <f>INT(装备拆分数值生成!AI$74+(装备拆分数值生成!$AK207-41)*装备拆分数值生成!AI$38)</f>
        <v>295</v>
      </c>
    </row>
    <row r="208" spans="37:48">
      <c r="AK208">
        <v>44</v>
      </c>
      <c r="AL208" t="s">
        <v>217</v>
      </c>
      <c r="AM208">
        <f>INT(装备拆分数值生成!AG$44+(装备拆分数值生成!$AK155-41)*装备拆分数值生成!AG$8)</f>
        <v>1984</v>
      </c>
      <c r="AN208">
        <f>INT(装备拆分数值生成!AH$44+(装备拆分数值生成!$AK155-41)*装备拆分数值生成!AH$8)</f>
        <v>1984</v>
      </c>
      <c r="AO208">
        <f>INT(装备拆分数值生成!AF$50+(装备拆分数值生成!$AK155-41)*装备拆分数值生成!AF$14)</f>
        <v>4851</v>
      </c>
      <c r="AP208">
        <f>INT(装备拆分数值生成!AI$56+(装备拆分数值生成!$AK155-41)*装备拆分数值生成!AI$20)</f>
        <v>1578</v>
      </c>
      <c r="AR208">
        <f>INT(装备拆分数值生成!AI$62+(装备拆分数值生成!$AK155-41)*装备拆分数值生成!AI$26)</f>
        <v>947</v>
      </c>
      <c r="AS208">
        <f>INT(装备拆分数值生成!AF$68+(装备拆分数值生成!$AK155-41)*装备拆分数值生成!AF$32)</f>
        <v>2910</v>
      </c>
      <c r="AT208">
        <f>INT(装备拆分数值生成!AH$68+(装备拆分数值生成!$AK155-41)*装备拆分数值生成!AH$32)</f>
        <v>661</v>
      </c>
      <c r="AU208">
        <f>INT(装备拆分数值生成!AF$74+(装备拆分数值生成!$AK208-41)*装备拆分数值生成!AF$38)</f>
        <v>1940</v>
      </c>
      <c r="AV208">
        <f>INT(装备拆分数值生成!AI$74+(装备拆分数值生成!$AK208-41)*装备拆分数值生成!AI$38)</f>
        <v>315</v>
      </c>
    </row>
    <row r="209" spans="37:48">
      <c r="AK209">
        <v>45</v>
      </c>
      <c r="AL209" t="s">
        <v>218</v>
      </c>
      <c r="AM209">
        <f>INT(装备拆分数值生成!AG$44+(装备拆分数值生成!$AK156-41)*装备拆分数值生成!AG$8)</f>
        <v>2112</v>
      </c>
      <c r="AN209">
        <f>INT(装备拆分数值生成!AH$44+(装备拆分数值生成!$AK156-41)*装备拆分数值生成!AH$8)</f>
        <v>2112</v>
      </c>
      <c r="AO209">
        <f>INT(装备拆分数值生成!AF$50+(装备拆分数值生成!$AK156-41)*装备拆分数值生成!AF$14)</f>
        <v>5163</v>
      </c>
      <c r="AP209">
        <f>INT(装备拆分数值生成!AI$56+(装备拆分数值生成!$AK156-41)*装备拆分数值生成!AI$20)</f>
        <v>1680</v>
      </c>
      <c r="AR209">
        <f>INT(装备拆分数值生成!AI$62+(装备拆分数值生成!$AK156-41)*装备拆分数值生成!AI$26)</f>
        <v>1008</v>
      </c>
      <c r="AS209">
        <f>INT(装备拆分数值生成!AF$68+(装备拆分数值生成!$AK156-41)*装备拆分数值生成!AF$32)</f>
        <v>3098</v>
      </c>
      <c r="AT209">
        <f>INT(装备拆分数值生成!AH$68+(装备拆分数值生成!$AK156-41)*装备拆分数值生成!AH$32)</f>
        <v>704</v>
      </c>
      <c r="AU209">
        <f>INT(装备拆分数值生成!AF$74+(装备拆分数值生成!$AK209-41)*装备拆分数值生成!AF$38)</f>
        <v>2065</v>
      </c>
      <c r="AV209">
        <f>INT(装备拆分数值生成!AI$74+(装备拆分数值生成!$AK209-41)*装备拆分数值生成!AI$38)</f>
        <v>336</v>
      </c>
    </row>
    <row r="210" spans="37:48">
      <c r="AK210">
        <v>46</v>
      </c>
      <c r="AL210" t="s">
        <v>219</v>
      </c>
      <c r="AM210">
        <f>INT(装备拆分数值生成!AG$44+(装备拆分数值生成!$AK157-41)*装备拆分数值生成!AG$8)</f>
        <v>2240</v>
      </c>
      <c r="AN210">
        <f>INT(装备拆分数值生成!AH$44+(装备拆分数值生成!$AK157-41)*装备拆分数值生成!AH$8)</f>
        <v>2240</v>
      </c>
      <c r="AO210">
        <f>INT(装备拆分数值生成!AF$50+(装备拆分数值生成!$AK157-41)*装备拆分数值生成!AF$14)</f>
        <v>5476</v>
      </c>
      <c r="AP210">
        <f>INT(装备拆分数值生成!AI$56+(装备拆分数值生成!$AK157-41)*装备拆分数值生成!AI$20)</f>
        <v>1781</v>
      </c>
      <c r="AR210">
        <f>INT(装备拆分数值生成!AI$62+(装备拆分数值生成!$AK157-41)*装备拆分数值生成!AI$26)</f>
        <v>1069</v>
      </c>
      <c r="AS210">
        <f>INT(装备拆分数值生成!AF$68+(装备拆分数值生成!$AK157-41)*装备拆分数值生成!AF$32)</f>
        <v>3285</v>
      </c>
      <c r="AT210">
        <f>INT(装备拆分数值生成!AH$68+(装备拆分数值生成!$AK157-41)*装备拆分数值生成!AH$32)</f>
        <v>746</v>
      </c>
      <c r="AU210">
        <f>INT(装备拆分数值生成!AF$74+(装备拆分数值生成!$AK210-41)*装备拆分数值生成!AF$38)</f>
        <v>2190</v>
      </c>
      <c r="AV210">
        <f>INT(装备拆分数值生成!AI$74+(装备拆分数值生成!$AK210-41)*装备拆分数值生成!AI$38)</f>
        <v>356</v>
      </c>
    </row>
    <row r="211" spans="37:48">
      <c r="AK211">
        <v>47</v>
      </c>
      <c r="AL211" t="s">
        <v>220</v>
      </c>
      <c r="AM211">
        <f>INT(装备拆分数值生成!AG$44+(装备拆分数值生成!$AK158-41)*装备拆分数值生成!AG$8)</f>
        <v>2368</v>
      </c>
      <c r="AN211">
        <f>INT(装备拆分数值生成!AH$44+(装备拆分数值生成!$AK158-41)*装备拆分数值生成!AH$8)</f>
        <v>2368</v>
      </c>
      <c r="AO211">
        <f>INT(装备拆分数值生成!AF$50+(装备拆分数值生成!$AK158-41)*装备拆分数值生成!AF$14)</f>
        <v>5788</v>
      </c>
      <c r="AP211">
        <f>INT(装备拆分数值生成!AI$56+(装备拆分数值生成!$AK158-41)*装备拆分数值生成!AI$20)</f>
        <v>1883</v>
      </c>
      <c r="AR211">
        <f>INT(装备拆分数值生成!AI$62+(装备拆分数值生成!$AK158-41)*装备拆分数值生成!AI$26)</f>
        <v>1130</v>
      </c>
      <c r="AS211">
        <f>INT(装备拆分数值生成!AF$68+(装备拆分数值生成!$AK158-41)*装备拆分数值生成!AF$32)</f>
        <v>3473</v>
      </c>
      <c r="AT211">
        <f>INT(装备拆分数值生成!AH$68+(装备拆分数值生成!$AK158-41)*装备拆分数值生成!AH$32)</f>
        <v>789</v>
      </c>
      <c r="AU211">
        <f>INT(装备拆分数值生成!AF$74+(装备拆分数值生成!$AK211-41)*装备拆分数值生成!AF$38)</f>
        <v>2315</v>
      </c>
      <c r="AV211">
        <f>INT(装备拆分数值生成!AI$74+(装备拆分数值生成!$AK211-41)*装备拆分数值生成!AI$38)</f>
        <v>376</v>
      </c>
    </row>
    <row r="212" spans="37:48">
      <c r="AK212">
        <v>48</v>
      </c>
      <c r="AL212" t="s">
        <v>481</v>
      </c>
      <c r="AM212">
        <f>INT(装备拆分数值生成!AG$44+(装备拆分数值生成!$AK159-41)*装备拆分数值生成!AG$8)</f>
        <v>2496</v>
      </c>
      <c r="AN212">
        <f>INT(装备拆分数值生成!AH$44+(装备拆分数值生成!$AK159-41)*装备拆分数值生成!AH$8)</f>
        <v>2496</v>
      </c>
      <c r="AO212">
        <f>INT(装备拆分数值生成!AF$50+(装备拆分数值生成!$AK159-41)*装备拆分数值生成!AF$14)</f>
        <v>6100</v>
      </c>
      <c r="AP212">
        <f>INT(装备拆分数值生成!AI$56+(装备拆分数值生成!$AK159-41)*装备拆分数值生成!AI$20)</f>
        <v>1985</v>
      </c>
      <c r="AR212">
        <f>INT(装备拆分数值生成!AI$62+(装备拆分数值生成!$AK159-41)*装备拆分数值生成!AI$26)</f>
        <v>1191</v>
      </c>
      <c r="AS212">
        <f>INT(装备拆分数值生成!AF$68+(装备拆分数值生成!$AK159-41)*装备拆分数值生成!AF$32)</f>
        <v>3660</v>
      </c>
      <c r="AT212">
        <f>INT(装备拆分数值生成!AH$68+(装备拆分数值生成!$AK159-41)*装备拆分数值生成!AH$32)</f>
        <v>832</v>
      </c>
      <c r="AU212">
        <f>INT(装备拆分数值生成!AF$74+(装备拆分数值生成!$AK212-41)*装备拆分数值生成!AF$38)</f>
        <v>2440</v>
      </c>
      <c r="AV212">
        <f>INT(装备拆分数值生成!AI$74+(装备拆分数值生成!$AK212-41)*装备拆分数值生成!AI$38)</f>
        <v>397</v>
      </c>
    </row>
    <row r="213" spans="37:48">
      <c r="AK213">
        <v>49</v>
      </c>
      <c r="AL213" t="s">
        <v>482</v>
      </c>
      <c r="AM213">
        <f>INT(装备拆分数值生成!AG$44+(装备拆分数值生成!$AK160-41)*装备拆分数值生成!AG$8)</f>
        <v>2623</v>
      </c>
      <c r="AN213">
        <f>INT(装备拆分数值生成!AH$44+(装备拆分数值生成!$AK160-41)*装备拆分数值生成!AH$8)</f>
        <v>2623</v>
      </c>
      <c r="AO213">
        <f>INT(装备拆分数值生成!AF$50+(装备拆分数值生成!$AK160-41)*装备拆分数值生成!AF$14)</f>
        <v>6413</v>
      </c>
      <c r="AP213">
        <f>INT(装备拆分数值生成!AI$56+(装备拆分数值生成!$AK160-41)*装备拆分数值生成!AI$20)</f>
        <v>2086</v>
      </c>
      <c r="AR213">
        <f>INT(装备拆分数值生成!AI$62+(装备拆分数值生成!$AK160-41)*装备拆分数值生成!AI$26)</f>
        <v>1252</v>
      </c>
      <c r="AS213">
        <f>INT(装备拆分数值生成!AF$68+(装备拆分数值生成!$AK160-41)*装备拆分数值生成!AF$32)</f>
        <v>3847</v>
      </c>
      <c r="AT213">
        <f>INT(装备拆分数值生成!AH$68+(装备拆分数值生成!$AK160-41)*装备拆分数值生成!AH$32)</f>
        <v>874</v>
      </c>
      <c r="AU213">
        <f>INT(装备拆分数值生成!AF$74+(装备拆分数值生成!$AK213-41)*装备拆分数值生成!AF$38)</f>
        <v>2565</v>
      </c>
      <c r="AV213">
        <f>INT(装备拆分数值生成!AI$74+(装备拆分数值生成!$AK213-41)*装备拆分数值生成!AI$38)</f>
        <v>417</v>
      </c>
    </row>
    <row r="214" spans="37:48">
      <c r="AK214">
        <v>50</v>
      </c>
      <c r="AL214" t="s">
        <v>483</v>
      </c>
      <c r="AM214">
        <f>INT(装备拆分数值生成!AG$44+(装备拆分数值生成!$AK161-41)*装备拆分数值生成!AG$8)</f>
        <v>2751</v>
      </c>
      <c r="AN214">
        <f>INT(装备拆分数值生成!AH$44+(装备拆分数值生成!$AK161-41)*装备拆分数值生成!AH$8)</f>
        <v>2751</v>
      </c>
      <c r="AO214">
        <f>INT(装备拆分数值生成!AF$50+(装备拆分数值生成!$AK161-41)*装备拆分数值生成!AF$14)</f>
        <v>6725</v>
      </c>
      <c r="AP214">
        <f>INT(装备拆分数值生成!AI$56+(装备拆分数值生成!$AK161-41)*装备拆分数值生成!AI$20)</f>
        <v>2188</v>
      </c>
      <c r="AR214">
        <f>INT(装备拆分数值生成!AI$62+(装备拆分数值生成!$AK161-41)*装备拆分数值生成!AI$26)</f>
        <v>1313</v>
      </c>
      <c r="AS214">
        <f>INT(装备拆分数值生成!AF$68+(装备拆分数值生成!$AK161-41)*装备拆分数值生成!AF$32)</f>
        <v>4035</v>
      </c>
      <c r="AT214">
        <f>INT(装备拆分数值生成!AH$68+(装备拆分数值生成!$AK161-41)*装备拆分数值生成!AH$32)</f>
        <v>917</v>
      </c>
      <c r="AU214">
        <f>INT(装备拆分数值生成!AF$74+(装备拆分数值生成!$AK214-41)*装备拆分数值生成!AF$38)</f>
        <v>2690</v>
      </c>
      <c r="AV214">
        <f>INT(装备拆分数值生成!AI$74+(装备拆分数值生成!$AK214-41)*装备拆分数值生成!AI$38)</f>
        <v>437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G40" sqref="G40"/>
    </sheetView>
  </sheetViews>
  <sheetFormatPr defaultRowHeight="13.5"/>
  <sheetData>
    <row r="1" spans="1:19">
      <c r="J1" t="s">
        <v>313</v>
      </c>
    </row>
    <row r="2" spans="1:19">
      <c r="B2" t="s">
        <v>265</v>
      </c>
      <c r="I2" t="s">
        <v>356</v>
      </c>
      <c r="K2" t="s">
        <v>357</v>
      </c>
    </row>
    <row r="3" spans="1:19">
      <c r="H3" t="s">
        <v>355</v>
      </c>
      <c r="I3" s="1">
        <v>0.36</v>
      </c>
      <c r="K3" s="1">
        <v>0.64</v>
      </c>
    </row>
    <row r="4" spans="1:19">
      <c r="B4" t="s">
        <v>307</v>
      </c>
      <c r="H4" t="s">
        <v>358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359</v>
      </c>
    </row>
    <row r="8" spans="1:19">
      <c r="B8">
        <v>20</v>
      </c>
      <c r="C8" t="s">
        <v>269</v>
      </c>
      <c r="K8" t="s">
        <v>353</v>
      </c>
    </row>
    <row r="9" spans="1:19">
      <c r="B9">
        <v>40</v>
      </c>
      <c r="C9" t="s">
        <v>270</v>
      </c>
      <c r="L9" t="s">
        <v>305</v>
      </c>
      <c r="M9" t="s">
        <v>308</v>
      </c>
      <c r="N9" t="s">
        <v>309</v>
      </c>
      <c r="O9" t="s">
        <v>310</v>
      </c>
      <c r="P9" t="s">
        <v>311</v>
      </c>
      <c r="Q9" t="s">
        <v>312</v>
      </c>
      <c r="R9" t="s">
        <v>322</v>
      </c>
      <c r="S9" t="s">
        <v>351</v>
      </c>
    </row>
    <row r="10" spans="1:19">
      <c r="B10">
        <v>60</v>
      </c>
      <c r="C10" t="s">
        <v>274</v>
      </c>
    </row>
    <row r="11" spans="1:19">
      <c r="B11">
        <v>100</v>
      </c>
      <c r="C11" t="s">
        <v>275</v>
      </c>
      <c r="K11" t="s">
        <v>315</v>
      </c>
      <c r="L11">
        <v>400</v>
      </c>
      <c r="M11">
        <v>2000</v>
      </c>
      <c r="R11">
        <v>900</v>
      </c>
    </row>
    <row r="12" spans="1:19">
      <c r="K12" t="s">
        <v>352</v>
      </c>
    </row>
    <row r="13" spans="1:19">
      <c r="A13" t="s">
        <v>304</v>
      </c>
      <c r="L13" s="1">
        <v>0.2</v>
      </c>
      <c r="O13" t="s">
        <v>319</v>
      </c>
      <c r="P13" t="s">
        <v>319</v>
      </c>
      <c r="Q13" t="s">
        <v>319</v>
      </c>
    </row>
    <row r="14" spans="1:19">
      <c r="L14" t="s">
        <v>347</v>
      </c>
    </row>
    <row r="15" spans="1:19">
      <c r="A15" t="s">
        <v>306</v>
      </c>
      <c r="B15">
        <v>20</v>
      </c>
      <c r="K15" t="s">
        <v>316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348</v>
      </c>
      <c r="O16">
        <v>1</v>
      </c>
      <c r="P16">
        <v>1</v>
      </c>
      <c r="Q16">
        <v>1</v>
      </c>
    </row>
    <row r="17" spans="1:21">
      <c r="B17">
        <v>60</v>
      </c>
      <c r="K17" t="s">
        <v>349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321</v>
      </c>
    </row>
    <row r="20" spans="1:21">
      <c r="B20">
        <v>100</v>
      </c>
      <c r="K20" t="s">
        <v>350</v>
      </c>
    </row>
    <row r="21" spans="1:21">
      <c r="A21" t="s">
        <v>276</v>
      </c>
      <c r="L21" t="s">
        <v>346</v>
      </c>
    </row>
    <row r="22" spans="1:21">
      <c r="B22" t="s">
        <v>280</v>
      </c>
      <c r="K22" t="s">
        <v>320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63"/>
  <sheetViews>
    <sheetView workbookViewId="0">
      <pane xSplit="1" ySplit="3" topLeftCell="B177" activePane="bottomRight" state="frozen"/>
      <selection pane="topRight" activeCell="B1" sqref="B1"/>
      <selection pane="bottomLeft" activeCell="A4" sqref="A4"/>
      <selection pane="bottomRight" activeCell="B76" sqref="B76:J364"/>
    </sheetView>
  </sheetViews>
  <sheetFormatPr defaultRowHeight="13.5"/>
  <sheetData>
    <row r="1" spans="1:10">
      <c r="A1" t="s">
        <v>234</v>
      </c>
      <c r="B1" t="s">
        <v>57</v>
      </c>
      <c r="C1" t="s">
        <v>57</v>
      </c>
      <c r="D1" t="s">
        <v>57</v>
      </c>
      <c r="E1" t="s">
        <v>57</v>
      </c>
      <c r="F1" t="s">
        <v>57</v>
      </c>
      <c r="G1" t="s">
        <v>57</v>
      </c>
      <c r="H1" t="s">
        <v>363</v>
      </c>
      <c r="I1" t="s">
        <v>363</v>
      </c>
      <c r="J1" t="s">
        <v>363</v>
      </c>
    </row>
    <row r="2" spans="1:10">
      <c r="A2" t="s">
        <v>235</v>
      </c>
      <c r="B2" t="s">
        <v>61</v>
      </c>
      <c r="C2" t="s">
        <v>62</v>
      </c>
      <c r="D2" t="s">
        <v>63</v>
      </c>
      <c r="E2" t="s">
        <v>64</v>
      </c>
      <c r="F2" t="s">
        <v>60</v>
      </c>
      <c r="G2" t="s">
        <v>364</v>
      </c>
      <c r="H2" t="s">
        <v>365</v>
      </c>
      <c r="I2" t="s">
        <v>366</v>
      </c>
      <c r="J2" t="s">
        <v>367</v>
      </c>
    </row>
    <row r="3" spans="1:10">
      <c r="A3" t="s">
        <v>236</v>
      </c>
      <c r="B3" t="s">
        <v>70</v>
      </c>
      <c r="C3" t="s">
        <v>71</v>
      </c>
      <c r="D3" t="s">
        <v>72</v>
      </c>
      <c r="E3" t="s">
        <v>223</v>
      </c>
      <c r="F3" t="s">
        <v>69</v>
      </c>
      <c r="G3" t="s">
        <v>368</v>
      </c>
      <c r="H3" t="s">
        <v>369</v>
      </c>
      <c r="I3" t="s">
        <v>370</v>
      </c>
      <c r="J3" t="s">
        <v>371</v>
      </c>
    </row>
    <row r="4" spans="1:10">
      <c r="A4">
        <v>1</v>
      </c>
      <c r="B4">
        <v>10</v>
      </c>
      <c r="C4">
        <v>10</v>
      </c>
      <c r="D4">
        <v>10</v>
      </c>
      <c r="E4">
        <v>10</v>
      </c>
      <c r="F4">
        <v>10</v>
      </c>
      <c r="G4">
        <v>0</v>
      </c>
      <c r="H4">
        <v>0</v>
      </c>
      <c r="I4">
        <v>0</v>
      </c>
      <c r="J4">
        <v>0</v>
      </c>
    </row>
    <row r="5" spans="1:10">
      <c r="A5">
        <v>2</v>
      </c>
      <c r="B5">
        <v>99999</v>
      </c>
      <c r="C5">
        <v>99999</v>
      </c>
      <c r="D5">
        <v>99999</v>
      </c>
      <c r="E5">
        <v>99999</v>
      </c>
      <c r="F5">
        <v>99999</v>
      </c>
      <c r="G5">
        <v>0</v>
      </c>
      <c r="H5">
        <v>0</v>
      </c>
      <c r="I5">
        <v>0</v>
      </c>
      <c r="J5">
        <v>0</v>
      </c>
    </row>
    <row r="6" spans="1:10">
      <c r="A6">
        <v>3</v>
      </c>
      <c r="B6">
        <v>12</v>
      </c>
      <c r="C6">
        <v>12</v>
      </c>
      <c r="D6">
        <v>12</v>
      </c>
      <c r="E6">
        <v>12</v>
      </c>
      <c r="F6">
        <v>12</v>
      </c>
      <c r="G6">
        <v>0</v>
      </c>
      <c r="H6">
        <v>0</v>
      </c>
      <c r="I6">
        <v>0</v>
      </c>
      <c r="J6">
        <v>0</v>
      </c>
    </row>
    <row r="7" spans="1:10">
      <c r="A7">
        <v>4</v>
      </c>
      <c r="B7">
        <v>13</v>
      </c>
      <c r="C7">
        <v>13</v>
      </c>
      <c r="D7">
        <v>13</v>
      </c>
      <c r="E7">
        <v>13</v>
      </c>
      <c r="F7">
        <v>13</v>
      </c>
      <c r="G7">
        <v>0</v>
      </c>
      <c r="H7">
        <v>0</v>
      </c>
      <c r="I7">
        <v>0</v>
      </c>
      <c r="J7">
        <v>0</v>
      </c>
    </row>
    <row r="8" spans="1:10">
      <c r="A8">
        <v>5</v>
      </c>
      <c r="B8">
        <v>14</v>
      </c>
      <c r="C8">
        <v>14</v>
      </c>
      <c r="D8">
        <v>14</v>
      </c>
      <c r="E8">
        <v>14</v>
      </c>
      <c r="F8">
        <v>14</v>
      </c>
      <c r="G8">
        <v>0</v>
      </c>
      <c r="H8">
        <v>0</v>
      </c>
      <c r="I8">
        <v>0</v>
      </c>
      <c r="J8">
        <v>0</v>
      </c>
    </row>
    <row r="9" spans="1:10">
      <c r="A9">
        <v>6</v>
      </c>
      <c r="B9">
        <v>15</v>
      </c>
      <c r="C9">
        <v>15</v>
      </c>
      <c r="D9">
        <v>15</v>
      </c>
      <c r="E9">
        <v>15</v>
      </c>
      <c r="F9">
        <v>15</v>
      </c>
      <c r="G9">
        <v>0</v>
      </c>
      <c r="H9">
        <v>0</v>
      </c>
      <c r="I9">
        <v>0</v>
      </c>
      <c r="J9">
        <v>0</v>
      </c>
    </row>
    <row r="10" spans="1:10">
      <c r="A10">
        <v>7</v>
      </c>
      <c r="B10">
        <v>16</v>
      </c>
      <c r="C10">
        <v>16</v>
      </c>
      <c r="D10">
        <v>16</v>
      </c>
      <c r="E10">
        <v>16</v>
      </c>
      <c r="F10">
        <v>16</v>
      </c>
      <c r="G10">
        <v>0</v>
      </c>
      <c r="H10">
        <v>0</v>
      </c>
      <c r="I10">
        <v>0</v>
      </c>
      <c r="J10">
        <v>0</v>
      </c>
    </row>
    <row r="11" spans="1:10">
      <c r="A11">
        <v>8</v>
      </c>
      <c r="B11">
        <v>17</v>
      </c>
      <c r="C11">
        <v>17</v>
      </c>
      <c r="D11">
        <v>17</v>
      </c>
      <c r="E11">
        <v>17</v>
      </c>
      <c r="F11">
        <v>17</v>
      </c>
      <c r="G11">
        <v>0</v>
      </c>
      <c r="H11">
        <v>0</v>
      </c>
      <c r="I11">
        <v>0</v>
      </c>
      <c r="J11">
        <v>0</v>
      </c>
    </row>
    <row r="12" spans="1:10">
      <c r="A12">
        <v>9</v>
      </c>
      <c r="B12">
        <v>18</v>
      </c>
      <c r="C12">
        <v>18</v>
      </c>
      <c r="D12">
        <v>18</v>
      </c>
      <c r="E12">
        <v>18</v>
      </c>
      <c r="F12">
        <v>18</v>
      </c>
      <c r="G12">
        <v>0</v>
      </c>
      <c r="H12">
        <v>0</v>
      </c>
      <c r="I12">
        <v>0</v>
      </c>
      <c r="J12">
        <v>0</v>
      </c>
    </row>
    <row r="13" spans="1:10">
      <c r="A13">
        <v>10</v>
      </c>
      <c r="B13">
        <v>19</v>
      </c>
      <c r="C13">
        <v>19</v>
      </c>
      <c r="D13">
        <v>19</v>
      </c>
      <c r="E13">
        <v>19</v>
      </c>
      <c r="F13">
        <v>19</v>
      </c>
      <c r="G13">
        <v>0</v>
      </c>
      <c r="H13">
        <v>0</v>
      </c>
      <c r="I13">
        <v>0</v>
      </c>
      <c r="J13">
        <v>0</v>
      </c>
    </row>
    <row r="14" spans="1:10">
      <c r="A14">
        <v>11</v>
      </c>
      <c r="B14">
        <v>20</v>
      </c>
      <c r="C14">
        <v>20</v>
      </c>
      <c r="D14">
        <v>20</v>
      </c>
      <c r="E14">
        <v>20</v>
      </c>
      <c r="F14">
        <v>20</v>
      </c>
      <c r="G14">
        <v>0</v>
      </c>
      <c r="H14">
        <v>0</v>
      </c>
      <c r="I14">
        <v>0</v>
      </c>
      <c r="J14">
        <v>0</v>
      </c>
    </row>
    <row r="15" spans="1:10">
      <c r="A15">
        <v>12</v>
      </c>
      <c r="B15">
        <v>21</v>
      </c>
      <c r="C15">
        <v>21</v>
      </c>
      <c r="D15">
        <v>21</v>
      </c>
      <c r="E15">
        <v>21</v>
      </c>
      <c r="F15">
        <v>21</v>
      </c>
      <c r="G15">
        <v>0</v>
      </c>
      <c r="H15">
        <v>0</v>
      </c>
      <c r="I15">
        <v>0</v>
      </c>
      <c r="J15">
        <v>0</v>
      </c>
    </row>
    <row r="16" spans="1:10">
      <c r="A16">
        <v>13</v>
      </c>
      <c r="B16">
        <v>22</v>
      </c>
      <c r="C16">
        <v>22</v>
      </c>
      <c r="D16">
        <v>22</v>
      </c>
      <c r="E16">
        <v>22</v>
      </c>
      <c r="F16">
        <v>22</v>
      </c>
      <c r="G16">
        <v>0</v>
      </c>
      <c r="H16">
        <v>0</v>
      </c>
      <c r="I16">
        <v>0</v>
      </c>
      <c r="J16">
        <v>0</v>
      </c>
    </row>
    <row r="17" spans="1:10">
      <c r="A17">
        <v>14</v>
      </c>
      <c r="B17">
        <v>23</v>
      </c>
      <c r="C17">
        <v>23</v>
      </c>
      <c r="D17">
        <v>23</v>
      </c>
      <c r="E17">
        <v>23</v>
      </c>
      <c r="F17">
        <v>23</v>
      </c>
      <c r="G17">
        <v>0</v>
      </c>
      <c r="H17">
        <v>0</v>
      </c>
      <c r="I17">
        <v>0</v>
      </c>
      <c r="J17">
        <v>0</v>
      </c>
    </row>
    <row r="18" spans="1:10">
      <c r="A18">
        <v>15</v>
      </c>
      <c r="B18">
        <v>24</v>
      </c>
      <c r="C18">
        <v>24</v>
      </c>
      <c r="D18">
        <v>24</v>
      </c>
      <c r="E18">
        <v>24</v>
      </c>
      <c r="F18">
        <v>24</v>
      </c>
      <c r="G18">
        <v>0</v>
      </c>
      <c r="H18">
        <v>0</v>
      </c>
      <c r="I18">
        <v>0</v>
      </c>
      <c r="J18">
        <v>0</v>
      </c>
    </row>
    <row r="19" spans="1:10">
      <c r="A19">
        <v>16</v>
      </c>
      <c r="B19">
        <v>25</v>
      </c>
      <c r="C19">
        <v>25</v>
      </c>
      <c r="D19">
        <v>25</v>
      </c>
      <c r="E19">
        <v>25</v>
      </c>
      <c r="F19">
        <v>25</v>
      </c>
      <c r="G19">
        <v>0</v>
      </c>
      <c r="H19">
        <v>0</v>
      </c>
      <c r="I19">
        <v>0</v>
      </c>
      <c r="J19">
        <v>0</v>
      </c>
    </row>
    <row r="20" spans="1:10">
      <c r="A20">
        <v>17</v>
      </c>
      <c r="B20">
        <v>26</v>
      </c>
      <c r="C20">
        <v>26</v>
      </c>
      <c r="D20">
        <v>26</v>
      </c>
      <c r="E20">
        <v>26</v>
      </c>
      <c r="F20">
        <v>26</v>
      </c>
      <c r="G20">
        <v>0</v>
      </c>
      <c r="H20">
        <v>0</v>
      </c>
      <c r="I20">
        <v>0</v>
      </c>
      <c r="J20">
        <v>0</v>
      </c>
    </row>
    <row r="21" spans="1:10">
      <c r="A21">
        <v>18</v>
      </c>
      <c r="B21">
        <v>27</v>
      </c>
      <c r="C21">
        <v>27</v>
      </c>
      <c r="D21">
        <v>27</v>
      </c>
      <c r="E21">
        <v>27</v>
      </c>
      <c r="F21">
        <v>27</v>
      </c>
      <c r="G21">
        <v>0</v>
      </c>
      <c r="H21">
        <v>0</v>
      </c>
      <c r="I21">
        <v>0</v>
      </c>
      <c r="J21">
        <v>0</v>
      </c>
    </row>
    <row r="22" spans="1:10">
      <c r="A22">
        <v>30001</v>
      </c>
      <c r="B22">
        <v>0</v>
      </c>
      <c r="C22">
        <v>0</v>
      </c>
      <c r="D22">
        <v>0</v>
      </c>
      <c r="E22">
        <v>0</v>
      </c>
      <c r="F22">
        <f>宝石属性!C23</f>
        <v>31</v>
      </c>
      <c r="G22">
        <v>0</v>
      </c>
      <c r="H22">
        <v>0</v>
      </c>
      <c r="I22">
        <v>0</v>
      </c>
      <c r="J22">
        <v>0</v>
      </c>
    </row>
    <row r="23" spans="1:10">
      <c r="A23">
        <v>30002</v>
      </c>
      <c r="B23">
        <v>0</v>
      </c>
      <c r="C23">
        <v>0</v>
      </c>
      <c r="D23">
        <v>0</v>
      </c>
      <c r="E23">
        <v>0</v>
      </c>
      <c r="F23">
        <f>宝石属性!C24</f>
        <v>62</v>
      </c>
      <c r="G23">
        <v>0</v>
      </c>
      <c r="H23">
        <v>0</v>
      </c>
      <c r="I23">
        <v>0</v>
      </c>
      <c r="J23">
        <v>0</v>
      </c>
    </row>
    <row r="24" spans="1:10">
      <c r="A24">
        <v>30003</v>
      </c>
      <c r="B24">
        <v>0</v>
      </c>
      <c r="C24">
        <v>0</v>
      </c>
      <c r="D24">
        <v>0</v>
      </c>
      <c r="E24">
        <v>0</v>
      </c>
      <c r="F24">
        <f>宝石属性!C25</f>
        <v>114</v>
      </c>
      <c r="G24">
        <v>0</v>
      </c>
      <c r="H24">
        <v>0</v>
      </c>
      <c r="I24">
        <v>0</v>
      </c>
      <c r="J24">
        <v>0</v>
      </c>
    </row>
    <row r="25" spans="1:10">
      <c r="A25">
        <v>30004</v>
      </c>
      <c r="B25">
        <v>0</v>
      </c>
      <c r="C25">
        <v>0</v>
      </c>
      <c r="D25">
        <v>0</v>
      </c>
      <c r="E25">
        <v>0</v>
      </c>
      <c r="F25">
        <f>宝石属性!C26</f>
        <v>195</v>
      </c>
      <c r="G25">
        <v>0</v>
      </c>
      <c r="H25">
        <v>0</v>
      </c>
      <c r="I25">
        <v>0</v>
      </c>
      <c r="J25">
        <v>0</v>
      </c>
    </row>
    <row r="26" spans="1:10">
      <c r="A26">
        <v>30005</v>
      </c>
      <c r="B26">
        <v>0</v>
      </c>
      <c r="C26">
        <v>0</v>
      </c>
      <c r="D26">
        <v>0</v>
      </c>
      <c r="E26">
        <v>0</v>
      </c>
      <c r="F26">
        <f>宝石属性!C27</f>
        <v>309</v>
      </c>
      <c r="G26">
        <v>0</v>
      </c>
      <c r="H26">
        <v>0</v>
      </c>
      <c r="I26">
        <v>0</v>
      </c>
      <c r="J26">
        <v>0</v>
      </c>
    </row>
    <row r="27" spans="1:10">
      <c r="A27">
        <v>30006</v>
      </c>
      <c r="B27">
        <v>0</v>
      </c>
      <c r="C27">
        <v>0</v>
      </c>
      <c r="D27">
        <v>0</v>
      </c>
      <c r="E27">
        <v>0</v>
      </c>
      <c r="F27">
        <f>宝石属性!C28</f>
        <v>522</v>
      </c>
      <c r="G27">
        <v>0</v>
      </c>
      <c r="H27">
        <v>0</v>
      </c>
      <c r="I27">
        <v>0</v>
      </c>
      <c r="J27">
        <v>0</v>
      </c>
    </row>
    <row r="28" spans="1:10">
      <c r="A28">
        <v>30007</v>
      </c>
      <c r="B28">
        <v>0</v>
      </c>
      <c r="C28">
        <f>宝石属性!E23</f>
        <v>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>
        <v>30008</v>
      </c>
      <c r="B29">
        <v>0</v>
      </c>
      <c r="C29">
        <f>宝石属性!E24</f>
        <v>12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>
        <v>30009</v>
      </c>
      <c r="B30">
        <v>0</v>
      </c>
      <c r="C30">
        <f>宝石属性!E25</f>
        <v>22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>
        <v>30010</v>
      </c>
      <c r="B31">
        <v>0</v>
      </c>
      <c r="C31">
        <f>宝石属性!E26</f>
        <v>37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>
      <c r="A32">
        <v>30011</v>
      </c>
      <c r="B32">
        <v>0</v>
      </c>
      <c r="C32">
        <f>宝石属性!E27</f>
        <v>60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>
      <c r="A33">
        <v>30012</v>
      </c>
      <c r="B33">
        <v>0</v>
      </c>
      <c r="C33">
        <f>宝石属性!E28</f>
        <v>101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>
      <c r="A34">
        <v>30013</v>
      </c>
      <c r="B34">
        <f>宝石属性!D23</f>
        <v>6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>
      <c r="A35">
        <v>30014</v>
      </c>
      <c r="B35">
        <f>宝石属性!D24</f>
        <v>12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>
      <c r="A36">
        <v>30015</v>
      </c>
      <c r="B36">
        <f>宝石属性!D25</f>
        <v>22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>
      <c r="A37">
        <v>30016</v>
      </c>
      <c r="B37">
        <f>宝石属性!D26</f>
        <v>37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>
      <c r="A38">
        <v>30017</v>
      </c>
      <c r="B38">
        <f>宝石属性!D27</f>
        <v>60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>
      <c r="A39">
        <v>30018</v>
      </c>
      <c r="B39">
        <f>宝石属性!D28</f>
        <v>101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>
      <c r="A40">
        <v>30019</v>
      </c>
      <c r="B40">
        <v>0</v>
      </c>
      <c r="C40">
        <v>0</v>
      </c>
      <c r="D40">
        <v>0</v>
      </c>
      <c r="E40">
        <f>宝石属性!F23</f>
        <v>5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>
      <c r="A41">
        <v>30020</v>
      </c>
      <c r="B41">
        <v>0</v>
      </c>
      <c r="C41">
        <v>0</v>
      </c>
      <c r="D41">
        <v>0</v>
      </c>
      <c r="E41">
        <f>宝石属性!F24</f>
        <v>10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>
      <c r="A42">
        <v>30021</v>
      </c>
      <c r="B42">
        <v>0</v>
      </c>
      <c r="C42">
        <v>0</v>
      </c>
      <c r="D42">
        <v>0</v>
      </c>
      <c r="E42">
        <f>宝石属性!F25</f>
        <v>20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>
      <c r="A43">
        <v>30022</v>
      </c>
      <c r="B43">
        <v>0</v>
      </c>
      <c r="C43">
        <v>0</v>
      </c>
      <c r="D43">
        <v>0</v>
      </c>
      <c r="E43">
        <f>宝石属性!F26</f>
        <v>34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>
      <c r="A44">
        <v>30023</v>
      </c>
      <c r="B44">
        <v>0</v>
      </c>
      <c r="C44">
        <v>0</v>
      </c>
      <c r="D44">
        <v>0</v>
      </c>
      <c r="E44">
        <f>宝石属性!F27</f>
        <v>54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>
      <c r="A45">
        <v>30024</v>
      </c>
      <c r="B45">
        <v>0</v>
      </c>
      <c r="C45">
        <v>0</v>
      </c>
      <c r="D45">
        <v>0</v>
      </c>
      <c r="E45">
        <f>宝石属性!F28</f>
        <v>91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>
      <c r="A46">
        <v>30025</v>
      </c>
      <c r="B46">
        <v>0</v>
      </c>
      <c r="C46">
        <v>0</v>
      </c>
      <c r="D46">
        <f>宝石属性!G23</f>
        <v>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>
      <c r="A47">
        <v>30026</v>
      </c>
      <c r="B47">
        <v>0</v>
      </c>
      <c r="C47">
        <v>0</v>
      </c>
      <c r="D47">
        <f>宝石属性!G24</f>
        <v>7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1:10">
      <c r="A48">
        <v>30027</v>
      </c>
      <c r="B48">
        <v>0</v>
      </c>
      <c r="C48">
        <v>0</v>
      </c>
      <c r="D48">
        <f>宝石属性!G25</f>
        <v>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>
      <c r="A49">
        <v>30028</v>
      </c>
      <c r="B49">
        <v>0</v>
      </c>
      <c r="C49">
        <v>0</v>
      </c>
      <c r="D49">
        <f>宝石属性!G26</f>
        <v>12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>
      <c r="A50">
        <v>30029</v>
      </c>
      <c r="B50">
        <v>0</v>
      </c>
      <c r="C50">
        <v>0</v>
      </c>
      <c r="D50">
        <f>宝石属性!G27</f>
        <v>15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>
      <c r="A51">
        <v>30030</v>
      </c>
      <c r="B51">
        <v>0</v>
      </c>
      <c r="C51">
        <v>0</v>
      </c>
      <c r="D51">
        <f>宝石属性!G28</f>
        <v>20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>
      <c r="A52">
        <v>30031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f>宝石属性!J23*0.01</f>
        <v>0.05</v>
      </c>
      <c r="I52">
        <v>0</v>
      </c>
      <c r="J52">
        <v>0</v>
      </c>
    </row>
    <row r="53" spans="1:10">
      <c r="A53">
        <v>30032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f>宝石属性!J24*0.01</f>
        <v>0.06</v>
      </c>
      <c r="I53">
        <v>0</v>
      </c>
      <c r="J53">
        <v>0</v>
      </c>
    </row>
    <row r="54" spans="1:10">
      <c r="A54">
        <v>30033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f>宝石属性!J25*0.01</f>
        <v>7.0000000000000007E-2</v>
      </c>
      <c r="I54">
        <v>0</v>
      </c>
      <c r="J54">
        <v>0</v>
      </c>
    </row>
    <row r="55" spans="1:10">
      <c r="A55">
        <v>30034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f>宝石属性!J26*0.01</f>
        <v>0.08</v>
      </c>
      <c r="I55">
        <v>0</v>
      </c>
      <c r="J55">
        <v>0</v>
      </c>
    </row>
    <row r="56" spans="1:10">
      <c r="A56">
        <v>30035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f>宝石属性!J27*0.01</f>
        <v>0.1</v>
      </c>
      <c r="I56">
        <v>0</v>
      </c>
      <c r="J56">
        <v>0</v>
      </c>
    </row>
    <row r="57" spans="1:10">
      <c r="A57">
        <v>30036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f>宝石属性!J28*0.01</f>
        <v>0.12</v>
      </c>
      <c r="I57">
        <v>0</v>
      </c>
      <c r="J57">
        <v>0</v>
      </c>
    </row>
    <row r="58" spans="1:10">
      <c r="A58">
        <v>30037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f>宝石属性!H23*0.01</f>
        <v>0.05</v>
      </c>
      <c r="J58">
        <v>0</v>
      </c>
    </row>
    <row r="59" spans="1:10">
      <c r="A59">
        <v>30038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f>宝石属性!H24*0.01</f>
        <v>0.06</v>
      </c>
      <c r="J59">
        <v>0</v>
      </c>
    </row>
    <row r="60" spans="1:10">
      <c r="A60">
        <v>30039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f>宝石属性!H25*0.01</f>
        <v>0.08</v>
      </c>
      <c r="J60">
        <v>0</v>
      </c>
    </row>
    <row r="61" spans="1:10">
      <c r="A61">
        <v>30040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f>宝石属性!H26*0.01</f>
        <v>0.1</v>
      </c>
      <c r="J61">
        <v>0</v>
      </c>
    </row>
    <row r="62" spans="1:10">
      <c r="A62">
        <v>30041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f>宝石属性!H27*0.01</f>
        <v>0.12</v>
      </c>
      <c r="J62">
        <v>0</v>
      </c>
    </row>
    <row r="63" spans="1:10">
      <c r="A63">
        <v>30042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f>宝石属性!H28*0.01</f>
        <v>0.15</v>
      </c>
      <c r="J63">
        <v>0</v>
      </c>
    </row>
    <row r="64" spans="1:10">
      <c r="A64">
        <v>30043</v>
      </c>
      <c r="B64">
        <v>0</v>
      </c>
      <c r="C64">
        <v>0</v>
      </c>
      <c r="D64">
        <v>0</v>
      </c>
      <c r="E64">
        <v>0</v>
      </c>
      <c r="F64">
        <v>0</v>
      </c>
      <c r="G64">
        <f>宝石属性!K23</f>
        <v>5</v>
      </c>
      <c r="H64">
        <v>0</v>
      </c>
      <c r="I64">
        <v>0</v>
      </c>
      <c r="J64">
        <v>0</v>
      </c>
    </row>
    <row r="65" spans="1:10">
      <c r="A65">
        <v>30044</v>
      </c>
      <c r="B65">
        <v>0</v>
      </c>
      <c r="C65">
        <v>0</v>
      </c>
      <c r="D65">
        <v>0</v>
      </c>
      <c r="E65">
        <v>0</v>
      </c>
      <c r="F65">
        <v>0</v>
      </c>
      <c r="G65">
        <f>宝石属性!K24</f>
        <v>6</v>
      </c>
      <c r="H65">
        <v>0</v>
      </c>
      <c r="I65">
        <v>0</v>
      </c>
      <c r="J65">
        <v>0</v>
      </c>
    </row>
    <row r="66" spans="1:10">
      <c r="A66">
        <v>30045</v>
      </c>
      <c r="B66">
        <v>0</v>
      </c>
      <c r="C66">
        <v>0</v>
      </c>
      <c r="D66">
        <v>0</v>
      </c>
      <c r="E66">
        <v>0</v>
      </c>
      <c r="F66">
        <v>0</v>
      </c>
      <c r="G66">
        <f>宝石属性!K25</f>
        <v>8</v>
      </c>
      <c r="H66">
        <v>0</v>
      </c>
      <c r="I66">
        <v>0</v>
      </c>
      <c r="J66">
        <v>0</v>
      </c>
    </row>
    <row r="67" spans="1:10">
      <c r="A67">
        <v>30046</v>
      </c>
      <c r="B67">
        <v>0</v>
      </c>
      <c r="C67">
        <v>0</v>
      </c>
      <c r="D67">
        <v>0</v>
      </c>
      <c r="E67">
        <v>0</v>
      </c>
      <c r="F67">
        <v>0</v>
      </c>
      <c r="G67">
        <f>宝石属性!K26</f>
        <v>10</v>
      </c>
      <c r="H67">
        <v>0</v>
      </c>
      <c r="I67">
        <v>0</v>
      </c>
      <c r="J67">
        <v>0</v>
      </c>
    </row>
    <row r="68" spans="1:10">
      <c r="A68">
        <v>30047</v>
      </c>
      <c r="B68">
        <v>0</v>
      </c>
      <c r="C68">
        <v>0</v>
      </c>
      <c r="D68">
        <v>0</v>
      </c>
      <c r="E68">
        <v>0</v>
      </c>
      <c r="F68">
        <v>0</v>
      </c>
      <c r="G68">
        <f>宝石属性!K27</f>
        <v>12</v>
      </c>
      <c r="H68">
        <v>0</v>
      </c>
      <c r="I68">
        <v>0</v>
      </c>
      <c r="J68">
        <v>0</v>
      </c>
    </row>
    <row r="69" spans="1:10">
      <c r="A69">
        <v>30048</v>
      </c>
      <c r="B69">
        <v>0</v>
      </c>
      <c r="C69">
        <v>0</v>
      </c>
      <c r="D69">
        <v>0</v>
      </c>
      <c r="E69">
        <v>0</v>
      </c>
      <c r="F69">
        <v>0</v>
      </c>
      <c r="G69">
        <f>宝石属性!K28</f>
        <v>15</v>
      </c>
      <c r="H69">
        <v>0</v>
      </c>
      <c r="I69">
        <v>0</v>
      </c>
      <c r="J69">
        <v>0</v>
      </c>
    </row>
    <row r="70" spans="1:10">
      <c r="A70">
        <v>30049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f>宝石属性!I23*0.01</f>
        <v>0.06</v>
      </c>
    </row>
    <row r="71" spans="1:10">
      <c r="A71">
        <v>30050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f>宝石属性!I24*0.01</f>
        <v>0.09</v>
      </c>
    </row>
    <row r="72" spans="1:10">
      <c r="A72">
        <v>30051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f>宝石属性!I25*0.01</f>
        <v>0.13</v>
      </c>
    </row>
    <row r="73" spans="1:10">
      <c r="A73">
        <v>30052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f>宝石属性!I26*0.01</f>
        <v>0.19</v>
      </c>
    </row>
    <row r="74" spans="1:10">
      <c r="A74">
        <v>30053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f>宝石属性!I27*0.01</f>
        <v>0.26</v>
      </c>
    </row>
    <row r="75" spans="1:10">
      <c r="A75">
        <v>30054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f>宝石属性!I28*0.01</f>
        <v>0.34</v>
      </c>
    </row>
    <row r="76" spans="1:10">
      <c r="A76">
        <v>101</v>
      </c>
      <c r="B76">
        <f>装备拆分数值生成!Z4</f>
        <v>8.8611111111111125</v>
      </c>
      <c r="C76">
        <f>装备拆分数值生成!AA4</f>
        <v>8.8611111111111125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>
      <c r="A77">
        <v>102</v>
      </c>
      <c r="B77">
        <f>装备拆分数值生成!Z5</f>
        <v>13.566666666666668</v>
      </c>
      <c r="C77">
        <f>装备拆分数值生成!AA5</f>
        <v>13.566666666666668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</row>
    <row r="78" spans="1:10">
      <c r="A78">
        <v>103</v>
      </c>
      <c r="B78">
        <f>装备拆分数值生成!Z6</f>
        <v>21.266666666666666</v>
      </c>
      <c r="C78">
        <f>装备拆分数值生成!AA6</f>
        <v>21.266666666666666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>
      <c r="A79">
        <v>104</v>
      </c>
      <c r="B79">
        <f>装备拆分数值生成!Z7</f>
        <v>53.655555555555559</v>
      </c>
      <c r="C79">
        <f>装备拆分数值生成!AA7</f>
        <v>53.655555555555559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>
      <c r="A80">
        <v>105</v>
      </c>
      <c r="B80">
        <f>装备拆分数值生成!Z8</f>
        <v>117.15</v>
      </c>
      <c r="C80">
        <f>装备拆分数值生成!AA8</f>
        <v>117.15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>
      <c r="A81">
        <v>106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>
      <c r="A82">
        <v>201</v>
      </c>
      <c r="B82">
        <v>0</v>
      </c>
      <c r="C82">
        <v>0</v>
      </c>
      <c r="D82">
        <v>0</v>
      </c>
      <c r="E82">
        <v>0</v>
      </c>
      <c r="F82">
        <f>装备拆分数值生成!Y10</f>
        <v>37.68888888888889</v>
      </c>
      <c r="G82">
        <v>0</v>
      </c>
      <c r="H82">
        <v>0</v>
      </c>
      <c r="I82">
        <v>0</v>
      </c>
      <c r="J82">
        <v>0</v>
      </c>
    </row>
    <row r="83" spans="1:10">
      <c r="A83">
        <v>202</v>
      </c>
      <c r="B83">
        <v>0</v>
      </c>
      <c r="C83">
        <v>0</v>
      </c>
      <c r="D83">
        <v>0</v>
      </c>
      <c r="E83">
        <v>0</v>
      </c>
      <c r="F83">
        <f>装备拆分数值生成!Y11</f>
        <v>57.866666666666667</v>
      </c>
      <c r="G83">
        <v>0</v>
      </c>
      <c r="H83">
        <v>0</v>
      </c>
      <c r="I83">
        <v>0</v>
      </c>
      <c r="J83">
        <v>0</v>
      </c>
    </row>
    <row r="84" spans="1:10">
      <c r="A84">
        <v>203</v>
      </c>
      <c r="B84">
        <v>0</v>
      </c>
      <c r="C84">
        <v>0</v>
      </c>
      <c r="D84">
        <v>0</v>
      </c>
      <c r="E84">
        <v>0</v>
      </c>
      <c r="F84">
        <f>装备拆分数值生成!Y12</f>
        <v>90.666666666666671</v>
      </c>
      <c r="G84">
        <v>0</v>
      </c>
      <c r="H84">
        <v>0</v>
      </c>
      <c r="I84">
        <v>0</v>
      </c>
      <c r="J84">
        <v>0</v>
      </c>
    </row>
    <row r="85" spans="1:10">
      <c r="A85">
        <v>204</v>
      </c>
      <c r="B85">
        <v>0</v>
      </c>
      <c r="C85">
        <v>0</v>
      </c>
      <c r="D85">
        <v>0</v>
      </c>
      <c r="E85">
        <v>0</v>
      </c>
      <c r="F85">
        <f>装备拆分数值生成!Y13</f>
        <v>228.8</v>
      </c>
      <c r="G85">
        <v>0</v>
      </c>
      <c r="H85">
        <v>0</v>
      </c>
      <c r="I85">
        <v>0</v>
      </c>
      <c r="J85">
        <v>0</v>
      </c>
    </row>
    <row r="86" spans="1:10">
      <c r="A86">
        <v>205</v>
      </c>
      <c r="B86">
        <v>0</v>
      </c>
      <c r="C86">
        <v>0</v>
      </c>
      <c r="D86">
        <v>0</v>
      </c>
      <c r="E86">
        <v>0</v>
      </c>
      <c r="F86">
        <f>装备拆分数值生成!Y14</f>
        <v>499.82222222222231</v>
      </c>
      <c r="G86">
        <v>0</v>
      </c>
      <c r="H86">
        <v>0</v>
      </c>
      <c r="I86">
        <v>0</v>
      </c>
      <c r="J86">
        <v>0</v>
      </c>
    </row>
    <row r="87" spans="1:10">
      <c r="A87">
        <v>206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</row>
    <row r="88" spans="1:10">
      <c r="A88">
        <v>301</v>
      </c>
      <c r="B88">
        <v>0</v>
      </c>
      <c r="C88">
        <v>0</v>
      </c>
      <c r="D88">
        <v>0</v>
      </c>
      <c r="E88">
        <f>装备拆分数值生成!AB16</f>
        <v>9.1999999999999993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>
      <c r="A89">
        <v>302</v>
      </c>
      <c r="B89">
        <v>0</v>
      </c>
      <c r="C89">
        <v>0</v>
      </c>
      <c r="D89">
        <v>0</v>
      </c>
      <c r="E89">
        <f>装备拆分数值生成!AB17</f>
        <v>14.133333333333335</v>
      </c>
      <c r="F89">
        <v>0</v>
      </c>
      <c r="G89">
        <v>0</v>
      </c>
      <c r="H89">
        <v>0</v>
      </c>
      <c r="I89">
        <v>0</v>
      </c>
      <c r="J89">
        <v>0</v>
      </c>
    </row>
    <row r="90" spans="1:10">
      <c r="A90">
        <v>303</v>
      </c>
      <c r="B90">
        <v>0</v>
      </c>
      <c r="C90">
        <v>0</v>
      </c>
      <c r="D90">
        <v>0</v>
      </c>
      <c r="E90">
        <f>装备拆分数值生成!AB18</f>
        <v>22.133333333333329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>
      <c r="A91">
        <v>304</v>
      </c>
      <c r="B91">
        <v>0</v>
      </c>
      <c r="C91">
        <v>0</v>
      </c>
      <c r="D91">
        <v>0</v>
      </c>
      <c r="E91">
        <f>装备拆分数值生成!AB19</f>
        <v>55.866666666666667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>
      <c r="A92">
        <v>305</v>
      </c>
      <c r="B92">
        <v>0</v>
      </c>
      <c r="C92">
        <v>0</v>
      </c>
      <c r="D92">
        <v>0</v>
      </c>
      <c r="E92">
        <f>装备拆分数值生成!AB20</f>
        <v>122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>
      <c r="A93">
        <v>306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</row>
    <row r="94" spans="1:10">
      <c r="A94">
        <v>401</v>
      </c>
      <c r="B94">
        <v>0</v>
      </c>
      <c r="C94">
        <v>0</v>
      </c>
      <c r="D94">
        <v>0</v>
      </c>
      <c r="E94">
        <f>装备拆分数值生成!AB22</f>
        <v>6.9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>
      <c r="A95">
        <v>402</v>
      </c>
      <c r="B95">
        <v>0</v>
      </c>
      <c r="C95">
        <v>0</v>
      </c>
      <c r="D95">
        <v>0</v>
      </c>
      <c r="E95">
        <f>装备拆分数值生成!AB23</f>
        <v>10.600000000000001</v>
      </c>
      <c r="F95">
        <v>0</v>
      </c>
      <c r="G95">
        <v>0</v>
      </c>
      <c r="H95">
        <v>0</v>
      </c>
      <c r="I95">
        <v>0</v>
      </c>
      <c r="J95">
        <v>0</v>
      </c>
    </row>
    <row r="96" spans="1:10">
      <c r="A96">
        <v>403</v>
      </c>
      <c r="B96">
        <v>0</v>
      </c>
      <c r="C96">
        <v>0</v>
      </c>
      <c r="D96">
        <v>0</v>
      </c>
      <c r="E96">
        <f>装备拆分数值生成!AB24</f>
        <v>16.599999999999998</v>
      </c>
      <c r="F96">
        <v>0</v>
      </c>
      <c r="G96">
        <v>0</v>
      </c>
      <c r="H96">
        <v>0</v>
      </c>
      <c r="I96">
        <v>0</v>
      </c>
      <c r="J96">
        <v>0</v>
      </c>
    </row>
    <row r="97" spans="1:10">
      <c r="A97">
        <v>404</v>
      </c>
      <c r="B97">
        <v>0</v>
      </c>
      <c r="C97">
        <v>0</v>
      </c>
      <c r="D97">
        <v>0</v>
      </c>
      <c r="E97">
        <f>装备拆分数值生成!AB25</f>
        <v>41.900000000000006</v>
      </c>
      <c r="F97">
        <v>0</v>
      </c>
      <c r="G97">
        <v>0</v>
      </c>
      <c r="H97">
        <v>0</v>
      </c>
      <c r="I97">
        <v>0</v>
      </c>
      <c r="J97">
        <v>0</v>
      </c>
    </row>
    <row r="98" spans="1:10">
      <c r="A98">
        <v>405</v>
      </c>
      <c r="B98">
        <v>0</v>
      </c>
      <c r="C98">
        <v>0</v>
      </c>
      <c r="D98">
        <v>0</v>
      </c>
      <c r="E98">
        <f>装备拆分数值生成!AB26</f>
        <v>91.5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>
      <c r="A99">
        <v>406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>
      <c r="A100">
        <v>501</v>
      </c>
      <c r="B100">
        <v>0</v>
      </c>
      <c r="C100">
        <v>0</v>
      </c>
      <c r="D100">
        <v>0</v>
      </c>
      <c r="E100">
        <v>0</v>
      </c>
      <c r="F100">
        <f>装备拆分数值生成!Y28</f>
        <v>23.555555555555557</v>
      </c>
      <c r="G100">
        <v>0</v>
      </c>
      <c r="H100">
        <v>0</v>
      </c>
      <c r="I100">
        <v>0</v>
      </c>
      <c r="J100">
        <v>0</v>
      </c>
    </row>
    <row r="101" spans="1:10">
      <c r="A101">
        <v>502</v>
      </c>
      <c r="B101">
        <v>0</v>
      </c>
      <c r="C101">
        <v>0</v>
      </c>
      <c r="D101">
        <v>0</v>
      </c>
      <c r="E101">
        <v>0</v>
      </c>
      <c r="F101">
        <f>装备拆分数值生成!Y29</f>
        <v>36.166666666666664</v>
      </c>
      <c r="G101">
        <v>0</v>
      </c>
      <c r="H101">
        <v>0</v>
      </c>
      <c r="I101">
        <v>0</v>
      </c>
      <c r="J101">
        <v>0</v>
      </c>
    </row>
    <row r="102" spans="1:10">
      <c r="A102">
        <v>503</v>
      </c>
      <c r="B102">
        <v>0</v>
      </c>
      <c r="C102">
        <v>0</v>
      </c>
      <c r="D102">
        <v>0</v>
      </c>
      <c r="E102">
        <v>0</v>
      </c>
      <c r="F102">
        <f>装备拆分数值生成!Y30</f>
        <v>56.666666666666664</v>
      </c>
      <c r="G102">
        <v>0</v>
      </c>
      <c r="H102">
        <v>0</v>
      </c>
      <c r="I102">
        <v>0</v>
      </c>
      <c r="J102">
        <v>0</v>
      </c>
    </row>
    <row r="103" spans="1:10">
      <c r="A103">
        <v>504</v>
      </c>
      <c r="B103">
        <v>0</v>
      </c>
      <c r="C103">
        <v>0</v>
      </c>
      <c r="D103">
        <v>0</v>
      </c>
      <c r="E103">
        <v>0</v>
      </c>
      <c r="F103">
        <f>装备拆分数值生成!Y31</f>
        <v>143</v>
      </c>
      <c r="G103">
        <v>0</v>
      </c>
      <c r="H103">
        <v>0</v>
      </c>
      <c r="I103">
        <v>0</v>
      </c>
      <c r="J103">
        <v>0</v>
      </c>
    </row>
    <row r="104" spans="1:10">
      <c r="A104">
        <v>505</v>
      </c>
      <c r="B104">
        <v>0</v>
      </c>
      <c r="C104">
        <v>0</v>
      </c>
      <c r="D104">
        <v>0</v>
      </c>
      <c r="E104">
        <v>0</v>
      </c>
      <c r="F104">
        <f>装备拆分数值生成!Y32</f>
        <v>312.38888888888891</v>
      </c>
      <c r="G104">
        <v>0</v>
      </c>
      <c r="H104">
        <v>0</v>
      </c>
      <c r="I104">
        <v>0</v>
      </c>
      <c r="J104">
        <v>0</v>
      </c>
    </row>
    <row r="105" spans="1:10">
      <c r="A105">
        <v>506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1:10">
      <c r="A106">
        <v>601</v>
      </c>
      <c r="B106">
        <v>0</v>
      </c>
      <c r="C106">
        <v>0</v>
      </c>
      <c r="D106">
        <v>0</v>
      </c>
      <c r="E106">
        <f>装备拆分数值生成!AB34</f>
        <v>4.5999999999999996</v>
      </c>
      <c r="F106">
        <f>装备拆分数值生成!Y34</f>
        <v>9.4222222222222225</v>
      </c>
      <c r="G106">
        <v>0</v>
      </c>
      <c r="H106">
        <v>0</v>
      </c>
      <c r="I106">
        <v>0</v>
      </c>
      <c r="J106">
        <v>0</v>
      </c>
    </row>
    <row r="107" spans="1:10">
      <c r="A107">
        <v>602</v>
      </c>
      <c r="B107">
        <v>0</v>
      </c>
      <c r="C107">
        <v>0</v>
      </c>
      <c r="D107">
        <v>0</v>
      </c>
      <c r="E107">
        <f>装备拆分数值生成!AB35</f>
        <v>7.0666666666666673</v>
      </c>
      <c r="F107">
        <f>装备拆分数值生成!Y35</f>
        <v>14.466666666666667</v>
      </c>
      <c r="G107">
        <v>0</v>
      </c>
      <c r="H107">
        <v>0</v>
      </c>
      <c r="I107">
        <v>0</v>
      </c>
      <c r="J107">
        <v>0</v>
      </c>
    </row>
    <row r="108" spans="1:10">
      <c r="A108">
        <v>603</v>
      </c>
      <c r="B108">
        <v>0</v>
      </c>
      <c r="C108">
        <v>0</v>
      </c>
      <c r="D108">
        <v>0</v>
      </c>
      <c r="E108">
        <f>装备拆分数值生成!AB36</f>
        <v>11.066666666666665</v>
      </c>
      <c r="F108">
        <f>装备拆分数值生成!Y36</f>
        <v>22.666666666666668</v>
      </c>
      <c r="G108">
        <v>0</v>
      </c>
      <c r="H108">
        <v>0</v>
      </c>
      <c r="I108">
        <v>0</v>
      </c>
      <c r="J108">
        <v>0</v>
      </c>
    </row>
    <row r="109" spans="1:10">
      <c r="A109">
        <v>604</v>
      </c>
      <c r="B109">
        <v>0</v>
      </c>
      <c r="C109">
        <v>0</v>
      </c>
      <c r="D109">
        <v>0</v>
      </c>
      <c r="E109">
        <f>装备拆分数值生成!AB37</f>
        <v>27.933333333333334</v>
      </c>
      <c r="F109">
        <f>装备拆分数值生成!Y37</f>
        <v>57.2</v>
      </c>
      <c r="G109">
        <v>0</v>
      </c>
      <c r="H109">
        <v>0</v>
      </c>
      <c r="I109">
        <v>0</v>
      </c>
      <c r="J109">
        <v>0</v>
      </c>
    </row>
    <row r="110" spans="1:10">
      <c r="A110">
        <v>605</v>
      </c>
      <c r="B110">
        <v>0</v>
      </c>
      <c r="C110">
        <v>0</v>
      </c>
      <c r="D110">
        <v>0</v>
      </c>
      <c r="E110">
        <f>装备拆分数值生成!AB38</f>
        <v>61</v>
      </c>
      <c r="F110">
        <f>装备拆分数值生成!Y38</f>
        <v>124.95555555555558</v>
      </c>
      <c r="G110">
        <v>0</v>
      </c>
      <c r="H110">
        <v>0</v>
      </c>
      <c r="I110">
        <v>0</v>
      </c>
      <c r="J110">
        <v>0</v>
      </c>
    </row>
    <row r="111" spans="1:10">
      <c r="A111">
        <v>606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>
      <c r="A112">
        <v>701</v>
      </c>
      <c r="B112">
        <f>装备拆分数值生成!L4</f>
        <v>12.888888888888889</v>
      </c>
      <c r="C112">
        <f>装备拆分数值生成!M4</f>
        <v>6.4444444444444446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>
      <c r="A113">
        <v>702</v>
      </c>
      <c r="B113">
        <f>装备拆分数值生成!L5</f>
        <v>19.733333333333334</v>
      </c>
      <c r="C113">
        <f>装备拆分数值生成!M5</f>
        <v>9.8666666666666671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</row>
    <row r="114" spans="1:10">
      <c r="A114">
        <v>703</v>
      </c>
      <c r="B114">
        <f>装备拆分数值生成!L6</f>
        <v>30.933333333333334</v>
      </c>
      <c r="C114">
        <f>装备拆分数值生成!M6</f>
        <v>15.466666666666667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>
      <c r="A115">
        <v>704</v>
      </c>
      <c r="B115">
        <f>装备拆分数值生成!L7</f>
        <v>78.044444444444451</v>
      </c>
      <c r="C115">
        <f>装备拆分数值生成!M7</f>
        <v>39.022222222222226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1:10">
      <c r="A116">
        <v>705</v>
      </c>
      <c r="B116">
        <f>装备拆分数值生成!L8</f>
        <v>170.4</v>
      </c>
      <c r="C116">
        <f>装备拆分数值生成!M8</f>
        <v>85.2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>
      <c r="A117">
        <v>706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>
      <c r="A118">
        <v>801</v>
      </c>
      <c r="B118">
        <v>0</v>
      </c>
      <c r="C118">
        <v>0</v>
      </c>
      <c r="D118">
        <v>0</v>
      </c>
      <c r="E118">
        <v>0</v>
      </c>
      <c r="F118">
        <f>装备拆分数值生成!K10</f>
        <v>23.555555555555557</v>
      </c>
      <c r="G118">
        <v>0</v>
      </c>
      <c r="H118">
        <v>0</v>
      </c>
      <c r="I118">
        <v>0</v>
      </c>
      <c r="J118">
        <v>0</v>
      </c>
    </row>
    <row r="119" spans="1:10">
      <c r="A119">
        <v>802</v>
      </c>
      <c r="B119">
        <v>0</v>
      </c>
      <c r="C119">
        <v>0</v>
      </c>
      <c r="D119">
        <v>0</v>
      </c>
      <c r="E119">
        <v>0</v>
      </c>
      <c r="F119">
        <f>装备拆分数值生成!K11</f>
        <v>36.166666666666664</v>
      </c>
      <c r="G119">
        <v>0</v>
      </c>
      <c r="H119">
        <v>0</v>
      </c>
      <c r="I119">
        <v>0</v>
      </c>
      <c r="J119">
        <v>0</v>
      </c>
    </row>
    <row r="120" spans="1:10">
      <c r="A120">
        <v>803</v>
      </c>
      <c r="B120">
        <v>0</v>
      </c>
      <c r="C120">
        <v>0</v>
      </c>
      <c r="D120">
        <v>0</v>
      </c>
      <c r="E120">
        <v>0</v>
      </c>
      <c r="F120">
        <f>装备拆分数值生成!K12</f>
        <v>56.666666666666664</v>
      </c>
      <c r="G120">
        <v>0</v>
      </c>
      <c r="H120">
        <v>0</v>
      </c>
      <c r="I120">
        <v>0</v>
      </c>
      <c r="J120">
        <v>0</v>
      </c>
    </row>
    <row r="121" spans="1:10">
      <c r="A121">
        <v>804</v>
      </c>
      <c r="B121">
        <v>0</v>
      </c>
      <c r="C121">
        <v>0</v>
      </c>
      <c r="D121">
        <v>0</v>
      </c>
      <c r="E121">
        <v>0</v>
      </c>
      <c r="F121">
        <f>装备拆分数值生成!K13</f>
        <v>143</v>
      </c>
      <c r="G121">
        <v>0</v>
      </c>
      <c r="H121">
        <v>0</v>
      </c>
      <c r="I121">
        <v>0</v>
      </c>
      <c r="J121">
        <v>0</v>
      </c>
    </row>
    <row r="122" spans="1:10">
      <c r="A122">
        <v>805</v>
      </c>
      <c r="B122">
        <v>0</v>
      </c>
      <c r="C122">
        <v>0</v>
      </c>
      <c r="D122">
        <v>0</v>
      </c>
      <c r="E122">
        <v>0</v>
      </c>
      <c r="F122">
        <f>装备拆分数值生成!K14</f>
        <v>312.38888888888891</v>
      </c>
      <c r="G122">
        <v>0</v>
      </c>
      <c r="H122">
        <v>0</v>
      </c>
      <c r="I122">
        <v>0</v>
      </c>
      <c r="J122">
        <v>0</v>
      </c>
    </row>
    <row r="123" spans="1:10">
      <c r="A123">
        <v>806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</row>
    <row r="124" spans="1:10">
      <c r="A124">
        <v>901</v>
      </c>
      <c r="B124">
        <v>0</v>
      </c>
      <c r="C124">
        <v>0</v>
      </c>
      <c r="D124">
        <v>0</v>
      </c>
      <c r="E124">
        <f>装备拆分数值生成!N16</f>
        <v>6.1333333333333337</v>
      </c>
      <c r="F124">
        <v>0</v>
      </c>
      <c r="G124">
        <v>0</v>
      </c>
      <c r="H124">
        <v>0</v>
      </c>
      <c r="I124">
        <v>0</v>
      </c>
      <c r="J124">
        <v>0</v>
      </c>
    </row>
    <row r="125" spans="1:10">
      <c r="A125">
        <v>902</v>
      </c>
      <c r="B125">
        <v>0</v>
      </c>
      <c r="C125">
        <v>0</v>
      </c>
      <c r="D125">
        <v>0</v>
      </c>
      <c r="E125">
        <f>装备拆分数值生成!N17</f>
        <v>9.4222222222222225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>
      <c r="A126">
        <v>903</v>
      </c>
      <c r="B126">
        <v>0</v>
      </c>
      <c r="C126">
        <v>0</v>
      </c>
      <c r="D126">
        <v>0</v>
      </c>
      <c r="E126">
        <f>装备拆分数值生成!N18</f>
        <v>14.755555555555555</v>
      </c>
      <c r="F126">
        <v>0</v>
      </c>
      <c r="G126">
        <v>0</v>
      </c>
      <c r="H126">
        <v>0</v>
      </c>
      <c r="I126">
        <v>0</v>
      </c>
      <c r="J126">
        <v>0</v>
      </c>
    </row>
    <row r="127" spans="1:10">
      <c r="A127">
        <v>904</v>
      </c>
      <c r="B127">
        <v>0</v>
      </c>
      <c r="C127">
        <v>0</v>
      </c>
      <c r="D127">
        <v>0</v>
      </c>
      <c r="E127">
        <f>装备拆分数值生成!N19</f>
        <v>37.244444444444447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>
      <c r="A128">
        <v>905</v>
      </c>
      <c r="B128">
        <v>0</v>
      </c>
      <c r="C128">
        <v>0</v>
      </c>
      <c r="D128">
        <v>0</v>
      </c>
      <c r="E128">
        <f>装备拆分数值生成!N20</f>
        <v>81.333333333333343</v>
      </c>
      <c r="F128">
        <v>0</v>
      </c>
      <c r="G128">
        <v>0</v>
      </c>
      <c r="H128">
        <v>0</v>
      </c>
      <c r="I128">
        <v>0</v>
      </c>
      <c r="J128">
        <v>0</v>
      </c>
    </row>
    <row r="129" spans="1:10">
      <c r="A129">
        <v>906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</row>
    <row r="130" spans="1:10">
      <c r="A130">
        <v>1001</v>
      </c>
      <c r="B130">
        <f>装备拆分数值生成!L22</f>
        <v>3.2222222222222223</v>
      </c>
      <c r="C130">
        <v>0</v>
      </c>
      <c r="D130">
        <v>0</v>
      </c>
      <c r="E130">
        <f>装备拆分数值生成!N22</f>
        <v>4.5999999999999996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1:10">
      <c r="A131">
        <v>1002</v>
      </c>
      <c r="B131">
        <f>装备拆分数值生成!L23</f>
        <v>4.9333333333333336</v>
      </c>
      <c r="C131">
        <v>0</v>
      </c>
      <c r="D131">
        <v>0</v>
      </c>
      <c r="E131">
        <f>装备拆分数值生成!N23</f>
        <v>7.0666666666666673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>
      <c r="A132">
        <v>1003</v>
      </c>
      <c r="B132">
        <f>装备拆分数值生成!L24</f>
        <v>7.7333333333333334</v>
      </c>
      <c r="C132">
        <v>0</v>
      </c>
      <c r="D132">
        <v>0</v>
      </c>
      <c r="E132">
        <f>装备拆分数值生成!N24</f>
        <v>11.066666666666665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>
      <c r="A133">
        <v>1004</v>
      </c>
      <c r="B133">
        <f>装备拆分数值生成!L25</f>
        <v>19.511111111111113</v>
      </c>
      <c r="C133">
        <v>0</v>
      </c>
      <c r="D133">
        <v>0</v>
      </c>
      <c r="E133">
        <f>装备拆分数值生成!N25</f>
        <v>27.933333333333334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>
      <c r="A134">
        <v>1005</v>
      </c>
      <c r="B134">
        <f>装备拆分数值生成!L26</f>
        <v>42.6</v>
      </c>
      <c r="C134">
        <v>0</v>
      </c>
      <c r="D134">
        <v>0</v>
      </c>
      <c r="E134">
        <f>装备拆分数值生成!N26</f>
        <v>61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>
      <c r="A135">
        <v>1006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>
      <c r="A136">
        <v>1101</v>
      </c>
      <c r="B136">
        <v>0</v>
      </c>
      <c r="C136">
        <f>装备拆分数值生成!M28</f>
        <v>1.6111111111111112</v>
      </c>
      <c r="D136">
        <v>0</v>
      </c>
      <c r="E136">
        <v>0</v>
      </c>
      <c r="F136">
        <f>装备拆分数值生成!K28</f>
        <v>18.844444444444445</v>
      </c>
      <c r="G136">
        <v>0</v>
      </c>
      <c r="H136">
        <v>0</v>
      </c>
      <c r="I136">
        <v>0</v>
      </c>
      <c r="J136">
        <v>0</v>
      </c>
    </row>
    <row r="137" spans="1:10">
      <c r="A137">
        <v>1102</v>
      </c>
      <c r="B137">
        <v>0</v>
      </c>
      <c r="C137">
        <f>装备拆分数值生成!M29</f>
        <v>2.4666666666666668</v>
      </c>
      <c r="D137">
        <v>0</v>
      </c>
      <c r="E137">
        <v>0</v>
      </c>
      <c r="F137">
        <f>装备拆分数值生成!K29</f>
        <v>28.933333333333334</v>
      </c>
      <c r="G137">
        <v>0</v>
      </c>
      <c r="H137">
        <v>0</v>
      </c>
      <c r="I137">
        <v>0</v>
      </c>
      <c r="J137">
        <v>0</v>
      </c>
    </row>
    <row r="138" spans="1:10">
      <c r="A138">
        <v>1103</v>
      </c>
      <c r="B138">
        <v>0</v>
      </c>
      <c r="C138">
        <f>装备拆分数值生成!M30</f>
        <v>3.8666666666666667</v>
      </c>
      <c r="D138">
        <v>0</v>
      </c>
      <c r="E138">
        <v>0</v>
      </c>
      <c r="F138">
        <f>装备拆分数值生成!K30</f>
        <v>45.333333333333336</v>
      </c>
      <c r="G138">
        <v>0</v>
      </c>
      <c r="H138">
        <v>0</v>
      </c>
      <c r="I138">
        <v>0</v>
      </c>
      <c r="J138">
        <v>0</v>
      </c>
    </row>
    <row r="139" spans="1:10">
      <c r="A139">
        <v>1104</v>
      </c>
      <c r="B139">
        <v>0</v>
      </c>
      <c r="C139">
        <f>装备拆分数值生成!M31</f>
        <v>9.7555555555555564</v>
      </c>
      <c r="D139">
        <v>0</v>
      </c>
      <c r="E139">
        <v>0</v>
      </c>
      <c r="F139">
        <f>装备拆分数值生成!K31</f>
        <v>114.4</v>
      </c>
      <c r="G139">
        <v>0</v>
      </c>
      <c r="H139">
        <v>0</v>
      </c>
      <c r="I139">
        <v>0</v>
      </c>
      <c r="J139">
        <v>0</v>
      </c>
    </row>
    <row r="140" spans="1:10">
      <c r="A140">
        <v>1105</v>
      </c>
      <c r="B140">
        <v>0</v>
      </c>
      <c r="C140">
        <f>装备拆分数值生成!M32</f>
        <v>21.3</v>
      </c>
      <c r="D140">
        <v>0</v>
      </c>
      <c r="E140">
        <v>0</v>
      </c>
      <c r="F140">
        <f>装备拆分数值生成!K32</f>
        <v>249.91111111111115</v>
      </c>
      <c r="G140">
        <v>0</v>
      </c>
      <c r="H140">
        <v>0</v>
      </c>
      <c r="I140">
        <v>0</v>
      </c>
      <c r="J140">
        <v>0</v>
      </c>
    </row>
    <row r="141" spans="1:10">
      <c r="A141">
        <v>1106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>
      <c r="A142">
        <v>1201</v>
      </c>
      <c r="B142">
        <f>装备拆分数值生成!L34</f>
        <v>6.4444444444444446</v>
      </c>
      <c r="C142">
        <v>0</v>
      </c>
      <c r="D142">
        <v>0</v>
      </c>
      <c r="E142">
        <v>0</v>
      </c>
      <c r="F142">
        <f>装备拆分数值生成!K34</f>
        <v>4.7111111111111112</v>
      </c>
      <c r="G142">
        <v>0</v>
      </c>
      <c r="H142">
        <v>0</v>
      </c>
      <c r="I142">
        <v>0</v>
      </c>
      <c r="J142">
        <v>0</v>
      </c>
    </row>
    <row r="143" spans="1:10">
      <c r="A143">
        <v>1202</v>
      </c>
      <c r="B143">
        <f>装备拆分数值生成!L35</f>
        <v>9.8666666666666671</v>
      </c>
      <c r="C143">
        <v>0</v>
      </c>
      <c r="D143">
        <v>0</v>
      </c>
      <c r="E143">
        <v>0</v>
      </c>
      <c r="F143">
        <f>装备拆分数值生成!K35</f>
        <v>7.2333333333333334</v>
      </c>
      <c r="G143">
        <v>0</v>
      </c>
      <c r="H143">
        <v>0</v>
      </c>
      <c r="I143">
        <v>0</v>
      </c>
      <c r="J143">
        <v>0</v>
      </c>
    </row>
    <row r="144" spans="1:10">
      <c r="A144">
        <v>1203</v>
      </c>
      <c r="B144">
        <f>装备拆分数值生成!L36</f>
        <v>15.466666666666667</v>
      </c>
      <c r="C144">
        <v>0</v>
      </c>
      <c r="D144">
        <v>0</v>
      </c>
      <c r="E144">
        <v>0</v>
      </c>
      <c r="F144">
        <f>装备拆分数值生成!K36</f>
        <v>11.333333333333334</v>
      </c>
      <c r="G144">
        <v>0</v>
      </c>
      <c r="H144">
        <v>0</v>
      </c>
      <c r="I144">
        <v>0</v>
      </c>
      <c r="J144">
        <v>0</v>
      </c>
    </row>
    <row r="145" spans="1:10">
      <c r="A145">
        <v>1204</v>
      </c>
      <c r="B145">
        <f>装备拆分数值生成!L37</f>
        <v>39.022222222222226</v>
      </c>
      <c r="C145">
        <v>0</v>
      </c>
      <c r="D145">
        <v>0</v>
      </c>
      <c r="E145">
        <v>0</v>
      </c>
      <c r="F145">
        <f>装备拆分数值生成!K37</f>
        <v>28.6</v>
      </c>
      <c r="G145">
        <v>0</v>
      </c>
      <c r="H145">
        <v>0</v>
      </c>
      <c r="I145">
        <v>0</v>
      </c>
      <c r="J145">
        <v>0</v>
      </c>
    </row>
    <row r="146" spans="1:10">
      <c r="A146">
        <v>1205</v>
      </c>
      <c r="B146">
        <f>装备拆分数值生成!L38</f>
        <v>85.2</v>
      </c>
      <c r="C146">
        <v>0</v>
      </c>
      <c r="D146">
        <v>0</v>
      </c>
      <c r="E146">
        <v>0</v>
      </c>
      <c r="F146">
        <f>装备拆分数值生成!K38</f>
        <v>62.477777777777789</v>
      </c>
      <c r="G146">
        <v>0</v>
      </c>
      <c r="H146">
        <v>0</v>
      </c>
      <c r="I146">
        <v>0</v>
      </c>
      <c r="J146">
        <v>0</v>
      </c>
    </row>
    <row r="147" spans="1:10">
      <c r="A147">
        <v>1206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</row>
    <row r="148" spans="1:10">
      <c r="A148">
        <v>1301</v>
      </c>
      <c r="B148">
        <f>装备拆分数值生成!S4</f>
        <v>6.4444444444444446</v>
      </c>
      <c r="C148">
        <f>装备拆分数值生成!T4</f>
        <v>12.888888888888889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</row>
    <row r="149" spans="1:10">
      <c r="A149">
        <v>1302</v>
      </c>
      <c r="B149">
        <f>装备拆分数值生成!S5</f>
        <v>9.8666666666666671</v>
      </c>
      <c r="C149">
        <f>装备拆分数值生成!T5</f>
        <v>19.733333333333334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</row>
    <row r="150" spans="1:10">
      <c r="A150">
        <v>1303</v>
      </c>
      <c r="B150">
        <f>装备拆分数值生成!S6</f>
        <v>15.466666666666667</v>
      </c>
      <c r="C150">
        <f>装备拆分数值生成!T6</f>
        <v>30.933333333333334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1:10">
      <c r="A151">
        <v>1304</v>
      </c>
      <c r="B151">
        <f>装备拆分数值生成!S7</f>
        <v>39.022222222222226</v>
      </c>
      <c r="C151">
        <f>装备拆分数值生成!T7</f>
        <v>78.044444444444451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>
      <c r="A152">
        <v>1305</v>
      </c>
      <c r="B152">
        <f>装备拆分数值生成!S8</f>
        <v>85.2</v>
      </c>
      <c r="C152">
        <f>装备拆分数值生成!T8</f>
        <v>170.4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>
      <c r="A153">
        <v>1306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>
      <c r="A154">
        <v>1401</v>
      </c>
      <c r="B154">
        <v>0</v>
      </c>
      <c r="C154">
        <v>0</v>
      </c>
      <c r="D154">
        <v>0</v>
      </c>
      <c r="E154">
        <v>0</v>
      </c>
      <c r="F154">
        <f>装备拆分数值生成!R10</f>
        <v>23.555555555555557</v>
      </c>
      <c r="G154">
        <v>0</v>
      </c>
      <c r="H154">
        <v>0</v>
      </c>
      <c r="I154">
        <v>0</v>
      </c>
      <c r="J154">
        <v>0</v>
      </c>
    </row>
    <row r="155" spans="1:10">
      <c r="A155">
        <v>1402</v>
      </c>
      <c r="B155">
        <v>0</v>
      </c>
      <c r="C155">
        <v>0</v>
      </c>
      <c r="D155">
        <v>0</v>
      </c>
      <c r="E155">
        <v>0</v>
      </c>
      <c r="F155">
        <f>装备拆分数值生成!R11</f>
        <v>36.166666666666664</v>
      </c>
      <c r="G155">
        <v>0</v>
      </c>
      <c r="H155">
        <v>0</v>
      </c>
      <c r="I155">
        <v>0</v>
      </c>
      <c r="J155">
        <v>0</v>
      </c>
    </row>
    <row r="156" spans="1:10">
      <c r="A156">
        <v>1403</v>
      </c>
      <c r="B156">
        <v>0</v>
      </c>
      <c r="C156">
        <v>0</v>
      </c>
      <c r="D156">
        <v>0</v>
      </c>
      <c r="E156">
        <v>0</v>
      </c>
      <c r="F156">
        <f>装备拆分数值生成!R12</f>
        <v>56.666666666666664</v>
      </c>
      <c r="G156">
        <v>0</v>
      </c>
      <c r="H156">
        <v>0</v>
      </c>
      <c r="I156">
        <v>0</v>
      </c>
      <c r="J156">
        <v>0</v>
      </c>
    </row>
    <row r="157" spans="1:10">
      <c r="A157">
        <v>1404</v>
      </c>
      <c r="B157">
        <v>0</v>
      </c>
      <c r="C157">
        <v>0</v>
      </c>
      <c r="D157">
        <v>0</v>
      </c>
      <c r="E157">
        <v>0</v>
      </c>
      <c r="F157">
        <f>装备拆分数值生成!R13</f>
        <v>143</v>
      </c>
      <c r="G157">
        <v>0</v>
      </c>
      <c r="H157">
        <v>0</v>
      </c>
      <c r="I157">
        <v>0</v>
      </c>
      <c r="J157">
        <v>0</v>
      </c>
    </row>
    <row r="158" spans="1:10">
      <c r="A158">
        <v>1405</v>
      </c>
      <c r="B158">
        <v>0</v>
      </c>
      <c r="C158">
        <v>0</v>
      </c>
      <c r="D158">
        <v>0</v>
      </c>
      <c r="E158">
        <v>0</v>
      </c>
      <c r="F158">
        <f>装备拆分数值生成!R14</f>
        <v>312.38888888888891</v>
      </c>
      <c r="G158">
        <v>0</v>
      </c>
      <c r="H158">
        <v>0</v>
      </c>
      <c r="I158">
        <v>0</v>
      </c>
      <c r="J158">
        <v>0</v>
      </c>
    </row>
    <row r="159" spans="1:10">
      <c r="A159">
        <v>1406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</row>
    <row r="160" spans="1:10">
      <c r="A160">
        <v>1501</v>
      </c>
      <c r="B160">
        <v>0</v>
      </c>
      <c r="C160">
        <v>0</v>
      </c>
      <c r="D160">
        <v>0</v>
      </c>
      <c r="E160">
        <f>装备拆分数值生成!U16</f>
        <v>6.1333333333333337</v>
      </c>
      <c r="F160">
        <v>0</v>
      </c>
      <c r="G160">
        <v>0</v>
      </c>
      <c r="H160">
        <v>0</v>
      </c>
      <c r="I160">
        <v>0</v>
      </c>
      <c r="J160">
        <v>0</v>
      </c>
    </row>
    <row r="161" spans="1:10">
      <c r="A161">
        <v>1502</v>
      </c>
      <c r="B161">
        <v>0</v>
      </c>
      <c r="C161">
        <v>0</v>
      </c>
      <c r="D161">
        <v>0</v>
      </c>
      <c r="E161">
        <f>装备拆分数值生成!U17</f>
        <v>9.4222222222222225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>
      <c r="A162">
        <v>1503</v>
      </c>
      <c r="B162">
        <v>0</v>
      </c>
      <c r="C162">
        <v>0</v>
      </c>
      <c r="D162">
        <v>0</v>
      </c>
      <c r="E162">
        <f>装备拆分数值生成!U18</f>
        <v>14.755555555555555</v>
      </c>
      <c r="F162">
        <v>0</v>
      </c>
      <c r="G162">
        <v>0</v>
      </c>
      <c r="H162">
        <v>0</v>
      </c>
      <c r="I162">
        <v>0</v>
      </c>
      <c r="J162">
        <v>0</v>
      </c>
    </row>
    <row r="163" spans="1:10">
      <c r="A163">
        <v>1504</v>
      </c>
      <c r="B163">
        <v>0</v>
      </c>
      <c r="C163">
        <v>0</v>
      </c>
      <c r="D163">
        <v>0</v>
      </c>
      <c r="E163">
        <f>装备拆分数值生成!U19</f>
        <v>37.244444444444447</v>
      </c>
      <c r="F163">
        <v>0</v>
      </c>
      <c r="G163">
        <v>0</v>
      </c>
      <c r="H163">
        <v>0</v>
      </c>
      <c r="I163">
        <v>0</v>
      </c>
      <c r="J163">
        <v>0</v>
      </c>
    </row>
    <row r="164" spans="1:10">
      <c r="A164">
        <v>1505</v>
      </c>
      <c r="B164">
        <v>0</v>
      </c>
      <c r="C164">
        <v>0</v>
      </c>
      <c r="D164">
        <v>0</v>
      </c>
      <c r="E164">
        <f>装备拆分数值生成!U20</f>
        <v>81.333333333333343</v>
      </c>
      <c r="F164">
        <v>0</v>
      </c>
      <c r="G164">
        <v>0</v>
      </c>
      <c r="H164">
        <v>0</v>
      </c>
      <c r="I164">
        <v>0</v>
      </c>
      <c r="J164">
        <v>0</v>
      </c>
    </row>
    <row r="165" spans="1:10">
      <c r="A165">
        <v>1506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</row>
    <row r="166" spans="1:10">
      <c r="A166">
        <v>1601</v>
      </c>
      <c r="B166">
        <v>0</v>
      </c>
      <c r="C166">
        <f>装备拆分数值生成!T22</f>
        <v>3.2222222222222223</v>
      </c>
      <c r="D166">
        <v>0</v>
      </c>
      <c r="E166">
        <f>装备拆分数值生成!U22</f>
        <v>4.5999999999999996</v>
      </c>
      <c r="F166">
        <v>0</v>
      </c>
      <c r="G166">
        <v>0</v>
      </c>
      <c r="H166">
        <v>0</v>
      </c>
      <c r="I166">
        <v>0</v>
      </c>
      <c r="J166">
        <v>0</v>
      </c>
    </row>
    <row r="167" spans="1:10">
      <c r="A167">
        <v>1602</v>
      </c>
      <c r="B167">
        <v>0</v>
      </c>
      <c r="C167">
        <f>装备拆分数值生成!T23</f>
        <v>4.9333333333333336</v>
      </c>
      <c r="D167">
        <v>0</v>
      </c>
      <c r="E167">
        <f>装备拆分数值生成!U23</f>
        <v>7.0666666666666673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>
      <c r="A168">
        <v>1603</v>
      </c>
      <c r="B168">
        <v>0</v>
      </c>
      <c r="C168">
        <f>装备拆分数值生成!T24</f>
        <v>7.7333333333333334</v>
      </c>
      <c r="D168">
        <v>0</v>
      </c>
      <c r="E168">
        <f>装备拆分数值生成!U24</f>
        <v>11.066666666666665</v>
      </c>
      <c r="F168">
        <v>0</v>
      </c>
      <c r="G168">
        <v>0</v>
      </c>
      <c r="H168">
        <v>0</v>
      </c>
      <c r="I168">
        <v>0</v>
      </c>
      <c r="J168">
        <v>0</v>
      </c>
    </row>
    <row r="169" spans="1:10">
      <c r="A169">
        <v>1604</v>
      </c>
      <c r="B169">
        <v>0</v>
      </c>
      <c r="C169">
        <f>装备拆分数值生成!T25</f>
        <v>19.511111111111113</v>
      </c>
      <c r="D169">
        <v>0</v>
      </c>
      <c r="E169">
        <f>装备拆分数值生成!U25</f>
        <v>27.933333333333334</v>
      </c>
      <c r="F169">
        <v>0</v>
      </c>
      <c r="G169">
        <v>0</v>
      </c>
      <c r="H169">
        <v>0</v>
      </c>
      <c r="I169">
        <v>0</v>
      </c>
      <c r="J169">
        <v>0</v>
      </c>
    </row>
    <row r="170" spans="1:10">
      <c r="A170">
        <v>1605</v>
      </c>
      <c r="B170">
        <v>0</v>
      </c>
      <c r="C170">
        <f>装备拆分数值生成!T26</f>
        <v>42.6</v>
      </c>
      <c r="D170">
        <v>0</v>
      </c>
      <c r="E170">
        <f>装备拆分数值生成!U26</f>
        <v>61</v>
      </c>
      <c r="F170">
        <v>0</v>
      </c>
      <c r="G170">
        <v>0</v>
      </c>
      <c r="H170">
        <v>0</v>
      </c>
      <c r="I170">
        <v>0</v>
      </c>
      <c r="J170">
        <v>0</v>
      </c>
    </row>
    <row r="171" spans="1:10">
      <c r="A171">
        <v>1606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</row>
    <row r="172" spans="1:10">
      <c r="A172">
        <v>1701</v>
      </c>
      <c r="B172">
        <f>装备拆分数值生成!S28</f>
        <v>1.6111111111111112</v>
      </c>
      <c r="C172">
        <v>0</v>
      </c>
      <c r="D172">
        <v>0</v>
      </c>
      <c r="E172">
        <v>0</v>
      </c>
      <c r="F172">
        <f>装备拆分数值生成!R28</f>
        <v>18.844444444444445</v>
      </c>
      <c r="G172">
        <v>0</v>
      </c>
      <c r="H172">
        <v>0</v>
      </c>
      <c r="I172">
        <v>0</v>
      </c>
      <c r="J172">
        <v>0</v>
      </c>
    </row>
    <row r="173" spans="1:10">
      <c r="A173">
        <v>1702</v>
      </c>
      <c r="B173">
        <f>装备拆分数值生成!S29</f>
        <v>2.4666666666666668</v>
      </c>
      <c r="C173">
        <v>0</v>
      </c>
      <c r="D173">
        <v>0</v>
      </c>
      <c r="E173">
        <v>0</v>
      </c>
      <c r="F173">
        <f>装备拆分数值生成!R29</f>
        <v>28.933333333333334</v>
      </c>
      <c r="G173">
        <v>0</v>
      </c>
      <c r="H173">
        <v>0</v>
      </c>
      <c r="I173">
        <v>0</v>
      </c>
      <c r="J173">
        <v>0</v>
      </c>
    </row>
    <row r="174" spans="1:10">
      <c r="A174">
        <v>1703</v>
      </c>
      <c r="B174">
        <f>装备拆分数值生成!S30</f>
        <v>3.8666666666666667</v>
      </c>
      <c r="C174">
        <v>0</v>
      </c>
      <c r="D174">
        <v>0</v>
      </c>
      <c r="E174">
        <v>0</v>
      </c>
      <c r="F174">
        <f>装备拆分数值生成!R30</f>
        <v>45.333333333333336</v>
      </c>
      <c r="G174">
        <v>0</v>
      </c>
      <c r="H174">
        <v>0</v>
      </c>
      <c r="I174">
        <v>0</v>
      </c>
      <c r="J174">
        <v>0</v>
      </c>
    </row>
    <row r="175" spans="1:10">
      <c r="A175">
        <v>1704</v>
      </c>
      <c r="B175">
        <f>装备拆分数值生成!S31</f>
        <v>9.7555555555555564</v>
      </c>
      <c r="C175">
        <v>0</v>
      </c>
      <c r="D175">
        <v>0</v>
      </c>
      <c r="E175">
        <v>0</v>
      </c>
      <c r="F175">
        <f>装备拆分数值生成!R31</f>
        <v>114.4</v>
      </c>
      <c r="G175">
        <v>0</v>
      </c>
      <c r="H175">
        <v>0</v>
      </c>
      <c r="I175">
        <v>0</v>
      </c>
      <c r="J175">
        <v>0</v>
      </c>
    </row>
    <row r="176" spans="1:10">
      <c r="A176">
        <v>1705</v>
      </c>
      <c r="B176">
        <f>装备拆分数值生成!S32</f>
        <v>21.3</v>
      </c>
      <c r="C176">
        <v>0</v>
      </c>
      <c r="D176">
        <v>0</v>
      </c>
      <c r="E176">
        <v>0</v>
      </c>
      <c r="F176">
        <f>装备拆分数值生成!R32</f>
        <v>249.91111111111115</v>
      </c>
      <c r="G176">
        <v>0</v>
      </c>
      <c r="H176">
        <v>0</v>
      </c>
      <c r="I176">
        <v>0</v>
      </c>
      <c r="J176">
        <v>0</v>
      </c>
    </row>
    <row r="177" spans="1:10">
      <c r="A177">
        <v>1706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</row>
    <row r="178" spans="1:10">
      <c r="A178">
        <v>1801</v>
      </c>
      <c r="B178">
        <v>0</v>
      </c>
      <c r="C178">
        <f>装备拆分数值生成!T34</f>
        <v>6.4444444444444446</v>
      </c>
      <c r="D178">
        <v>0</v>
      </c>
      <c r="E178">
        <v>0</v>
      </c>
      <c r="F178">
        <f>装备拆分数值生成!R34</f>
        <v>4.7111111111111112</v>
      </c>
      <c r="G178">
        <v>0</v>
      </c>
      <c r="H178">
        <v>0</v>
      </c>
      <c r="I178">
        <v>0</v>
      </c>
      <c r="J178">
        <v>0</v>
      </c>
    </row>
    <row r="179" spans="1:10">
      <c r="A179">
        <v>1802</v>
      </c>
      <c r="B179">
        <v>0</v>
      </c>
      <c r="C179">
        <f>装备拆分数值生成!T35</f>
        <v>9.8666666666666671</v>
      </c>
      <c r="D179">
        <v>0</v>
      </c>
      <c r="E179">
        <v>0</v>
      </c>
      <c r="F179">
        <f>装备拆分数值生成!R35</f>
        <v>7.2333333333333334</v>
      </c>
      <c r="G179">
        <v>0</v>
      </c>
      <c r="H179">
        <v>0</v>
      </c>
      <c r="I179">
        <v>0</v>
      </c>
      <c r="J179">
        <v>0</v>
      </c>
    </row>
    <row r="180" spans="1:10">
      <c r="A180">
        <v>1803</v>
      </c>
      <c r="B180">
        <v>0</v>
      </c>
      <c r="C180">
        <f>装备拆分数值生成!T36</f>
        <v>15.466666666666667</v>
      </c>
      <c r="D180">
        <v>0</v>
      </c>
      <c r="E180">
        <v>0</v>
      </c>
      <c r="F180">
        <f>装备拆分数值生成!R36</f>
        <v>11.333333333333334</v>
      </c>
      <c r="G180">
        <v>0</v>
      </c>
      <c r="H180">
        <v>0</v>
      </c>
      <c r="I180">
        <v>0</v>
      </c>
      <c r="J180">
        <v>0</v>
      </c>
    </row>
    <row r="181" spans="1:10">
      <c r="A181">
        <v>1804</v>
      </c>
      <c r="B181">
        <v>0</v>
      </c>
      <c r="C181">
        <f>装备拆分数值生成!T37</f>
        <v>39.022222222222226</v>
      </c>
      <c r="D181">
        <v>0</v>
      </c>
      <c r="E181">
        <v>0</v>
      </c>
      <c r="F181">
        <f>装备拆分数值生成!R37</f>
        <v>28.6</v>
      </c>
      <c r="G181">
        <v>0</v>
      </c>
      <c r="H181">
        <v>0</v>
      </c>
      <c r="I181">
        <v>0</v>
      </c>
      <c r="J181">
        <v>0</v>
      </c>
    </row>
    <row r="182" spans="1:10">
      <c r="A182">
        <v>1805</v>
      </c>
      <c r="B182">
        <v>0</v>
      </c>
      <c r="C182">
        <f>装备拆分数值生成!T38</f>
        <v>85.2</v>
      </c>
      <c r="D182">
        <v>0</v>
      </c>
      <c r="E182">
        <v>0</v>
      </c>
      <c r="F182">
        <f>装备拆分数值生成!R38</f>
        <v>62.477777777777789</v>
      </c>
      <c r="G182">
        <v>0</v>
      </c>
      <c r="H182">
        <v>0</v>
      </c>
      <c r="I182">
        <v>0</v>
      </c>
      <c r="J182">
        <v>0</v>
      </c>
    </row>
    <row r="183" spans="1:10">
      <c r="A183">
        <v>1806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</row>
    <row r="184" spans="1:10">
      <c r="A184">
        <v>1901</v>
      </c>
      <c r="B184">
        <f>装备拆分数值生成!AG4</f>
        <v>9.6666666666666661</v>
      </c>
      <c r="C184">
        <f>装备拆分数值生成!AH4</f>
        <v>9.6666666666666661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</row>
    <row r="185" spans="1:10">
      <c r="A185">
        <v>1902</v>
      </c>
      <c r="B185">
        <f>装备拆分数值生成!AG5</f>
        <v>14.8</v>
      </c>
      <c r="C185">
        <f>装备拆分数值生成!AH5</f>
        <v>14.8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>
      <c r="A186">
        <v>1903</v>
      </c>
      <c r="B186">
        <f>装备拆分数值生成!AG6</f>
        <v>23.2</v>
      </c>
      <c r="C186">
        <f>装备拆分数值生成!AH6</f>
        <v>23.2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>
      <c r="A187">
        <v>1904</v>
      </c>
      <c r="B187">
        <f>装备拆分数值生成!AG7</f>
        <v>58.533333333333331</v>
      </c>
      <c r="C187">
        <f>装备拆分数值生成!AH7</f>
        <v>58.533333333333331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>
      <c r="A188">
        <v>1905</v>
      </c>
      <c r="B188">
        <f>装备拆分数值生成!AG8</f>
        <v>127.8</v>
      </c>
      <c r="C188">
        <f>装备拆分数值生成!AH8</f>
        <v>127.8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>
      <c r="A189">
        <v>1906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</row>
    <row r="190" spans="1:10">
      <c r="A190">
        <v>2001</v>
      </c>
      <c r="B190">
        <v>0</v>
      </c>
      <c r="C190">
        <v>0</v>
      </c>
      <c r="D190">
        <v>0</v>
      </c>
      <c r="E190">
        <v>0</v>
      </c>
      <c r="F190">
        <f>装备拆分数值生成!AF10</f>
        <v>23.555555555555557</v>
      </c>
      <c r="G190">
        <v>0</v>
      </c>
      <c r="H190">
        <v>0</v>
      </c>
      <c r="I190">
        <v>0</v>
      </c>
      <c r="J190">
        <v>0</v>
      </c>
    </row>
    <row r="191" spans="1:10">
      <c r="A191">
        <v>2002</v>
      </c>
      <c r="B191">
        <v>0</v>
      </c>
      <c r="C191">
        <v>0</v>
      </c>
      <c r="D191">
        <v>0</v>
      </c>
      <c r="E191">
        <v>0</v>
      </c>
      <c r="F191">
        <f>装备拆分数值生成!AF11</f>
        <v>36.166666666666664</v>
      </c>
      <c r="G191">
        <v>0</v>
      </c>
      <c r="H191">
        <v>0</v>
      </c>
      <c r="I191">
        <v>0</v>
      </c>
      <c r="J191">
        <v>0</v>
      </c>
    </row>
    <row r="192" spans="1:10">
      <c r="A192">
        <v>2003</v>
      </c>
      <c r="B192">
        <v>0</v>
      </c>
      <c r="C192">
        <v>0</v>
      </c>
      <c r="D192">
        <v>0</v>
      </c>
      <c r="E192">
        <v>0</v>
      </c>
      <c r="F192">
        <f>装备拆分数值生成!AF12</f>
        <v>56.666666666666664</v>
      </c>
      <c r="G192">
        <v>0</v>
      </c>
      <c r="H192">
        <v>0</v>
      </c>
      <c r="I192">
        <v>0</v>
      </c>
      <c r="J192">
        <v>0</v>
      </c>
    </row>
    <row r="193" spans="1:10">
      <c r="A193">
        <v>2004</v>
      </c>
      <c r="B193">
        <v>0</v>
      </c>
      <c r="C193">
        <v>0</v>
      </c>
      <c r="D193">
        <v>0</v>
      </c>
      <c r="E193">
        <v>0</v>
      </c>
      <c r="F193">
        <f>装备拆分数值生成!AF13</f>
        <v>143</v>
      </c>
      <c r="G193">
        <v>0</v>
      </c>
      <c r="H193">
        <v>0</v>
      </c>
      <c r="I193">
        <v>0</v>
      </c>
      <c r="J193">
        <v>0</v>
      </c>
    </row>
    <row r="194" spans="1:10">
      <c r="A194">
        <v>2005</v>
      </c>
      <c r="B194">
        <v>0</v>
      </c>
      <c r="C194">
        <v>0</v>
      </c>
      <c r="D194">
        <v>0</v>
      </c>
      <c r="E194">
        <v>0</v>
      </c>
      <c r="F194">
        <f>装备拆分数值生成!AF14</f>
        <v>312.38888888888891</v>
      </c>
      <c r="G194">
        <v>0</v>
      </c>
      <c r="H194">
        <v>0</v>
      </c>
      <c r="I194">
        <v>0</v>
      </c>
      <c r="J194">
        <v>0</v>
      </c>
    </row>
    <row r="195" spans="1:10">
      <c r="A195">
        <v>2006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>
      <c r="A196">
        <v>2101</v>
      </c>
      <c r="B196">
        <v>0</v>
      </c>
      <c r="C196">
        <v>0</v>
      </c>
      <c r="D196">
        <v>0</v>
      </c>
      <c r="E196">
        <f>装备拆分数值生成!AI16</f>
        <v>7.666666666666667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1:10">
      <c r="A197">
        <v>2102</v>
      </c>
      <c r="B197">
        <v>0</v>
      </c>
      <c r="C197">
        <v>0</v>
      </c>
      <c r="D197">
        <v>0</v>
      </c>
      <c r="E197">
        <f>装备拆分数值生成!AI17</f>
        <v>11.777777777777779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1:10">
      <c r="A198">
        <v>2103</v>
      </c>
      <c r="B198">
        <v>0</v>
      </c>
      <c r="C198">
        <v>0</v>
      </c>
      <c r="D198">
        <v>0</v>
      </c>
      <c r="E198">
        <f>装备拆分数值生成!AI18</f>
        <v>18.444444444444443</v>
      </c>
      <c r="F198">
        <v>0</v>
      </c>
      <c r="G198">
        <v>0</v>
      </c>
      <c r="H198">
        <v>0</v>
      </c>
      <c r="I198">
        <v>0</v>
      </c>
      <c r="J198">
        <v>0</v>
      </c>
    </row>
    <row r="199" spans="1:10">
      <c r="A199">
        <v>2104</v>
      </c>
      <c r="B199">
        <v>0</v>
      </c>
      <c r="C199">
        <v>0</v>
      </c>
      <c r="D199">
        <v>0</v>
      </c>
      <c r="E199">
        <f>装备拆分数值生成!AI19</f>
        <v>46.555555555555557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>
      <c r="A200">
        <v>2105</v>
      </c>
      <c r="B200">
        <v>0</v>
      </c>
      <c r="C200">
        <v>0</v>
      </c>
      <c r="D200">
        <v>0</v>
      </c>
      <c r="E200">
        <f>装备拆分数值生成!AI20</f>
        <v>101.66666666666667</v>
      </c>
      <c r="F200">
        <v>0</v>
      </c>
      <c r="G200">
        <v>0</v>
      </c>
      <c r="H200">
        <v>0</v>
      </c>
      <c r="I200">
        <v>0</v>
      </c>
      <c r="J200">
        <v>0</v>
      </c>
    </row>
    <row r="201" spans="1:10">
      <c r="A201">
        <v>2106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>
      <c r="A202">
        <v>2201</v>
      </c>
      <c r="B202">
        <v>0</v>
      </c>
      <c r="C202">
        <v>0</v>
      </c>
      <c r="D202">
        <v>0</v>
      </c>
      <c r="E202">
        <f>装备拆分数值生成!AI22</f>
        <v>4.5999999999999996</v>
      </c>
      <c r="F202">
        <v>0</v>
      </c>
      <c r="G202">
        <v>0</v>
      </c>
      <c r="H202">
        <v>0</v>
      </c>
      <c r="I202">
        <v>0</v>
      </c>
      <c r="J202">
        <v>0</v>
      </c>
    </row>
    <row r="203" spans="1:10">
      <c r="A203">
        <v>2202</v>
      </c>
      <c r="B203">
        <v>0</v>
      </c>
      <c r="C203">
        <v>0</v>
      </c>
      <c r="D203">
        <v>0</v>
      </c>
      <c r="E203">
        <f>装备拆分数值生成!AI23</f>
        <v>7.0666666666666673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>
      <c r="A204">
        <v>2203</v>
      </c>
      <c r="B204">
        <v>0</v>
      </c>
      <c r="C204">
        <v>0</v>
      </c>
      <c r="D204">
        <v>0</v>
      </c>
      <c r="E204">
        <f>装备拆分数值生成!AI24</f>
        <v>11.066666666666665</v>
      </c>
      <c r="F204">
        <v>0</v>
      </c>
      <c r="G204">
        <v>0</v>
      </c>
      <c r="H204">
        <v>0</v>
      </c>
      <c r="I204">
        <v>0</v>
      </c>
      <c r="J204">
        <v>0</v>
      </c>
    </row>
    <row r="205" spans="1:10">
      <c r="A205">
        <v>2204</v>
      </c>
      <c r="B205">
        <v>0</v>
      </c>
      <c r="C205">
        <v>0</v>
      </c>
      <c r="D205">
        <v>0</v>
      </c>
      <c r="E205">
        <f>装备拆分数值生成!AI25</f>
        <v>27.933333333333334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1:10">
      <c r="A206">
        <v>2205</v>
      </c>
      <c r="B206">
        <v>0</v>
      </c>
      <c r="C206">
        <v>0</v>
      </c>
      <c r="D206">
        <v>0</v>
      </c>
      <c r="E206">
        <f>装备拆分数值生成!AI26</f>
        <v>61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>
      <c r="A207">
        <v>2206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</row>
    <row r="208" spans="1:10">
      <c r="A208">
        <v>2301</v>
      </c>
      <c r="B208">
        <v>0</v>
      </c>
      <c r="C208">
        <f>装备拆分数值生成!AH28</f>
        <v>3.2222222222222223</v>
      </c>
      <c r="D208">
        <v>0</v>
      </c>
      <c r="E208">
        <v>0</v>
      </c>
      <c r="F208">
        <f>装备拆分数值生成!AF28</f>
        <v>14.133333333333335</v>
      </c>
      <c r="G208">
        <v>0</v>
      </c>
      <c r="H208">
        <v>0</v>
      </c>
      <c r="I208">
        <v>0</v>
      </c>
      <c r="J208">
        <v>0</v>
      </c>
    </row>
    <row r="209" spans="1:10">
      <c r="A209">
        <v>2302</v>
      </c>
      <c r="B209">
        <v>0</v>
      </c>
      <c r="C209">
        <f>装备拆分数值生成!AH29</f>
        <v>4.9333333333333336</v>
      </c>
      <c r="D209">
        <v>0</v>
      </c>
      <c r="E209">
        <v>0</v>
      </c>
      <c r="F209">
        <f>装备拆分数值生成!AF29</f>
        <v>21.7</v>
      </c>
      <c r="G209">
        <v>0</v>
      </c>
      <c r="H209">
        <v>0</v>
      </c>
      <c r="I209">
        <v>0</v>
      </c>
      <c r="J209">
        <v>0</v>
      </c>
    </row>
    <row r="210" spans="1:10">
      <c r="A210">
        <v>2303</v>
      </c>
      <c r="B210">
        <v>0</v>
      </c>
      <c r="C210">
        <f>装备拆分数值生成!AH30</f>
        <v>7.7333333333333334</v>
      </c>
      <c r="D210">
        <v>0</v>
      </c>
      <c r="E210">
        <v>0</v>
      </c>
      <c r="F210">
        <f>装备拆分数值生成!AF30</f>
        <v>34</v>
      </c>
      <c r="G210">
        <v>0</v>
      </c>
      <c r="H210">
        <v>0</v>
      </c>
      <c r="I210">
        <v>0</v>
      </c>
      <c r="J210">
        <v>0</v>
      </c>
    </row>
    <row r="211" spans="1:10">
      <c r="A211">
        <v>2304</v>
      </c>
      <c r="B211">
        <v>0</v>
      </c>
      <c r="C211">
        <f>装备拆分数值生成!AH31</f>
        <v>19.511111111111113</v>
      </c>
      <c r="D211">
        <v>0</v>
      </c>
      <c r="E211">
        <v>0</v>
      </c>
      <c r="F211">
        <f>装备拆分数值生成!AF31</f>
        <v>85.8</v>
      </c>
      <c r="G211">
        <v>0</v>
      </c>
      <c r="H211">
        <v>0</v>
      </c>
      <c r="I211">
        <v>0</v>
      </c>
      <c r="J211">
        <v>0</v>
      </c>
    </row>
    <row r="212" spans="1:10">
      <c r="A212">
        <v>2305</v>
      </c>
      <c r="B212">
        <v>0</v>
      </c>
      <c r="C212">
        <f>装备拆分数值生成!AH32</f>
        <v>42.6</v>
      </c>
      <c r="D212">
        <v>0</v>
      </c>
      <c r="E212">
        <v>0</v>
      </c>
      <c r="F212">
        <f>装备拆分数值生成!AF32</f>
        <v>187.43333333333334</v>
      </c>
      <c r="G212">
        <v>0</v>
      </c>
      <c r="H212">
        <v>0</v>
      </c>
      <c r="I212">
        <v>0</v>
      </c>
      <c r="J212">
        <v>0</v>
      </c>
    </row>
    <row r="213" spans="1:10">
      <c r="A213">
        <v>2306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</row>
    <row r="214" spans="1:10">
      <c r="A214">
        <v>2401</v>
      </c>
      <c r="B214">
        <v>0</v>
      </c>
      <c r="C214">
        <v>0</v>
      </c>
      <c r="D214">
        <v>0</v>
      </c>
      <c r="E214">
        <f>装备拆分数值生成!AI34</f>
        <v>1.5333333333333334</v>
      </c>
      <c r="F214">
        <f>装备拆分数值生成!AF34</f>
        <v>9.4222222222222225</v>
      </c>
      <c r="G214">
        <v>0</v>
      </c>
      <c r="H214">
        <v>0</v>
      </c>
      <c r="I214">
        <v>0</v>
      </c>
      <c r="J214">
        <v>0</v>
      </c>
    </row>
    <row r="215" spans="1:10">
      <c r="A215">
        <v>2402</v>
      </c>
      <c r="B215">
        <v>0</v>
      </c>
      <c r="C215">
        <v>0</v>
      </c>
      <c r="D215">
        <v>0</v>
      </c>
      <c r="E215">
        <f>装备拆分数值生成!AI35</f>
        <v>2.3555555555555556</v>
      </c>
      <c r="F215">
        <f>装备拆分数值生成!AF35</f>
        <v>14.466666666666667</v>
      </c>
      <c r="G215">
        <v>0</v>
      </c>
      <c r="H215">
        <v>0</v>
      </c>
      <c r="I215">
        <v>0</v>
      </c>
      <c r="J215">
        <v>0</v>
      </c>
    </row>
    <row r="216" spans="1:10">
      <c r="A216">
        <v>2403</v>
      </c>
      <c r="B216">
        <v>0</v>
      </c>
      <c r="C216">
        <v>0</v>
      </c>
      <c r="D216">
        <v>0</v>
      </c>
      <c r="E216">
        <f>装备拆分数值生成!AI36</f>
        <v>3.6888888888888887</v>
      </c>
      <c r="F216">
        <f>装备拆分数值生成!AF36</f>
        <v>22.666666666666668</v>
      </c>
      <c r="G216">
        <v>0</v>
      </c>
      <c r="H216">
        <v>0</v>
      </c>
      <c r="I216">
        <v>0</v>
      </c>
      <c r="J216">
        <v>0</v>
      </c>
    </row>
    <row r="217" spans="1:10">
      <c r="A217">
        <v>2404</v>
      </c>
      <c r="B217">
        <v>0</v>
      </c>
      <c r="C217">
        <v>0</v>
      </c>
      <c r="D217">
        <v>0</v>
      </c>
      <c r="E217">
        <f>装备拆分数值生成!AI37</f>
        <v>9.3111111111111118</v>
      </c>
      <c r="F217">
        <f>装备拆分数值生成!AF37</f>
        <v>57.2</v>
      </c>
      <c r="G217">
        <v>0</v>
      </c>
      <c r="H217">
        <v>0</v>
      </c>
      <c r="I217">
        <v>0</v>
      </c>
      <c r="J217">
        <v>0</v>
      </c>
    </row>
    <row r="218" spans="1:10">
      <c r="A218">
        <v>2405</v>
      </c>
      <c r="B218">
        <v>0</v>
      </c>
      <c r="C218">
        <v>0</v>
      </c>
      <c r="D218">
        <v>0</v>
      </c>
      <c r="E218">
        <f>装备拆分数值生成!AI38</f>
        <v>20.333333333333336</v>
      </c>
      <c r="F218">
        <f>装备拆分数值生成!AF38</f>
        <v>124.95555555555558</v>
      </c>
      <c r="G218">
        <v>0</v>
      </c>
      <c r="H218">
        <v>0</v>
      </c>
      <c r="I218">
        <v>0</v>
      </c>
      <c r="J218">
        <v>0</v>
      </c>
    </row>
    <row r="219" spans="1:10">
      <c r="A219">
        <v>2406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>
      <c r="A220">
        <v>111</v>
      </c>
      <c r="B220">
        <f>INT(装备拆分数值生成!Z40)</f>
        <v>102</v>
      </c>
      <c r="C220">
        <f>INT(装备拆分数值生成!AA40)</f>
        <v>102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>
      <c r="A221">
        <v>112</v>
      </c>
      <c r="B221">
        <f>INT(装备拆分数值生成!Z41)</f>
        <v>192</v>
      </c>
      <c r="C221">
        <f>INT(装备拆分数值生成!AA41)</f>
        <v>192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1:10">
      <c r="A222">
        <v>113</v>
      </c>
      <c r="B222">
        <f>INT(装备拆分数值生成!Z42)</f>
        <v>346</v>
      </c>
      <c r="C222">
        <f>INT(装备拆分数值生成!AA42)</f>
        <v>346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>
      <c r="A223">
        <v>114</v>
      </c>
      <c r="B223">
        <f>INT(装备拆分数值生成!Z43)</f>
        <v>730</v>
      </c>
      <c r="C223">
        <f>INT(装备拆分数值生成!AA43)</f>
        <v>730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1:10">
      <c r="A224">
        <v>115</v>
      </c>
      <c r="B224">
        <f>INT(装备拆分数值生成!Z44)</f>
        <v>1468</v>
      </c>
      <c r="C224">
        <f>INT(装备拆分数值生成!AA44)</f>
        <v>1468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</row>
    <row r="225" spans="1:10">
      <c r="A225">
        <v>116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</row>
    <row r="226" spans="1:10">
      <c r="A226">
        <v>211</v>
      </c>
      <c r="B226">
        <v>0</v>
      </c>
      <c r="C226">
        <v>0</v>
      </c>
      <c r="D226">
        <v>0</v>
      </c>
      <c r="E226">
        <v>0</v>
      </c>
      <c r="F226">
        <f>INT(装备拆分数值生成!Y46)</f>
        <v>436</v>
      </c>
      <c r="G226">
        <v>0</v>
      </c>
      <c r="H226">
        <v>0</v>
      </c>
      <c r="I226">
        <v>0</v>
      </c>
      <c r="J226">
        <v>0</v>
      </c>
    </row>
    <row r="227" spans="1:10">
      <c r="A227">
        <v>212</v>
      </c>
      <c r="B227">
        <v>0</v>
      </c>
      <c r="C227">
        <v>0</v>
      </c>
      <c r="D227">
        <v>0</v>
      </c>
      <c r="E227">
        <v>0</v>
      </c>
      <c r="F227">
        <f>INT(装备拆分数值生成!Y47)</f>
        <v>822</v>
      </c>
      <c r="G227">
        <v>0</v>
      </c>
      <c r="H227">
        <v>0</v>
      </c>
      <c r="I227">
        <v>0</v>
      </c>
      <c r="J227">
        <v>0</v>
      </c>
    </row>
    <row r="228" spans="1:10">
      <c r="A228">
        <v>213</v>
      </c>
      <c r="B228">
        <v>0</v>
      </c>
      <c r="C228">
        <v>0</v>
      </c>
      <c r="D228">
        <v>0</v>
      </c>
      <c r="E228">
        <v>0</v>
      </c>
      <c r="F228">
        <f>INT(装备拆分数值生成!Y48)</f>
        <v>1477</v>
      </c>
      <c r="G228">
        <v>0</v>
      </c>
      <c r="H228">
        <v>0</v>
      </c>
      <c r="I228">
        <v>0</v>
      </c>
      <c r="J228">
        <v>0</v>
      </c>
    </row>
    <row r="229" spans="1:10">
      <c r="A229">
        <v>214</v>
      </c>
      <c r="B229">
        <v>0</v>
      </c>
      <c r="C229">
        <v>0</v>
      </c>
      <c r="D229">
        <v>0</v>
      </c>
      <c r="E229">
        <v>0</v>
      </c>
      <c r="F229">
        <f>INT(装备拆分数值生成!Y49)</f>
        <v>3116</v>
      </c>
      <c r="G229">
        <v>0</v>
      </c>
      <c r="H229">
        <v>0</v>
      </c>
      <c r="I229">
        <v>0</v>
      </c>
      <c r="J229">
        <v>0</v>
      </c>
    </row>
    <row r="230" spans="1:10">
      <c r="A230">
        <v>215</v>
      </c>
      <c r="B230">
        <v>0</v>
      </c>
      <c r="C230">
        <v>0</v>
      </c>
      <c r="D230">
        <v>0</v>
      </c>
      <c r="E230">
        <v>0</v>
      </c>
      <c r="F230">
        <f>INT(装备拆分数值生成!Y50)</f>
        <v>6262</v>
      </c>
      <c r="G230">
        <v>0</v>
      </c>
      <c r="H230">
        <v>0</v>
      </c>
      <c r="I230">
        <v>0</v>
      </c>
      <c r="J230">
        <v>0</v>
      </c>
    </row>
    <row r="231" spans="1:10">
      <c r="A231">
        <v>216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1:10">
      <c r="A232">
        <v>311</v>
      </c>
      <c r="B232">
        <v>0</v>
      </c>
      <c r="C232">
        <v>0</v>
      </c>
      <c r="D232">
        <v>0</v>
      </c>
      <c r="E232">
        <f>INT(装备拆分数值生成!AB52)</f>
        <v>106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>
      <c r="A233">
        <v>312</v>
      </c>
      <c r="B233">
        <v>0</v>
      </c>
      <c r="C233">
        <v>0</v>
      </c>
      <c r="D233">
        <v>0</v>
      </c>
      <c r="E233">
        <f>INT(装备拆分数值生成!AB53)</f>
        <v>200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1:10">
      <c r="A234">
        <v>313</v>
      </c>
      <c r="B234">
        <v>0</v>
      </c>
      <c r="C234">
        <v>0</v>
      </c>
      <c r="D234">
        <v>0</v>
      </c>
      <c r="E234">
        <f>INT(装备拆分数值生成!AB54)</f>
        <v>360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1:10">
      <c r="A235">
        <v>314</v>
      </c>
      <c r="B235">
        <v>0</v>
      </c>
      <c r="C235">
        <v>0</v>
      </c>
      <c r="D235">
        <v>0</v>
      </c>
      <c r="E235">
        <f>INT(装备拆分数值生成!AB55)</f>
        <v>760</v>
      </c>
      <c r="F235">
        <v>0</v>
      </c>
      <c r="G235">
        <v>0</v>
      </c>
      <c r="H235">
        <v>0</v>
      </c>
      <c r="I235">
        <v>0</v>
      </c>
      <c r="J235">
        <v>0</v>
      </c>
    </row>
    <row r="236" spans="1:10">
      <c r="A236">
        <v>315</v>
      </c>
      <c r="B236">
        <v>0</v>
      </c>
      <c r="C236">
        <v>0</v>
      </c>
      <c r="D236">
        <v>0</v>
      </c>
      <c r="E236">
        <f>INT(装备拆分数值生成!AB56)</f>
        <v>1528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>
      <c r="A237">
        <v>316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</row>
    <row r="238" spans="1:10">
      <c r="A238">
        <v>411</v>
      </c>
      <c r="B238">
        <v>0</v>
      </c>
      <c r="C238">
        <v>0</v>
      </c>
      <c r="D238">
        <v>0</v>
      </c>
      <c r="E238">
        <f>INT(装备拆分数值生成!AB58)</f>
        <v>79</v>
      </c>
      <c r="F238">
        <v>0</v>
      </c>
      <c r="G238">
        <v>0</v>
      </c>
      <c r="H238">
        <v>0</v>
      </c>
      <c r="I238">
        <v>0</v>
      </c>
      <c r="J238">
        <v>0</v>
      </c>
    </row>
    <row r="239" spans="1:10">
      <c r="A239">
        <v>412</v>
      </c>
      <c r="B239">
        <v>0</v>
      </c>
      <c r="C239">
        <v>0</v>
      </c>
      <c r="D239">
        <v>0</v>
      </c>
      <c r="E239">
        <f>INT(装备拆分数值生成!AB59)</f>
        <v>150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>
      <c r="A240">
        <v>413</v>
      </c>
      <c r="B240">
        <v>0</v>
      </c>
      <c r="C240">
        <v>0</v>
      </c>
      <c r="D240">
        <v>0</v>
      </c>
      <c r="E240">
        <f>INT(装备拆分数值生成!AB60)</f>
        <v>270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>
      <c r="A241">
        <v>414</v>
      </c>
      <c r="B241">
        <v>0</v>
      </c>
      <c r="C241">
        <v>0</v>
      </c>
      <c r="D241">
        <v>0</v>
      </c>
      <c r="E241">
        <f>INT(装备拆分数值生成!AB61)</f>
        <v>570</v>
      </c>
      <c r="F241">
        <v>0</v>
      </c>
      <c r="G241">
        <v>0</v>
      </c>
      <c r="H241">
        <v>0</v>
      </c>
      <c r="I241">
        <v>0</v>
      </c>
      <c r="J241">
        <v>0</v>
      </c>
    </row>
    <row r="242" spans="1:10">
      <c r="A242">
        <v>415</v>
      </c>
      <c r="B242">
        <v>0</v>
      </c>
      <c r="C242">
        <v>0</v>
      </c>
      <c r="D242">
        <v>0</v>
      </c>
      <c r="E242">
        <f>INT(装备拆分数值生成!AB62)</f>
        <v>1146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>
      <c r="A243">
        <v>416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</row>
    <row r="244" spans="1:10">
      <c r="A244">
        <v>511</v>
      </c>
      <c r="B244">
        <v>0</v>
      </c>
      <c r="C244">
        <v>0</v>
      </c>
      <c r="D244">
        <v>0</v>
      </c>
      <c r="E244">
        <v>0</v>
      </c>
      <c r="F244">
        <f>INT(装备拆分数值生成!Y64)</f>
        <v>272</v>
      </c>
      <c r="G244">
        <v>0</v>
      </c>
      <c r="H244">
        <v>0</v>
      </c>
      <c r="I244">
        <v>0</v>
      </c>
      <c r="J244">
        <v>0</v>
      </c>
    </row>
    <row r="245" spans="1:10">
      <c r="A245">
        <v>512</v>
      </c>
      <c r="B245">
        <v>0</v>
      </c>
      <c r="C245">
        <v>0</v>
      </c>
      <c r="D245">
        <v>0</v>
      </c>
      <c r="E245">
        <v>0</v>
      </c>
      <c r="F245">
        <f>INT(装备拆分数值生成!Y65)</f>
        <v>514</v>
      </c>
      <c r="G245">
        <v>0</v>
      </c>
      <c r="H245">
        <v>0</v>
      </c>
      <c r="I245">
        <v>0</v>
      </c>
      <c r="J245">
        <v>0</v>
      </c>
    </row>
    <row r="246" spans="1:10">
      <c r="A246">
        <v>513</v>
      </c>
      <c r="B246">
        <v>0</v>
      </c>
      <c r="C246">
        <v>0</v>
      </c>
      <c r="D246">
        <v>0</v>
      </c>
      <c r="E246">
        <v>0</v>
      </c>
      <c r="F246">
        <f>INT(装备拆分数值生成!Y66)</f>
        <v>923</v>
      </c>
      <c r="G246">
        <v>0</v>
      </c>
      <c r="H246">
        <v>0</v>
      </c>
      <c r="I246">
        <v>0</v>
      </c>
      <c r="J246">
        <v>0</v>
      </c>
    </row>
    <row r="247" spans="1:10">
      <c r="A247">
        <v>514</v>
      </c>
      <c r="B247">
        <v>0</v>
      </c>
      <c r="C247">
        <v>0</v>
      </c>
      <c r="D247">
        <v>0</v>
      </c>
      <c r="E247">
        <v>0</v>
      </c>
      <c r="F247">
        <f>INT(装备拆分数值生成!Y67)</f>
        <v>1947</v>
      </c>
      <c r="G247">
        <v>0</v>
      </c>
      <c r="H247">
        <v>0</v>
      </c>
      <c r="I247">
        <v>0</v>
      </c>
      <c r="J247">
        <v>0</v>
      </c>
    </row>
    <row r="248" spans="1:10">
      <c r="A248">
        <v>515</v>
      </c>
      <c r="B248">
        <v>0</v>
      </c>
      <c r="C248">
        <v>0</v>
      </c>
      <c r="D248">
        <v>0</v>
      </c>
      <c r="E248">
        <v>0</v>
      </c>
      <c r="F248">
        <f>INT(装备拆分数值生成!Y68)</f>
        <v>3914</v>
      </c>
      <c r="G248">
        <v>0</v>
      </c>
      <c r="H248">
        <v>0</v>
      </c>
      <c r="I248">
        <v>0</v>
      </c>
      <c r="J248">
        <v>0</v>
      </c>
    </row>
    <row r="249" spans="1:10">
      <c r="A249">
        <v>516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</row>
    <row r="250" spans="1:10">
      <c r="A250">
        <v>611</v>
      </c>
      <c r="B250">
        <v>0</v>
      </c>
      <c r="C250">
        <v>0</v>
      </c>
      <c r="D250">
        <v>0</v>
      </c>
      <c r="E250">
        <f>INT(装备拆分数值生成!AB70)</f>
        <v>53</v>
      </c>
      <c r="F250">
        <f>INT(装备拆分数值生成!Y70)</f>
        <v>109</v>
      </c>
      <c r="G250">
        <v>0</v>
      </c>
      <c r="H250">
        <v>0</v>
      </c>
      <c r="I250">
        <v>0</v>
      </c>
      <c r="J250">
        <v>0</v>
      </c>
    </row>
    <row r="251" spans="1:10">
      <c r="A251">
        <v>612</v>
      </c>
      <c r="B251">
        <v>0</v>
      </c>
      <c r="C251">
        <v>0</v>
      </c>
      <c r="D251">
        <v>0</v>
      </c>
      <c r="E251">
        <f>INT(装备拆分数值生成!AB71)</f>
        <v>100</v>
      </c>
      <c r="F251">
        <f>INT(装备拆分数值生成!Y71)</f>
        <v>205</v>
      </c>
      <c r="G251">
        <v>0</v>
      </c>
      <c r="H251">
        <v>0</v>
      </c>
      <c r="I251">
        <v>0</v>
      </c>
      <c r="J251">
        <v>0</v>
      </c>
    </row>
    <row r="252" spans="1:10">
      <c r="A252">
        <v>613</v>
      </c>
      <c r="B252">
        <v>0</v>
      </c>
      <c r="C252">
        <v>0</v>
      </c>
      <c r="D252">
        <v>0</v>
      </c>
      <c r="E252">
        <f>INT(装备拆分数值生成!AB72)</f>
        <v>180</v>
      </c>
      <c r="F252">
        <f>INT(装备拆分数值生成!Y72)</f>
        <v>369</v>
      </c>
      <c r="G252">
        <v>0</v>
      </c>
      <c r="H252">
        <v>0</v>
      </c>
      <c r="I252">
        <v>0</v>
      </c>
      <c r="J252">
        <v>0</v>
      </c>
    </row>
    <row r="253" spans="1:10">
      <c r="A253">
        <v>614</v>
      </c>
      <c r="B253">
        <v>0</v>
      </c>
      <c r="C253">
        <v>0</v>
      </c>
      <c r="D253">
        <v>0</v>
      </c>
      <c r="E253">
        <f>INT(装备拆分数值生成!AB73)</f>
        <v>380</v>
      </c>
      <c r="F253">
        <f>INT(装备拆分数值生成!Y73)</f>
        <v>779</v>
      </c>
      <c r="G253">
        <v>0</v>
      </c>
      <c r="H253">
        <v>0</v>
      </c>
      <c r="I253">
        <v>0</v>
      </c>
      <c r="J253">
        <v>0</v>
      </c>
    </row>
    <row r="254" spans="1:10">
      <c r="A254">
        <v>615</v>
      </c>
      <c r="B254">
        <v>0</v>
      </c>
      <c r="C254">
        <v>0</v>
      </c>
      <c r="D254">
        <v>0</v>
      </c>
      <c r="E254">
        <f>INT(装备拆分数值生成!AB74)</f>
        <v>764</v>
      </c>
      <c r="F254">
        <f>INT(装备拆分数值生成!Y74)</f>
        <v>1565</v>
      </c>
      <c r="G254">
        <v>0</v>
      </c>
      <c r="H254">
        <v>0</v>
      </c>
      <c r="I254">
        <v>0</v>
      </c>
      <c r="J254">
        <v>0</v>
      </c>
    </row>
    <row r="255" spans="1:10">
      <c r="A255">
        <v>616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</row>
    <row r="256" spans="1:10">
      <c r="A256">
        <v>711</v>
      </c>
      <c r="B256">
        <f>INT(装备拆分数值生成!L40)</f>
        <v>148</v>
      </c>
      <c r="C256">
        <f>INT(装备拆分数值生成!M40)</f>
        <v>74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</row>
    <row r="257" spans="1:10">
      <c r="A257">
        <v>712</v>
      </c>
      <c r="B257">
        <f>INT(装备拆分数值生成!L41)</f>
        <v>280</v>
      </c>
      <c r="C257">
        <f>INT(装备拆分数值生成!M41)</f>
        <v>140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>
      <c r="A258">
        <v>713</v>
      </c>
      <c r="B258">
        <f>INT(装备拆分数值生成!L42)</f>
        <v>503</v>
      </c>
      <c r="C258">
        <f>INT(装备拆分数值生成!M42)</f>
        <v>251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>
      <c r="A259">
        <v>714</v>
      </c>
      <c r="B259">
        <f>INT(装备拆分数值生成!L43)</f>
        <v>1062</v>
      </c>
      <c r="C259">
        <f>INT(装备拆分数值生成!M43)</f>
        <v>531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>
      <c r="A260">
        <v>715</v>
      </c>
      <c r="B260">
        <f>INT(装备拆分数值生成!L44)</f>
        <v>2135</v>
      </c>
      <c r="C260">
        <f>INT(装备拆分数值生成!M44)</f>
        <v>1067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>
      <c r="A261">
        <v>716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>
      <c r="A262">
        <v>811</v>
      </c>
      <c r="B262">
        <v>0</v>
      </c>
      <c r="C262">
        <v>0</v>
      </c>
      <c r="D262">
        <v>0</v>
      </c>
      <c r="E262">
        <v>0</v>
      </c>
      <c r="F262">
        <f>INT(装备拆分数值生成!K46)</f>
        <v>272</v>
      </c>
      <c r="G262">
        <v>0</v>
      </c>
      <c r="H262">
        <v>0</v>
      </c>
      <c r="I262">
        <v>0</v>
      </c>
      <c r="J262">
        <v>0</v>
      </c>
    </row>
    <row r="263" spans="1:10">
      <c r="A263">
        <v>812</v>
      </c>
      <c r="B263">
        <v>0</v>
      </c>
      <c r="C263">
        <v>0</v>
      </c>
      <c r="D263">
        <v>0</v>
      </c>
      <c r="E263">
        <v>0</v>
      </c>
      <c r="F263">
        <f>INT(装备拆分数值生成!K47)</f>
        <v>514</v>
      </c>
      <c r="G263">
        <v>0</v>
      </c>
      <c r="H263">
        <v>0</v>
      </c>
      <c r="I263">
        <v>0</v>
      </c>
      <c r="J263">
        <v>0</v>
      </c>
    </row>
    <row r="264" spans="1:10">
      <c r="A264">
        <v>813</v>
      </c>
      <c r="B264">
        <v>0</v>
      </c>
      <c r="C264">
        <v>0</v>
      </c>
      <c r="D264">
        <v>0</v>
      </c>
      <c r="E264">
        <v>0</v>
      </c>
      <c r="F264">
        <f>INT(装备拆分数值生成!K48)</f>
        <v>923</v>
      </c>
      <c r="G264">
        <v>0</v>
      </c>
      <c r="H264">
        <v>0</v>
      </c>
      <c r="I264">
        <v>0</v>
      </c>
      <c r="J264">
        <v>0</v>
      </c>
    </row>
    <row r="265" spans="1:10">
      <c r="A265">
        <v>814</v>
      </c>
      <c r="B265">
        <v>0</v>
      </c>
      <c r="C265">
        <v>0</v>
      </c>
      <c r="D265">
        <v>0</v>
      </c>
      <c r="E265">
        <v>0</v>
      </c>
      <c r="F265">
        <f>INT(装备拆分数值生成!K49)</f>
        <v>1947</v>
      </c>
      <c r="G265">
        <v>0</v>
      </c>
      <c r="H265">
        <v>0</v>
      </c>
      <c r="I265">
        <v>0</v>
      </c>
      <c r="J265">
        <v>0</v>
      </c>
    </row>
    <row r="266" spans="1:10">
      <c r="A266">
        <v>815</v>
      </c>
      <c r="B266">
        <v>0</v>
      </c>
      <c r="C266">
        <v>0</v>
      </c>
      <c r="D266">
        <v>0</v>
      </c>
      <c r="E266">
        <v>0</v>
      </c>
      <c r="F266">
        <f>INT(装备拆分数值生成!K50)</f>
        <v>3914</v>
      </c>
      <c r="G266">
        <v>0</v>
      </c>
      <c r="H266">
        <v>0</v>
      </c>
      <c r="I266">
        <v>0</v>
      </c>
      <c r="J266">
        <v>0</v>
      </c>
    </row>
    <row r="267" spans="1:10">
      <c r="A267">
        <v>816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>
      <c r="A268">
        <v>911</v>
      </c>
      <c r="B268">
        <v>0</v>
      </c>
      <c r="C268">
        <v>0</v>
      </c>
      <c r="D268">
        <v>0</v>
      </c>
      <c r="E268">
        <f>INT(装备拆分数值生成!N52)</f>
        <v>71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>
      <c r="A269">
        <v>912</v>
      </c>
      <c r="B269">
        <v>0</v>
      </c>
      <c r="C269">
        <v>0</v>
      </c>
      <c r="D269">
        <v>0</v>
      </c>
      <c r="E269">
        <f>INT(装备拆分数值生成!N53)</f>
        <v>133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>
      <c r="A270">
        <v>913</v>
      </c>
      <c r="B270">
        <v>0</v>
      </c>
      <c r="C270">
        <v>0</v>
      </c>
      <c r="D270">
        <v>0</v>
      </c>
      <c r="E270">
        <f>INT(装备拆分数值生成!N54)</f>
        <v>240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>
      <c r="A271">
        <v>914</v>
      </c>
      <c r="B271">
        <v>0</v>
      </c>
      <c r="C271">
        <v>0</v>
      </c>
      <c r="D271">
        <v>0</v>
      </c>
      <c r="E271">
        <f>INT(装备拆分数值生成!N55)</f>
        <v>507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>
      <c r="A272">
        <v>915</v>
      </c>
      <c r="B272">
        <v>0</v>
      </c>
      <c r="C272">
        <v>0</v>
      </c>
      <c r="D272">
        <v>0</v>
      </c>
      <c r="E272">
        <f>INT(装备拆分数值生成!N56)</f>
        <v>1018</v>
      </c>
      <c r="F272">
        <v>0</v>
      </c>
      <c r="G272">
        <v>0</v>
      </c>
      <c r="H272">
        <v>0</v>
      </c>
      <c r="I272">
        <v>0</v>
      </c>
      <c r="J272">
        <v>0</v>
      </c>
    </row>
    <row r="273" spans="1:10">
      <c r="A273">
        <v>916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</row>
    <row r="274" spans="1:10">
      <c r="A274">
        <v>1011</v>
      </c>
      <c r="B274">
        <f>INT(装备拆分数值生成!L58)</f>
        <v>37</v>
      </c>
      <c r="C274">
        <v>0</v>
      </c>
      <c r="D274">
        <v>0</v>
      </c>
      <c r="E274">
        <f>INT(装备拆分数值生成!N58)</f>
        <v>53</v>
      </c>
      <c r="F274">
        <v>0</v>
      </c>
      <c r="G274">
        <v>0</v>
      </c>
      <c r="H274">
        <v>0</v>
      </c>
      <c r="I274">
        <v>0</v>
      </c>
      <c r="J274">
        <v>0</v>
      </c>
    </row>
    <row r="275" spans="1:10">
      <c r="A275">
        <v>1012</v>
      </c>
      <c r="B275">
        <f>INT(装备拆分数值生成!L59)</f>
        <v>70</v>
      </c>
      <c r="C275">
        <v>0</v>
      </c>
      <c r="D275">
        <v>0</v>
      </c>
      <c r="E275">
        <f>INT(装备拆分数值生成!N59)</f>
        <v>100</v>
      </c>
      <c r="F275">
        <v>0</v>
      </c>
      <c r="G275">
        <v>0</v>
      </c>
      <c r="H275">
        <v>0</v>
      </c>
      <c r="I275">
        <v>0</v>
      </c>
      <c r="J275">
        <v>0</v>
      </c>
    </row>
    <row r="276" spans="1:10">
      <c r="A276">
        <v>1013</v>
      </c>
      <c r="B276">
        <f>INT(装备拆分数值生成!L60)</f>
        <v>125</v>
      </c>
      <c r="C276">
        <v>0</v>
      </c>
      <c r="D276">
        <v>0</v>
      </c>
      <c r="E276">
        <f>INT(装备拆分数值生成!N60)</f>
        <v>180</v>
      </c>
      <c r="F276">
        <v>0</v>
      </c>
      <c r="G276">
        <v>0</v>
      </c>
      <c r="H276">
        <v>0</v>
      </c>
      <c r="I276">
        <v>0</v>
      </c>
      <c r="J276">
        <v>0</v>
      </c>
    </row>
    <row r="277" spans="1:10">
      <c r="A277">
        <v>1014</v>
      </c>
      <c r="B277">
        <f>INT(装备拆分数值生成!L61)</f>
        <v>265</v>
      </c>
      <c r="C277">
        <v>0</v>
      </c>
      <c r="D277">
        <v>0</v>
      </c>
      <c r="E277">
        <f>INT(装备拆分数值生成!N61)</f>
        <v>380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>
      <c r="A278">
        <v>1015</v>
      </c>
      <c r="B278">
        <f>INT(装备拆分数值生成!L62)</f>
        <v>533</v>
      </c>
      <c r="C278">
        <v>0</v>
      </c>
      <c r="D278">
        <v>0</v>
      </c>
      <c r="E278">
        <f>INT(装备拆分数值生成!N62)</f>
        <v>764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>
      <c r="A279">
        <v>1016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>
      <c r="A280">
        <v>1111</v>
      </c>
      <c r="B280">
        <v>0</v>
      </c>
      <c r="C280">
        <f>INT(装备拆分数值生成!M64)</f>
        <v>18</v>
      </c>
      <c r="D280">
        <v>0</v>
      </c>
      <c r="E280">
        <v>0</v>
      </c>
      <c r="F280">
        <f>INT(装备拆分数值生成!K64)</f>
        <v>218</v>
      </c>
      <c r="G280">
        <v>0</v>
      </c>
      <c r="H280">
        <v>0</v>
      </c>
      <c r="I280">
        <v>0</v>
      </c>
      <c r="J280">
        <v>0</v>
      </c>
    </row>
    <row r="281" spans="1:10">
      <c r="A281">
        <v>1112</v>
      </c>
      <c r="B281">
        <v>0</v>
      </c>
      <c r="C281">
        <f>INT(装备拆分数值生成!M65)</f>
        <v>35</v>
      </c>
      <c r="D281">
        <v>0</v>
      </c>
      <c r="E281">
        <v>0</v>
      </c>
      <c r="F281">
        <f>INT(装备拆分数值生成!K65)</f>
        <v>411</v>
      </c>
      <c r="G281">
        <v>0</v>
      </c>
      <c r="H281">
        <v>0</v>
      </c>
      <c r="I281">
        <v>0</v>
      </c>
      <c r="J281">
        <v>0</v>
      </c>
    </row>
    <row r="282" spans="1:10">
      <c r="A282">
        <v>1113</v>
      </c>
      <c r="B282">
        <v>0</v>
      </c>
      <c r="C282">
        <f>INT(装备拆分数值生成!M66)</f>
        <v>62</v>
      </c>
      <c r="D282">
        <v>0</v>
      </c>
      <c r="E282">
        <v>0</v>
      </c>
      <c r="F282">
        <f>INT(装备拆分数值生成!K66)</f>
        <v>738</v>
      </c>
      <c r="G282">
        <v>0</v>
      </c>
      <c r="H282">
        <v>0</v>
      </c>
      <c r="I282">
        <v>0</v>
      </c>
      <c r="J282">
        <v>0</v>
      </c>
    </row>
    <row r="283" spans="1:10">
      <c r="A283">
        <v>1114</v>
      </c>
      <c r="B283">
        <v>0</v>
      </c>
      <c r="C283">
        <f>INT(装备拆分数值生成!M67)</f>
        <v>132</v>
      </c>
      <c r="D283">
        <v>0</v>
      </c>
      <c r="E283">
        <v>0</v>
      </c>
      <c r="F283">
        <f>INT(装备拆分数值生成!K67)</f>
        <v>1558</v>
      </c>
      <c r="G283">
        <v>0</v>
      </c>
      <c r="H283">
        <v>0</v>
      </c>
      <c r="I283">
        <v>0</v>
      </c>
      <c r="J283">
        <v>0</v>
      </c>
    </row>
    <row r="284" spans="1:10">
      <c r="A284">
        <v>1115</v>
      </c>
      <c r="B284">
        <v>0</v>
      </c>
      <c r="C284">
        <f>INT(装备拆分数值生成!M68)</f>
        <v>266</v>
      </c>
      <c r="D284">
        <v>0</v>
      </c>
      <c r="E284">
        <v>0</v>
      </c>
      <c r="F284">
        <f>INT(装备拆分数值生成!K68)</f>
        <v>3131</v>
      </c>
      <c r="G284">
        <v>0</v>
      </c>
      <c r="H284">
        <v>0</v>
      </c>
      <c r="I284">
        <v>0</v>
      </c>
      <c r="J284">
        <v>0</v>
      </c>
    </row>
    <row r="285" spans="1:10">
      <c r="A285">
        <v>1116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</row>
    <row r="286" spans="1:10">
      <c r="A286">
        <v>1211</v>
      </c>
      <c r="B286">
        <f>INT(装备拆分数值生成!L70)</f>
        <v>74</v>
      </c>
      <c r="C286">
        <v>0</v>
      </c>
      <c r="D286">
        <v>0</v>
      </c>
      <c r="E286">
        <v>0</v>
      </c>
      <c r="F286">
        <f>INT(装备拆分数值生成!K70)</f>
        <v>54</v>
      </c>
      <c r="G286">
        <v>0</v>
      </c>
      <c r="H286">
        <v>0</v>
      </c>
      <c r="I286">
        <v>0</v>
      </c>
      <c r="J286">
        <v>0</v>
      </c>
    </row>
    <row r="287" spans="1:10">
      <c r="A287">
        <v>1212</v>
      </c>
      <c r="B287">
        <f>INT(装备拆分数值生成!L71)</f>
        <v>140</v>
      </c>
      <c r="C287">
        <v>0</v>
      </c>
      <c r="D287">
        <v>0</v>
      </c>
      <c r="E287">
        <v>0</v>
      </c>
      <c r="F287">
        <f>INT(装备拆分数值生成!K71)</f>
        <v>102</v>
      </c>
      <c r="G287">
        <v>0</v>
      </c>
      <c r="H287">
        <v>0</v>
      </c>
      <c r="I287">
        <v>0</v>
      </c>
      <c r="J287">
        <v>0</v>
      </c>
    </row>
    <row r="288" spans="1:10">
      <c r="A288">
        <v>1213</v>
      </c>
      <c r="B288">
        <f>INT(装备拆分数值生成!L72)</f>
        <v>251</v>
      </c>
      <c r="C288">
        <v>0</v>
      </c>
      <c r="D288">
        <v>0</v>
      </c>
      <c r="E288">
        <v>0</v>
      </c>
      <c r="F288">
        <f>INT(装备拆分数值生成!K72)</f>
        <v>184</v>
      </c>
      <c r="G288">
        <v>0</v>
      </c>
      <c r="H288">
        <v>0</v>
      </c>
      <c r="I288">
        <v>0</v>
      </c>
      <c r="J288">
        <v>0</v>
      </c>
    </row>
    <row r="289" spans="1:10">
      <c r="A289">
        <v>1214</v>
      </c>
      <c r="B289">
        <f>INT(装备拆分数值生成!L73)</f>
        <v>531</v>
      </c>
      <c r="C289">
        <v>0</v>
      </c>
      <c r="D289">
        <v>0</v>
      </c>
      <c r="E289">
        <v>0</v>
      </c>
      <c r="F289">
        <f>INT(装备拆分数值生成!K73)</f>
        <v>389</v>
      </c>
      <c r="G289">
        <v>0</v>
      </c>
      <c r="H289">
        <v>0</v>
      </c>
      <c r="I289">
        <v>0</v>
      </c>
      <c r="J289">
        <v>0</v>
      </c>
    </row>
    <row r="290" spans="1:10">
      <c r="A290">
        <v>1215</v>
      </c>
      <c r="B290">
        <f>INT(装备拆分数值生成!L74)</f>
        <v>1067</v>
      </c>
      <c r="C290">
        <v>0</v>
      </c>
      <c r="D290">
        <v>0</v>
      </c>
      <c r="E290">
        <v>0</v>
      </c>
      <c r="F290">
        <f>INT(装备拆分数值生成!K74)</f>
        <v>782</v>
      </c>
      <c r="G290">
        <v>0</v>
      </c>
      <c r="H290">
        <v>0</v>
      </c>
      <c r="I290">
        <v>0</v>
      </c>
      <c r="J290">
        <v>0</v>
      </c>
    </row>
    <row r="291" spans="1:10">
      <c r="A291">
        <v>1216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1:10">
      <c r="A292">
        <v>1311</v>
      </c>
      <c r="B292">
        <f>INT(装备拆分数值生成!S40)</f>
        <v>74</v>
      </c>
      <c r="C292">
        <f>INT(装备拆分数值生成!T40)</f>
        <v>148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1:10">
      <c r="A293">
        <v>1312</v>
      </c>
      <c r="B293">
        <f>INT(装备拆分数值生成!S41)</f>
        <v>140</v>
      </c>
      <c r="C293">
        <f>INT(装备拆分数值生成!T41)</f>
        <v>280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>
      <c r="A294">
        <v>1313</v>
      </c>
      <c r="B294">
        <f>INT(装备拆分数值生成!S42)</f>
        <v>251</v>
      </c>
      <c r="C294">
        <f>INT(装备拆分数值生成!T42)</f>
        <v>503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</row>
    <row r="295" spans="1:10">
      <c r="A295">
        <v>1314</v>
      </c>
      <c r="B295">
        <f>INT(装备拆分数值生成!S43)</f>
        <v>531</v>
      </c>
      <c r="C295">
        <f>INT(装备拆分数值生成!T43)</f>
        <v>1062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</row>
    <row r="296" spans="1:10">
      <c r="A296">
        <v>1315</v>
      </c>
      <c r="B296">
        <f>INT(装备拆分数值生成!S44)</f>
        <v>1067</v>
      </c>
      <c r="C296">
        <f>INT(装备拆分数值生成!T44)</f>
        <v>2135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</row>
    <row r="297" spans="1:10">
      <c r="A297">
        <v>1316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</row>
    <row r="298" spans="1:10">
      <c r="A298">
        <v>1411</v>
      </c>
      <c r="B298">
        <v>0</v>
      </c>
      <c r="C298">
        <v>0</v>
      </c>
      <c r="D298">
        <v>0</v>
      </c>
      <c r="E298">
        <v>0</v>
      </c>
      <c r="F298">
        <f>INT(装备拆分数值生成!R46)</f>
        <v>272</v>
      </c>
      <c r="G298">
        <v>0</v>
      </c>
      <c r="H298">
        <v>0</v>
      </c>
      <c r="I298">
        <v>0</v>
      </c>
      <c r="J298">
        <v>0</v>
      </c>
    </row>
    <row r="299" spans="1:10">
      <c r="A299">
        <v>1412</v>
      </c>
      <c r="B299">
        <v>0</v>
      </c>
      <c r="C299">
        <v>0</v>
      </c>
      <c r="D299">
        <v>0</v>
      </c>
      <c r="E299">
        <v>0</v>
      </c>
      <c r="F299">
        <f>INT(装备拆分数值生成!R47)</f>
        <v>514</v>
      </c>
      <c r="G299">
        <v>0</v>
      </c>
      <c r="H299">
        <v>0</v>
      </c>
      <c r="I299">
        <v>0</v>
      </c>
      <c r="J299">
        <v>0</v>
      </c>
    </row>
    <row r="300" spans="1:10">
      <c r="A300">
        <v>1413</v>
      </c>
      <c r="B300">
        <v>0</v>
      </c>
      <c r="C300">
        <v>0</v>
      </c>
      <c r="D300">
        <v>0</v>
      </c>
      <c r="E300">
        <v>0</v>
      </c>
      <c r="F300">
        <f>INT(装备拆分数值生成!R48)</f>
        <v>923</v>
      </c>
      <c r="G300">
        <v>0</v>
      </c>
      <c r="H300">
        <v>0</v>
      </c>
      <c r="I300">
        <v>0</v>
      </c>
      <c r="J300">
        <v>0</v>
      </c>
    </row>
    <row r="301" spans="1:10">
      <c r="A301">
        <v>1414</v>
      </c>
      <c r="B301">
        <v>0</v>
      </c>
      <c r="C301">
        <v>0</v>
      </c>
      <c r="D301">
        <v>0</v>
      </c>
      <c r="E301">
        <v>0</v>
      </c>
      <c r="F301">
        <f>INT(装备拆分数值生成!R49)</f>
        <v>1947</v>
      </c>
      <c r="G301">
        <v>0</v>
      </c>
      <c r="H301">
        <v>0</v>
      </c>
      <c r="I301">
        <v>0</v>
      </c>
      <c r="J301">
        <v>0</v>
      </c>
    </row>
    <row r="302" spans="1:10">
      <c r="A302">
        <v>1415</v>
      </c>
      <c r="B302">
        <v>0</v>
      </c>
      <c r="C302">
        <v>0</v>
      </c>
      <c r="D302">
        <v>0</v>
      </c>
      <c r="E302">
        <v>0</v>
      </c>
      <c r="F302">
        <f>INT(装备拆分数值生成!R50)</f>
        <v>3914</v>
      </c>
      <c r="G302">
        <v>0</v>
      </c>
      <c r="H302">
        <v>0</v>
      </c>
      <c r="I302">
        <v>0</v>
      </c>
      <c r="J302">
        <v>0</v>
      </c>
    </row>
    <row r="303" spans="1:10">
      <c r="A303">
        <v>1416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</row>
    <row r="304" spans="1:10">
      <c r="A304">
        <v>1511</v>
      </c>
      <c r="B304">
        <v>0</v>
      </c>
      <c r="C304">
        <v>0</v>
      </c>
      <c r="D304">
        <v>0</v>
      </c>
      <c r="E304">
        <f>INT(装备拆分数值生成!U52)</f>
        <v>71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>
      <c r="A305">
        <v>1512</v>
      </c>
      <c r="B305">
        <v>0</v>
      </c>
      <c r="C305">
        <v>0</v>
      </c>
      <c r="D305">
        <v>0</v>
      </c>
      <c r="E305">
        <f>INT(装备拆分数值生成!U53)</f>
        <v>133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>
      <c r="A306">
        <v>1513</v>
      </c>
      <c r="B306">
        <v>0</v>
      </c>
      <c r="C306">
        <v>0</v>
      </c>
      <c r="D306">
        <v>0</v>
      </c>
      <c r="E306">
        <f>INT(装备拆分数值生成!U54)</f>
        <v>240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>
      <c r="A307">
        <v>1514</v>
      </c>
      <c r="B307">
        <v>0</v>
      </c>
      <c r="C307">
        <v>0</v>
      </c>
      <c r="D307">
        <v>0</v>
      </c>
      <c r="E307">
        <f>INT(装备拆分数值生成!U55)</f>
        <v>507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>
      <c r="A308">
        <v>1515</v>
      </c>
      <c r="B308">
        <v>0</v>
      </c>
      <c r="C308">
        <v>0</v>
      </c>
      <c r="D308">
        <v>0</v>
      </c>
      <c r="E308">
        <f>INT(装备拆分数值生成!U56)</f>
        <v>1018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>
      <c r="A309">
        <v>1516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</row>
    <row r="310" spans="1:10">
      <c r="A310">
        <v>1611</v>
      </c>
      <c r="B310">
        <v>0</v>
      </c>
      <c r="C310">
        <f>INT(装备拆分数值生成!T58)</f>
        <v>37</v>
      </c>
      <c r="D310">
        <v>0</v>
      </c>
      <c r="E310">
        <f>INT(装备拆分数值生成!U58)</f>
        <v>53</v>
      </c>
      <c r="F310">
        <v>0</v>
      </c>
      <c r="G310">
        <v>0</v>
      </c>
      <c r="H310">
        <v>0</v>
      </c>
      <c r="I310">
        <v>0</v>
      </c>
      <c r="J310">
        <v>0</v>
      </c>
    </row>
    <row r="311" spans="1:10">
      <c r="A311">
        <v>1612</v>
      </c>
      <c r="B311">
        <v>0</v>
      </c>
      <c r="C311">
        <f>INT(装备拆分数值生成!T59)</f>
        <v>70</v>
      </c>
      <c r="D311">
        <v>0</v>
      </c>
      <c r="E311">
        <f>INT(装备拆分数值生成!U59)</f>
        <v>100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>
      <c r="A312">
        <v>1613</v>
      </c>
      <c r="B312">
        <v>0</v>
      </c>
      <c r="C312">
        <f>INT(装备拆分数值生成!T60)</f>
        <v>125</v>
      </c>
      <c r="D312">
        <v>0</v>
      </c>
      <c r="E312">
        <f>INT(装备拆分数值生成!U60)</f>
        <v>180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>
      <c r="A313">
        <v>1614</v>
      </c>
      <c r="B313">
        <v>0</v>
      </c>
      <c r="C313">
        <f>INT(装备拆分数值生成!T61)</f>
        <v>265</v>
      </c>
      <c r="D313">
        <v>0</v>
      </c>
      <c r="E313">
        <f>INT(装备拆分数值生成!U61)</f>
        <v>380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>
      <c r="A314">
        <v>1615</v>
      </c>
      <c r="B314">
        <v>0</v>
      </c>
      <c r="C314">
        <f>INT(装备拆分数值生成!T62)</f>
        <v>533</v>
      </c>
      <c r="D314">
        <v>0</v>
      </c>
      <c r="E314">
        <f>INT(装备拆分数值生成!U62)</f>
        <v>764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>
      <c r="A315">
        <v>1616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</row>
    <row r="316" spans="1:10">
      <c r="A316">
        <v>1711</v>
      </c>
      <c r="B316">
        <f>INT(装备拆分数值生成!S64)</f>
        <v>18</v>
      </c>
      <c r="C316">
        <v>0</v>
      </c>
      <c r="D316">
        <v>0</v>
      </c>
      <c r="E316">
        <v>0</v>
      </c>
      <c r="F316">
        <f>INT(装备拆分数值生成!R64)</f>
        <v>218</v>
      </c>
      <c r="G316">
        <v>0</v>
      </c>
      <c r="H316">
        <v>0</v>
      </c>
      <c r="I316">
        <v>0</v>
      </c>
      <c r="J316">
        <v>0</v>
      </c>
    </row>
    <row r="317" spans="1:10">
      <c r="A317">
        <v>1712</v>
      </c>
      <c r="B317">
        <f>INT(装备拆分数值生成!S65)</f>
        <v>35</v>
      </c>
      <c r="C317">
        <v>0</v>
      </c>
      <c r="D317">
        <v>0</v>
      </c>
      <c r="E317">
        <v>0</v>
      </c>
      <c r="F317">
        <f>INT(装备拆分数值生成!R65)</f>
        <v>411</v>
      </c>
      <c r="G317">
        <v>0</v>
      </c>
      <c r="H317">
        <v>0</v>
      </c>
      <c r="I317">
        <v>0</v>
      </c>
      <c r="J317">
        <v>0</v>
      </c>
    </row>
    <row r="318" spans="1:10">
      <c r="A318">
        <v>1713</v>
      </c>
      <c r="B318">
        <f>INT(装备拆分数值生成!S66)</f>
        <v>62</v>
      </c>
      <c r="C318">
        <v>0</v>
      </c>
      <c r="D318">
        <v>0</v>
      </c>
      <c r="E318">
        <v>0</v>
      </c>
      <c r="F318">
        <f>INT(装备拆分数值生成!R66)</f>
        <v>738</v>
      </c>
      <c r="G318">
        <v>0</v>
      </c>
      <c r="H318">
        <v>0</v>
      </c>
      <c r="I318">
        <v>0</v>
      </c>
      <c r="J318">
        <v>0</v>
      </c>
    </row>
    <row r="319" spans="1:10">
      <c r="A319">
        <v>1714</v>
      </c>
      <c r="B319">
        <f>INT(装备拆分数值生成!S67)</f>
        <v>132</v>
      </c>
      <c r="C319">
        <v>0</v>
      </c>
      <c r="D319">
        <v>0</v>
      </c>
      <c r="E319">
        <v>0</v>
      </c>
      <c r="F319">
        <f>INT(装备拆分数值生成!R67)</f>
        <v>1558</v>
      </c>
      <c r="G319">
        <v>0</v>
      </c>
      <c r="H319">
        <v>0</v>
      </c>
      <c r="I319">
        <v>0</v>
      </c>
      <c r="J319">
        <v>0</v>
      </c>
    </row>
    <row r="320" spans="1:10">
      <c r="A320">
        <v>1715</v>
      </c>
      <c r="B320">
        <f>INT(装备拆分数值生成!S68)</f>
        <v>266</v>
      </c>
      <c r="C320">
        <v>0</v>
      </c>
      <c r="D320">
        <v>0</v>
      </c>
      <c r="E320">
        <v>0</v>
      </c>
      <c r="F320">
        <f>INT(装备拆分数值生成!R68)</f>
        <v>3131</v>
      </c>
      <c r="G320">
        <v>0</v>
      </c>
      <c r="H320">
        <v>0</v>
      </c>
      <c r="I320">
        <v>0</v>
      </c>
      <c r="J320">
        <v>0</v>
      </c>
    </row>
    <row r="321" spans="1:10">
      <c r="A321">
        <v>1716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>
      <c r="A322">
        <v>1811</v>
      </c>
      <c r="B322">
        <v>0</v>
      </c>
      <c r="C322">
        <f>INT(装备拆分数值生成!T70)</f>
        <v>74</v>
      </c>
      <c r="D322">
        <v>0</v>
      </c>
      <c r="E322">
        <v>0</v>
      </c>
      <c r="F322">
        <f>INT(装备拆分数值生成!R70)</f>
        <v>54</v>
      </c>
      <c r="G322">
        <v>0</v>
      </c>
      <c r="H322">
        <v>0</v>
      </c>
      <c r="I322">
        <v>0</v>
      </c>
      <c r="J322">
        <v>0</v>
      </c>
    </row>
    <row r="323" spans="1:10">
      <c r="A323">
        <v>1812</v>
      </c>
      <c r="B323">
        <v>0</v>
      </c>
      <c r="C323">
        <f>INT(装备拆分数值生成!T71)</f>
        <v>140</v>
      </c>
      <c r="D323">
        <v>0</v>
      </c>
      <c r="E323">
        <v>0</v>
      </c>
      <c r="F323">
        <f>INT(装备拆分数值生成!R71)</f>
        <v>102</v>
      </c>
      <c r="G323">
        <v>0</v>
      </c>
      <c r="H323">
        <v>0</v>
      </c>
      <c r="I323">
        <v>0</v>
      </c>
      <c r="J323">
        <v>0</v>
      </c>
    </row>
    <row r="324" spans="1:10">
      <c r="A324">
        <v>1813</v>
      </c>
      <c r="B324">
        <v>0</v>
      </c>
      <c r="C324">
        <f>INT(装备拆分数值生成!T72)</f>
        <v>251</v>
      </c>
      <c r="D324">
        <v>0</v>
      </c>
      <c r="E324">
        <v>0</v>
      </c>
      <c r="F324">
        <f>INT(装备拆分数值生成!R72)</f>
        <v>184</v>
      </c>
      <c r="G324">
        <v>0</v>
      </c>
      <c r="H324">
        <v>0</v>
      </c>
      <c r="I324">
        <v>0</v>
      </c>
      <c r="J324">
        <v>0</v>
      </c>
    </row>
    <row r="325" spans="1:10">
      <c r="A325">
        <v>1814</v>
      </c>
      <c r="B325">
        <v>0</v>
      </c>
      <c r="C325">
        <f>INT(装备拆分数值生成!T73)</f>
        <v>531</v>
      </c>
      <c r="D325">
        <v>0</v>
      </c>
      <c r="E325">
        <v>0</v>
      </c>
      <c r="F325">
        <f>INT(装备拆分数值生成!R73)</f>
        <v>389</v>
      </c>
      <c r="G325">
        <v>0</v>
      </c>
      <c r="H325">
        <v>0</v>
      </c>
      <c r="I325">
        <v>0</v>
      </c>
      <c r="J325">
        <v>0</v>
      </c>
    </row>
    <row r="326" spans="1:10">
      <c r="A326">
        <v>1815</v>
      </c>
      <c r="B326">
        <v>0</v>
      </c>
      <c r="C326">
        <f>INT(装备拆分数值生成!T74)</f>
        <v>1067</v>
      </c>
      <c r="D326">
        <v>0</v>
      </c>
      <c r="E326">
        <v>0</v>
      </c>
      <c r="F326">
        <f>INT(装备拆分数值生成!R74)</f>
        <v>782</v>
      </c>
      <c r="G326">
        <v>0</v>
      </c>
      <c r="H326">
        <v>0</v>
      </c>
      <c r="I326">
        <v>0</v>
      </c>
      <c r="J326">
        <v>0</v>
      </c>
    </row>
    <row r="327" spans="1:10">
      <c r="A327">
        <v>1816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>
      <c r="A328">
        <v>1911</v>
      </c>
      <c r="B328">
        <f>INT(装备拆分数值生成!AG40)</f>
        <v>111</v>
      </c>
      <c r="C328">
        <f>INT(装备拆分数值生成!AH40)</f>
        <v>111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</row>
    <row r="329" spans="1:10">
      <c r="A329">
        <v>1912</v>
      </c>
      <c r="B329">
        <f>INT(装备拆分数值生成!AG41)</f>
        <v>210</v>
      </c>
      <c r="C329">
        <f>INT(装备拆分数值生成!AH41)</f>
        <v>210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>
      <c r="A330">
        <v>1913</v>
      </c>
      <c r="B330">
        <f>INT(装备拆分数值生成!AG42)</f>
        <v>377</v>
      </c>
      <c r="C330">
        <f>INT(装备拆分数值生成!AH42)</f>
        <v>377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</row>
    <row r="331" spans="1:10">
      <c r="A331">
        <v>1914</v>
      </c>
      <c r="B331">
        <f>INT(装备拆分数值生成!AG43)</f>
        <v>796</v>
      </c>
      <c r="C331">
        <f>INT(装备拆分数值生成!AH43)</f>
        <v>796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</row>
    <row r="332" spans="1:10">
      <c r="A332">
        <v>1915</v>
      </c>
      <c r="B332">
        <f>INT(装备拆分数值生成!AG44)</f>
        <v>1601</v>
      </c>
      <c r="C332">
        <f>INT(装备拆分数值生成!AH44)</f>
        <v>1601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ht="14.25" customHeight="1">
      <c r="A333">
        <v>1916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</row>
    <row r="334" spans="1:10">
      <c r="A334">
        <v>2011</v>
      </c>
      <c r="B334">
        <v>0</v>
      </c>
      <c r="C334">
        <v>0</v>
      </c>
      <c r="D334">
        <v>0</v>
      </c>
      <c r="E334">
        <v>0</v>
      </c>
      <c r="F334">
        <f>INT(装备拆分数值生成!AF46)</f>
        <v>272</v>
      </c>
      <c r="G334">
        <v>0</v>
      </c>
      <c r="H334">
        <v>0</v>
      </c>
      <c r="I334">
        <v>0</v>
      </c>
      <c r="J334">
        <v>0</v>
      </c>
    </row>
    <row r="335" spans="1:10">
      <c r="A335">
        <v>2012</v>
      </c>
      <c r="B335">
        <v>0</v>
      </c>
      <c r="C335">
        <v>0</v>
      </c>
      <c r="D335">
        <v>0</v>
      </c>
      <c r="E335">
        <v>0</v>
      </c>
      <c r="F335">
        <f>INT(装备拆分数值生成!AF47)</f>
        <v>514</v>
      </c>
      <c r="G335">
        <v>0</v>
      </c>
      <c r="H335">
        <v>0</v>
      </c>
      <c r="I335">
        <v>0</v>
      </c>
      <c r="J335">
        <v>0</v>
      </c>
    </row>
    <row r="336" spans="1:10">
      <c r="A336">
        <v>2013</v>
      </c>
      <c r="B336">
        <v>0</v>
      </c>
      <c r="C336">
        <v>0</v>
      </c>
      <c r="D336">
        <v>0</v>
      </c>
      <c r="E336">
        <v>0</v>
      </c>
      <c r="F336">
        <f>INT(装备拆分数值生成!AF48)</f>
        <v>923</v>
      </c>
      <c r="G336">
        <v>0</v>
      </c>
      <c r="H336">
        <v>0</v>
      </c>
      <c r="I336">
        <v>0</v>
      </c>
      <c r="J336">
        <v>0</v>
      </c>
    </row>
    <row r="337" spans="1:10">
      <c r="A337">
        <v>2014</v>
      </c>
      <c r="B337">
        <v>0</v>
      </c>
      <c r="C337">
        <v>0</v>
      </c>
      <c r="D337">
        <v>0</v>
      </c>
      <c r="E337">
        <v>0</v>
      </c>
      <c r="F337">
        <f>INT(装备拆分数值生成!AF49)</f>
        <v>1947</v>
      </c>
      <c r="G337">
        <v>0</v>
      </c>
      <c r="H337">
        <v>0</v>
      </c>
      <c r="I337">
        <v>0</v>
      </c>
      <c r="J337">
        <v>0</v>
      </c>
    </row>
    <row r="338" spans="1:10">
      <c r="A338">
        <v>2015</v>
      </c>
      <c r="B338">
        <v>0</v>
      </c>
      <c r="C338">
        <v>0</v>
      </c>
      <c r="D338">
        <v>0</v>
      </c>
      <c r="E338">
        <v>0</v>
      </c>
      <c r="F338">
        <f>INT(装备拆分数值生成!AF50)</f>
        <v>3914</v>
      </c>
      <c r="G338">
        <v>0</v>
      </c>
      <c r="H338">
        <v>0</v>
      </c>
      <c r="I338">
        <v>0</v>
      </c>
      <c r="J338">
        <v>0</v>
      </c>
    </row>
    <row r="339" spans="1:10">
      <c r="A339">
        <v>2016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</row>
    <row r="340" spans="1:10">
      <c r="A340">
        <v>2111</v>
      </c>
      <c r="B340">
        <v>0</v>
      </c>
      <c r="C340">
        <v>0</v>
      </c>
      <c r="D340">
        <v>0</v>
      </c>
      <c r="E340">
        <f>INT(装备拆分数值生成!AI52)</f>
        <v>88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>
      <c r="A341">
        <v>2112</v>
      </c>
      <c r="B341">
        <v>0</v>
      </c>
      <c r="C341">
        <v>0</v>
      </c>
      <c r="D341">
        <v>0</v>
      </c>
      <c r="E341">
        <f>INT(装备拆分数值生成!AI53)</f>
        <v>167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>
      <c r="A342">
        <v>2113</v>
      </c>
      <c r="B342">
        <v>0</v>
      </c>
      <c r="C342">
        <v>0</v>
      </c>
      <c r="D342">
        <v>0</v>
      </c>
      <c r="E342">
        <f>INT(装备拆分数值生成!AI54)</f>
        <v>300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>
      <c r="A343">
        <v>2114</v>
      </c>
      <c r="B343">
        <v>0</v>
      </c>
      <c r="C343">
        <v>0</v>
      </c>
      <c r="D343">
        <v>0</v>
      </c>
      <c r="E343">
        <f>INT(装备拆分数值生成!AI55)</f>
        <v>633</v>
      </c>
      <c r="F343">
        <v>0</v>
      </c>
      <c r="G343">
        <v>0</v>
      </c>
      <c r="H343">
        <v>0</v>
      </c>
      <c r="I343">
        <v>0</v>
      </c>
      <c r="J343">
        <v>0</v>
      </c>
    </row>
    <row r="344" spans="1:10">
      <c r="A344">
        <v>2115</v>
      </c>
      <c r="B344">
        <v>0</v>
      </c>
      <c r="C344">
        <v>0</v>
      </c>
      <c r="D344">
        <v>0</v>
      </c>
      <c r="E344">
        <f>INT(装备拆分数值生成!AI56)</f>
        <v>1273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>
      <c r="A345">
        <v>2116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</row>
    <row r="346" spans="1:10">
      <c r="A346">
        <v>2211</v>
      </c>
      <c r="B346">
        <v>0</v>
      </c>
      <c r="C346">
        <v>0</v>
      </c>
      <c r="D346">
        <v>0</v>
      </c>
      <c r="E346">
        <f>INT(装备拆分数值生成!AI58)</f>
        <v>53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>
      <c r="A347">
        <v>2212</v>
      </c>
      <c r="B347">
        <v>0</v>
      </c>
      <c r="C347">
        <v>0</v>
      </c>
      <c r="D347">
        <v>0</v>
      </c>
      <c r="E347">
        <f>INT(装备拆分数值生成!AI59)</f>
        <v>100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>
      <c r="A348">
        <v>2213</v>
      </c>
      <c r="B348">
        <v>0</v>
      </c>
      <c r="C348">
        <v>0</v>
      </c>
      <c r="D348">
        <v>0</v>
      </c>
      <c r="E348">
        <f>INT(装备拆分数值生成!AI60)</f>
        <v>180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>
      <c r="A349">
        <v>2214</v>
      </c>
      <c r="B349">
        <v>0</v>
      </c>
      <c r="C349">
        <v>0</v>
      </c>
      <c r="D349">
        <v>0</v>
      </c>
      <c r="E349">
        <f>INT(装备拆分数值生成!AI61)</f>
        <v>380</v>
      </c>
      <c r="F349">
        <v>0</v>
      </c>
      <c r="G349">
        <v>0</v>
      </c>
      <c r="H349">
        <v>0</v>
      </c>
      <c r="I349">
        <v>0</v>
      </c>
      <c r="J349">
        <v>0</v>
      </c>
    </row>
    <row r="350" spans="1:10">
      <c r="A350">
        <v>2215</v>
      </c>
      <c r="B350">
        <v>0</v>
      </c>
      <c r="C350">
        <v>0</v>
      </c>
      <c r="D350">
        <v>0</v>
      </c>
      <c r="E350">
        <f>INT(装备拆分数值生成!AI62)</f>
        <v>764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>
      <c r="A351">
        <v>2216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</row>
    <row r="352" spans="1:10">
      <c r="A352">
        <v>2311</v>
      </c>
      <c r="B352">
        <v>0</v>
      </c>
      <c r="C352">
        <f>INT(装备拆分数值生成!AH64)</f>
        <v>37</v>
      </c>
      <c r="D352">
        <v>0</v>
      </c>
      <c r="E352">
        <v>0</v>
      </c>
      <c r="F352">
        <f>INT(装备拆分数值生成!AF64)</f>
        <v>163</v>
      </c>
      <c r="G352">
        <v>0</v>
      </c>
      <c r="H352">
        <v>0</v>
      </c>
      <c r="I352">
        <v>0</v>
      </c>
      <c r="J352">
        <v>0</v>
      </c>
    </row>
    <row r="353" spans="1:10">
      <c r="A353">
        <v>2312</v>
      </c>
      <c r="B353">
        <v>0</v>
      </c>
      <c r="C353">
        <f>INT(装备拆分数值生成!AH65)</f>
        <v>70</v>
      </c>
      <c r="D353">
        <v>0</v>
      </c>
      <c r="E353">
        <v>0</v>
      </c>
      <c r="F353">
        <f>INT(装备拆分数值生成!AF65)</f>
        <v>308</v>
      </c>
      <c r="G353">
        <v>0</v>
      </c>
      <c r="H353">
        <v>0</v>
      </c>
      <c r="I353">
        <v>0</v>
      </c>
      <c r="J353">
        <v>0</v>
      </c>
    </row>
    <row r="354" spans="1:10">
      <c r="A354">
        <v>2313</v>
      </c>
      <c r="B354">
        <v>0</v>
      </c>
      <c r="C354">
        <f>INT(装备拆分数值生成!AH66)</f>
        <v>125</v>
      </c>
      <c r="D354">
        <v>0</v>
      </c>
      <c r="E354">
        <v>0</v>
      </c>
      <c r="F354">
        <f>INT(装备拆分数值生成!AF66)</f>
        <v>553</v>
      </c>
      <c r="G354">
        <v>0</v>
      </c>
      <c r="H354">
        <v>0</v>
      </c>
      <c r="I354">
        <v>0</v>
      </c>
      <c r="J354">
        <v>0</v>
      </c>
    </row>
    <row r="355" spans="1:10">
      <c r="A355">
        <v>2314</v>
      </c>
      <c r="B355">
        <v>0</v>
      </c>
      <c r="C355">
        <f>INT(装备拆分数值生成!AH67)</f>
        <v>265</v>
      </c>
      <c r="D355">
        <v>0</v>
      </c>
      <c r="E355">
        <v>0</v>
      </c>
      <c r="F355">
        <f>INT(装备拆分数值生成!AF67)</f>
        <v>1168</v>
      </c>
      <c r="G355">
        <v>0</v>
      </c>
      <c r="H355">
        <v>0</v>
      </c>
      <c r="I355">
        <v>0</v>
      </c>
      <c r="J355">
        <v>0</v>
      </c>
    </row>
    <row r="356" spans="1:10">
      <c r="A356">
        <v>2315</v>
      </c>
      <c r="B356">
        <v>0</v>
      </c>
      <c r="C356">
        <f>INT(装备拆分数值生成!AH68)</f>
        <v>533</v>
      </c>
      <c r="D356">
        <v>0</v>
      </c>
      <c r="E356">
        <v>0</v>
      </c>
      <c r="F356">
        <f>INT(装备拆分数值生成!AF68)</f>
        <v>2348</v>
      </c>
      <c r="G356">
        <v>0</v>
      </c>
      <c r="H356">
        <v>0</v>
      </c>
      <c r="I356">
        <v>0</v>
      </c>
      <c r="J356">
        <v>0</v>
      </c>
    </row>
    <row r="357" spans="1:10">
      <c r="A357">
        <v>2316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>
      <c r="A358">
        <v>2411</v>
      </c>
      <c r="B358">
        <v>0</v>
      </c>
      <c r="C358">
        <v>0</v>
      </c>
      <c r="D358">
        <v>0</v>
      </c>
      <c r="E358">
        <f>INT(装备拆分数值生成!AI70)</f>
        <v>17</v>
      </c>
      <c r="F358">
        <f>INT(装备拆分数值生成!AF70)</f>
        <v>109</v>
      </c>
      <c r="G358">
        <v>0</v>
      </c>
      <c r="H358">
        <v>0</v>
      </c>
      <c r="I358">
        <v>0</v>
      </c>
      <c r="J358">
        <v>0</v>
      </c>
    </row>
    <row r="359" spans="1:10">
      <c r="A359">
        <v>2412</v>
      </c>
      <c r="B359">
        <v>0</v>
      </c>
      <c r="C359">
        <v>0</v>
      </c>
      <c r="D359">
        <v>0</v>
      </c>
      <c r="E359">
        <f>INT(装备拆分数值生成!AI71)</f>
        <v>33</v>
      </c>
      <c r="F359">
        <f>INT(装备拆分数值生成!AF71)</f>
        <v>205</v>
      </c>
      <c r="G359">
        <v>0</v>
      </c>
      <c r="H359">
        <v>0</v>
      </c>
      <c r="I359">
        <v>0</v>
      </c>
      <c r="J359">
        <v>0</v>
      </c>
    </row>
    <row r="360" spans="1:10">
      <c r="A360">
        <v>2413</v>
      </c>
      <c r="B360">
        <v>0</v>
      </c>
      <c r="C360">
        <v>0</v>
      </c>
      <c r="D360">
        <v>0</v>
      </c>
      <c r="E360">
        <f>INT(装备拆分数值生成!AI72)</f>
        <v>60</v>
      </c>
      <c r="F360">
        <f>INT(装备拆分数值生成!AF72)</f>
        <v>369</v>
      </c>
      <c r="G360">
        <v>0</v>
      </c>
      <c r="H360">
        <v>0</v>
      </c>
      <c r="I360">
        <v>0</v>
      </c>
      <c r="J360">
        <v>0</v>
      </c>
    </row>
    <row r="361" spans="1:10">
      <c r="A361">
        <v>2414</v>
      </c>
      <c r="B361">
        <v>0</v>
      </c>
      <c r="C361">
        <v>0</v>
      </c>
      <c r="D361">
        <v>0</v>
      </c>
      <c r="E361">
        <f>INT(装备拆分数值生成!AI73)</f>
        <v>126</v>
      </c>
      <c r="F361">
        <f>INT(装备拆分数值生成!AF73)</f>
        <v>779</v>
      </c>
      <c r="G361">
        <v>0</v>
      </c>
      <c r="H361">
        <v>0</v>
      </c>
      <c r="I361">
        <v>0</v>
      </c>
      <c r="J361">
        <v>0</v>
      </c>
    </row>
    <row r="362" spans="1:10">
      <c r="A362">
        <v>2415</v>
      </c>
      <c r="B362">
        <v>0</v>
      </c>
      <c r="C362">
        <v>0</v>
      </c>
      <c r="D362">
        <v>0</v>
      </c>
      <c r="E362">
        <f>INT(装备拆分数值生成!AI74)</f>
        <v>254</v>
      </c>
      <c r="F362">
        <f>INT(装备拆分数值生成!AF74)</f>
        <v>1565</v>
      </c>
      <c r="G362">
        <v>0</v>
      </c>
      <c r="H362">
        <v>0</v>
      </c>
      <c r="I362">
        <v>0</v>
      </c>
      <c r="J362">
        <v>0</v>
      </c>
    </row>
    <row r="363" spans="1:10">
      <c r="A363">
        <v>2416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354</v>
      </c>
    </row>
    <row r="7" spans="4:11">
      <c r="F7" t="s">
        <v>314</v>
      </c>
    </row>
    <row r="8" spans="4:11">
      <c r="F8" t="s">
        <v>324</v>
      </c>
      <c r="H8" t="s">
        <v>323</v>
      </c>
    </row>
    <row r="9" spans="4:11">
      <c r="E9" t="s">
        <v>317</v>
      </c>
      <c r="F9">
        <v>1</v>
      </c>
      <c r="G9">
        <v>300</v>
      </c>
      <c r="K9" t="s">
        <v>318</v>
      </c>
    </row>
    <row r="10" spans="4:11">
      <c r="F10">
        <v>3</v>
      </c>
      <c r="G10">
        <v>400</v>
      </c>
      <c r="K10" t="s">
        <v>318</v>
      </c>
    </row>
    <row r="11" spans="4:11">
      <c r="F11">
        <v>7</v>
      </c>
      <c r="G11">
        <v>500</v>
      </c>
      <c r="K11" t="s">
        <v>318</v>
      </c>
    </row>
    <row r="12" spans="4:11">
      <c r="F12">
        <v>10</v>
      </c>
      <c r="G12">
        <v>700</v>
      </c>
      <c r="K12" t="s">
        <v>318</v>
      </c>
    </row>
    <row r="14" spans="4:11">
      <c r="D14" s="46" t="s">
        <v>360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P305"/>
  <sheetViews>
    <sheetView tabSelected="1" workbookViewId="0">
      <pane xSplit="2" ySplit="1" topLeftCell="C119" activePane="bottomRight" state="frozen"/>
      <selection pane="topRight" activeCell="C1" sqref="C1"/>
      <selection pane="bottomLeft" activeCell="A2" sqref="A2"/>
      <selection pane="bottomRight" activeCell="P167" sqref="P167"/>
    </sheetView>
  </sheetViews>
  <sheetFormatPr defaultRowHeight="16.5" outlineLevelCol="1"/>
  <cols>
    <col min="1" max="1" width="15.375" style="61" bestFit="1" customWidth="1"/>
    <col min="2" max="5" width="9" style="61"/>
    <col min="6" max="19" width="9" style="61" customWidth="1" outlineLevel="1"/>
    <col min="20" max="21" width="30.25" style="61" customWidth="1" outlineLevel="1"/>
    <col min="22" max="25" width="9" style="62"/>
    <col min="26" max="35" width="9" style="61"/>
    <col min="36" max="43" width="9" style="61" customWidth="1" outlineLevel="1"/>
    <col min="44" max="16384" width="9" style="61"/>
  </cols>
  <sheetData>
    <row r="1" spans="2:68">
      <c r="C1" s="61" t="s">
        <v>391</v>
      </c>
      <c r="D1" s="61" t="s">
        <v>395</v>
      </c>
      <c r="E1" s="90" t="s">
        <v>494</v>
      </c>
      <c r="F1" s="61" t="s">
        <v>392</v>
      </c>
      <c r="G1" s="61" t="s">
        <v>409</v>
      </c>
      <c r="H1" s="61" t="s">
        <v>393</v>
      </c>
      <c r="J1" s="61" t="s">
        <v>431</v>
      </c>
      <c r="L1" s="61" t="s">
        <v>432</v>
      </c>
      <c r="N1" s="61" t="s">
        <v>528</v>
      </c>
      <c r="P1" s="61" t="s">
        <v>435</v>
      </c>
      <c r="R1" s="61" t="s">
        <v>527</v>
      </c>
      <c r="T1" s="61" t="s">
        <v>404</v>
      </c>
      <c r="V1" s="62" t="s">
        <v>405</v>
      </c>
      <c r="AB1" s="61" t="s">
        <v>396</v>
      </c>
      <c r="AC1" s="61" t="s">
        <v>397</v>
      </c>
      <c r="AD1" s="61" t="s">
        <v>398</v>
      </c>
      <c r="AE1" s="61" t="s">
        <v>399</v>
      </c>
      <c r="AF1" s="61" t="s">
        <v>400</v>
      </c>
      <c r="AG1" s="61" t="s">
        <v>401</v>
      </c>
      <c r="AH1" s="61" t="s">
        <v>402</v>
      </c>
      <c r="AL1" s="61" t="s">
        <v>412</v>
      </c>
      <c r="AM1" s="61" t="s">
        <v>413</v>
      </c>
      <c r="AN1" s="61" t="s">
        <v>414</v>
      </c>
      <c r="AP1" s="61" t="s">
        <v>449</v>
      </c>
      <c r="AR1" s="61" t="s">
        <v>419</v>
      </c>
    </row>
    <row r="2" spans="2:68" ht="17.25" thickBot="1">
      <c r="E2" s="90"/>
      <c r="V2" s="62" t="s">
        <v>398</v>
      </c>
      <c r="W2" s="62" t="s">
        <v>406</v>
      </c>
      <c r="X2" s="62" t="s">
        <v>407</v>
      </c>
      <c r="Y2" s="62" t="s">
        <v>408</v>
      </c>
      <c r="AK2" s="61" t="s">
        <v>415</v>
      </c>
      <c r="AL2" s="63">
        <v>0.97</v>
      </c>
      <c r="AM2" s="63">
        <v>1.3</v>
      </c>
      <c r="AN2" s="63">
        <v>1.2</v>
      </c>
      <c r="AO2" s="61">
        <f>AL2</f>
        <v>0.97</v>
      </c>
      <c r="AP2" s="61">
        <v>0</v>
      </c>
      <c r="AQ2" s="61">
        <v>1</v>
      </c>
      <c r="BM2" s="61" t="s">
        <v>433</v>
      </c>
    </row>
    <row r="3" spans="2:68" ht="17.25" thickBot="1">
      <c r="B3" s="97" t="s">
        <v>372</v>
      </c>
      <c r="C3" s="64" t="s">
        <v>425</v>
      </c>
      <c r="D3" s="64">
        <v>1</v>
      </c>
      <c r="E3" s="91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5"/>
      <c r="W3" s="65"/>
      <c r="X3" s="65"/>
      <c r="Y3" s="65"/>
      <c r="Z3" s="64"/>
      <c r="AA3" s="64"/>
      <c r="AB3" s="64"/>
      <c r="AC3" s="64"/>
      <c r="AD3" s="64">
        <f>VLOOKUP(D3,宠物成长生成表!$B$5:$J$103,3,0)*$AL$2</f>
        <v>1058.27</v>
      </c>
      <c r="AE3" s="64">
        <f>VLOOKUP(D3,宠物成长生成表!$B$5:$J$103,4,0)*$AL$3</f>
        <v>331.08</v>
      </c>
      <c r="AF3" s="64">
        <f>VLOOKUP(D3,宠物成长生成表!$B$5:$J$103,4,0)*$AL$4</f>
        <v>427.79999999999995</v>
      </c>
      <c r="AG3" s="64">
        <f>VLOOKUP(D3,宠物成长生成表!$B$5:$J$103,7,0)*$AL$5</f>
        <v>269.8</v>
      </c>
      <c r="AH3" s="64">
        <f>VLOOKUP(D3,宠物成长生成表!$B$5:$J$103,6,0)</f>
        <v>55</v>
      </c>
      <c r="AI3" s="64"/>
      <c r="AJ3" s="64"/>
      <c r="AK3" s="64" t="s">
        <v>416</v>
      </c>
      <c r="AL3" s="66">
        <v>0.89</v>
      </c>
      <c r="AM3" s="66">
        <v>0.8</v>
      </c>
      <c r="AN3" s="66">
        <v>0.9</v>
      </c>
      <c r="AO3" s="64">
        <f>AL4</f>
        <v>1.1499999999999999</v>
      </c>
      <c r="AP3" s="83">
        <v>1</v>
      </c>
      <c r="AQ3" s="84">
        <f>属性拆分生成!N2</f>
        <v>1.05</v>
      </c>
      <c r="AR3" s="64"/>
      <c r="AS3" s="65">
        <f t="shared" ref="AS3:AV4" si="0">V3+AD3</f>
        <v>1058.27</v>
      </c>
      <c r="AT3" s="65">
        <f t="shared" si="0"/>
        <v>331.08</v>
      </c>
      <c r="AU3" s="65">
        <f t="shared" si="0"/>
        <v>427.79999999999995</v>
      </c>
      <c r="AV3" s="67">
        <f t="shared" si="0"/>
        <v>269.8</v>
      </c>
      <c r="AW3" s="69"/>
      <c r="AX3" s="69"/>
      <c r="AY3" s="69"/>
      <c r="AZ3" s="69"/>
      <c r="BA3" s="69"/>
      <c r="BB3" s="69"/>
      <c r="BJ3" s="68"/>
      <c r="BL3" s="61" t="s">
        <v>434</v>
      </c>
      <c r="BM3" s="62" t="s">
        <v>398</v>
      </c>
      <c r="BN3" s="62" t="s">
        <v>406</v>
      </c>
      <c r="BO3" s="62" t="s">
        <v>407</v>
      </c>
      <c r="BP3" s="62" t="s">
        <v>408</v>
      </c>
    </row>
    <row r="4" spans="2:68" ht="17.25" thickBot="1">
      <c r="B4" s="98"/>
      <c r="C4" s="68" t="s">
        <v>426</v>
      </c>
      <c r="D4" s="68">
        <v>1</v>
      </c>
      <c r="E4" s="92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9"/>
      <c r="W4" s="69"/>
      <c r="X4" s="69"/>
      <c r="Y4" s="69"/>
      <c r="Z4" s="68"/>
      <c r="AA4" s="68"/>
      <c r="AB4" s="68"/>
      <c r="AC4" s="68"/>
      <c r="AD4" s="68">
        <f>VLOOKUP(D4,宠物成长生成表!$B$5:$J$103,3,0)*$AO$2</f>
        <v>1058.27</v>
      </c>
      <c r="AE4" s="68">
        <f>VLOOKUP(D4,宠物成长生成表!$B$5:$J$103,4,0)*$AO$3</f>
        <v>427.79999999999995</v>
      </c>
      <c r="AF4" s="68">
        <f>VLOOKUP(D4,宠物成长生成表!$B$5:$J$103,4,0)*$AO$4</f>
        <v>331.08</v>
      </c>
      <c r="AG4" s="68">
        <f>VLOOKUP(D4,宠物成长生成表!$B$5:$J$103,7,0)*$AO$5</f>
        <v>269.8</v>
      </c>
      <c r="AH4" s="68">
        <f>VLOOKUP(D4,宠物成长生成表!$B$5:$J$103,6,0)</f>
        <v>55</v>
      </c>
      <c r="AI4" s="68"/>
      <c r="AJ4" s="68"/>
      <c r="AK4" s="68" t="s">
        <v>417</v>
      </c>
      <c r="AL4" s="70">
        <v>1.1499999999999999</v>
      </c>
      <c r="AM4" s="70">
        <v>0.8</v>
      </c>
      <c r="AN4" s="70">
        <v>0.9</v>
      </c>
      <c r="AO4" s="68">
        <f>AL3</f>
        <v>0.89</v>
      </c>
      <c r="AP4" s="85">
        <v>2</v>
      </c>
      <c r="AQ4" s="84">
        <f>属性拆分生成!N3</f>
        <v>1.1499999999999999</v>
      </c>
      <c r="AR4" s="68"/>
      <c r="AS4" s="69">
        <f t="shared" si="0"/>
        <v>1058.27</v>
      </c>
      <c r="AT4" s="69">
        <f t="shared" si="0"/>
        <v>427.79999999999995</v>
      </c>
      <c r="AU4" s="69">
        <f t="shared" si="0"/>
        <v>331.08</v>
      </c>
      <c r="AV4" s="71">
        <f t="shared" si="0"/>
        <v>269.8</v>
      </c>
      <c r="AW4" s="69"/>
      <c r="AX4" s="69"/>
      <c r="AY4" s="69"/>
      <c r="AZ4" s="69"/>
      <c r="BA4" s="69"/>
      <c r="BB4" s="69"/>
      <c r="BC4" s="61">
        <f>AS4/BM4</f>
        <v>0.61708144796380093</v>
      </c>
      <c r="BD4" s="61">
        <f>AT4/BN4</f>
        <v>0.79581814123074612</v>
      </c>
      <c r="BE4" s="61">
        <f>AU4/BO4</f>
        <v>0.4766484307515117</v>
      </c>
      <c r="BF4" s="61">
        <f>AV4/BP4</f>
        <v>0.61631944444444453</v>
      </c>
      <c r="BJ4" s="68"/>
      <c r="BL4" s="61">
        <v>1</v>
      </c>
      <c r="BM4" s="79">
        <v>1714.96</v>
      </c>
      <c r="BN4" s="79">
        <v>537.56000000000006</v>
      </c>
      <c r="BO4" s="79">
        <v>694.59999999999991</v>
      </c>
      <c r="BP4" s="79">
        <v>437.76</v>
      </c>
    </row>
    <row r="5" spans="2:68" ht="17.25" thickBot="1">
      <c r="B5" s="99"/>
      <c r="C5" s="72"/>
      <c r="D5" s="72"/>
      <c r="E5" s="93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3"/>
      <c r="W5" s="73"/>
      <c r="X5" s="73"/>
      <c r="Y5" s="73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 t="s">
        <v>418</v>
      </c>
      <c r="AL5" s="74">
        <v>0.76</v>
      </c>
      <c r="AM5" s="74">
        <v>1.32</v>
      </c>
      <c r="AN5" s="74">
        <v>0.88</v>
      </c>
      <c r="AO5" s="72">
        <f>AL5</f>
        <v>0.76</v>
      </c>
      <c r="AP5" s="85">
        <v>3</v>
      </c>
      <c r="AQ5" s="84">
        <f>属性拆分生成!N4</f>
        <v>1.2</v>
      </c>
      <c r="AR5" s="72"/>
      <c r="AS5" s="73"/>
      <c r="AT5" s="73"/>
      <c r="AU5" s="73"/>
      <c r="AV5" s="75"/>
      <c r="AW5" s="69"/>
      <c r="AX5" s="69"/>
      <c r="AY5" s="69"/>
      <c r="AZ5" s="69"/>
      <c r="BA5" s="69"/>
      <c r="BB5" s="69"/>
      <c r="BJ5" s="68"/>
      <c r="BL5" s="61">
        <v>2</v>
      </c>
      <c r="BM5" s="79">
        <v>1783.83</v>
      </c>
      <c r="BN5" s="79">
        <v>558.91999999999996</v>
      </c>
      <c r="BO5" s="79">
        <v>722.19999999999993</v>
      </c>
      <c r="BP5" s="79">
        <v>455.24</v>
      </c>
    </row>
    <row r="6" spans="2:68" ht="17.25" thickBot="1">
      <c r="B6" s="97" t="s">
        <v>373</v>
      </c>
      <c r="C6" s="64" t="s">
        <v>425</v>
      </c>
      <c r="D6" s="64">
        <v>1</v>
      </c>
      <c r="E6" s="91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5"/>
      <c r="W6" s="65"/>
      <c r="X6" s="65"/>
      <c r="Y6" s="65"/>
      <c r="Z6" s="64"/>
      <c r="AA6" s="64"/>
      <c r="AB6" s="64"/>
      <c r="AC6" s="64"/>
      <c r="AD6" s="64">
        <f>VLOOKUP(D6,宠物成长生成表!$B$5:$J$103,3,0)*$AL$2</f>
        <v>1058.27</v>
      </c>
      <c r="AE6" s="64">
        <f>VLOOKUP(D6,宠物成长生成表!$B$5:$J$103,4,0)*$AL$3</f>
        <v>331.08</v>
      </c>
      <c r="AF6" s="64">
        <f>VLOOKUP(D6,宠物成长生成表!$B$5:$J$103,4,0)*$AL$4</f>
        <v>427.79999999999995</v>
      </c>
      <c r="AG6" s="64">
        <f>VLOOKUP(D6,宠物成长生成表!$B$5:$J$103,7,0)*$AL$5</f>
        <v>269.8</v>
      </c>
      <c r="AH6" s="64">
        <f>VLOOKUP(D6,宠物成长生成表!$B$5:$J$103,6,0)</f>
        <v>55</v>
      </c>
      <c r="AI6" s="64"/>
      <c r="AJ6" s="64"/>
      <c r="AK6" s="64"/>
      <c r="AL6" s="64"/>
      <c r="AM6" s="64"/>
      <c r="AN6" s="64"/>
      <c r="AO6" s="64"/>
      <c r="AP6" s="85">
        <v>4</v>
      </c>
      <c r="AQ6" s="84">
        <f>属性拆分生成!N5</f>
        <v>1.2833333333333301</v>
      </c>
      <c r="AR6" s="64"/>
      <c r="AS6" s="65">
        <f t="shared" ref="AS6:AV6" si="1">V6+AD6</f>
        <v>1058.27</v>
      </c>
      <c r="AT6" s="65">
        <f t="shared" si="1"/>
        <v>331.08</v>
      </c>
      <c r="AU6" s="65">
        <f t="shared" si="1"/>
        <v>427.79999999999995</v>
      </c>
      <c r="AV6" s="67">
        <f t="shared" si="1"/>
        <v>269.8</v>
      </c>
      <c r="AW6" s="69"/>
      <c r="AX6" s="69"/>
      <c r="AY6" s="69"/>
      <c r="AZ6" s="69"/>
      <c r="BA6" s="69"/>
      <c r="BB6" s="69"/>
      <c r="BJ6" s="68"/>
      <c r="BL6" s="61">
        <v>3</v>
      </c>
      <c r="BM6" s="79">
        <v>1853.6699999999998</v>
      </c>
      <c r="BN6" s="79">
        <v>581.16999999999996</v>
      </c>
      <c r="BO6" s="79">
        <v>750.94999999999993</v>
      </c>
      <c r="BP6" s="79">
        <v>473.48</v>
      </c>
    </row>
    <row r="7" spans="2:68" ht="17.25" thickBot="1">
      <c r="B7" s="98"/>
      <c r="C7" s="68" t="s">
        <v>426</v>
      </c>
      <c r="D7" s="68">
        <v>1</v>
      </c>
      <c r="E7" s="92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9"/>
      <c r="W7" s="69"/>
      <c r="X7" s="69"/>
      <c r="Y7" s="69"/>
      <c r="Z7" s="68"/>
      <c r="AA7" s="68"/>
      <c r="AB7" s="68"/>
      <c r="AC7" s="68"/>
      <c r="AD7" s="68">
        <f>VLOOKUP(D7,宠物成长生成表!$B$5:$J$103,3,0)*$AO$2</f>
        <v>1058.27</v>
      </c>
      <c r="AE7" s="68">
        <f>VLOOKUP(D7,宠物成长生成表!$B$5:$J$103,4,0)*$AO$3</f>
        <v>427.79999999999995</v>
      </c>
      <c r="AF7" s="68">
        <f>VLOOKUP(D7,宠物成长生成表!$B$5:$J$103,4,0)*$AO$4</f>
        <v>331.08</v>
      </c>
      <c r="AG7" s="68">
        <f>VLOOKUP(D7,宠物成长生成表!$B$5:$J$103,7,0)*$AO$5</f>
        <v>269.8</v>
      </c>
      <c r="AH7" s="68">
        <f>VLOOKUP(D7,宠物成长生成表!$B$5:$J$103,6,0)</f>
        <v>55</v>
      </c>
      <c r="AI7" s="68"/>
      <c r="AJ7" s="68"/>
      <c r="AK7" s="68"/>
      <c r="AL7" s="68"/>
      <c r="AM7" s="68"/>
      <c r="AN7" s="68"/>
      <c r="AO7" s="68"/>
      <c r="AP7" s="85">
        <v>5</v>
      </c>
      <c r="AQ7" s="84">
        <f>属性拆分生成!N6</f>
        <v>1.3583333333333301</v>
      </c>
      <c r="AR7" s="68"/>
      <c r="AS7" s="69">
        <f>V7+AD8</f>
        <v>1309.2</v>
      </c>
      <c r="AT7" s="69">
        <f>W7+AE8</f>
        <v>334.8</v>
      </c>
      <c r="AU7" s="69">
        <f>X7+AF8</f>
        <v>334.8</v>
      </c>
      <c r="AV7" s="71">
        <f>Y7+AG8</f>
        <v>312.39999999999998</v>
      </c>
      <c r="AW7" s="69"/>
      <c r="AX7" s="69"/>
      <c r="AY7" s="69"/>
      <c r="AZ7" s="69"/>
      <c r="BA7" s="69"/>
      <c r="BB7" s="69"/>
      <c r="BC7" s="61">
        <f>AS7/BM4</f>
        <v>0.76339972943975376</v>
      </c>
      <c r="BD7" s="61">
        <f>AT7/BN4</f>
        <v>0.62281419748493183</v>
      </c>
      <c r="BE7" s="61">
        <f>AU7/BO4</f>
        <v>0.48200403109703432</v>
      </c>
      <c r="BF7" s="61">
        <f>AV7/BP4</f>
        <v>0.71363304093567248</v>
      </c>
      <c r="BJ7" s="68"/>
      <c r="BL7" s="61">
        <v>4</v>
      </c>
      <c r="BM7" s="79">
        <v>1922.54</v>
      </c>
      <c r="BN7" s="79">
        <v>602.53</v>
      </c>
      <c r="BO7" s="79">
        <v>778.55</v>
      </c>
      <c r="BP7" s="79">
        <v>490.96</v>
      </c>
    </row>
    <row r="8" spans="2:68" ht="17.25" thickBot="1">
      <c r="B8" s="99"/>
      <c r="C8" s="72" t="s">
        <v>394</v>
      </c>
      <c r="D8" s="72">
        <v>1</v>
      </c>
      <c r="E8" s="93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3"/>
      <c r="W8" s="73"/>
      <c r="X8" s="73"/>
      <c r="Y8" s="73"/>
      <c r="Z8" s="72"/>
      <c r="AA8" s="72"/>
      <c r="AB8" s="72"/>
      <c r="AC8" s="72"/>
      <c r="AD8" s="72">
        <f>VLOOKUP(D7,宠物成长生成表!$B$5:$J$103,3,0)*$AN$2</f>
        <v>1309.2</v>
      </c>
      <c r="AE8" s="72">
        <f>VLOOKUP(D7,宠物成长生成表!$B$5:$J$103,4,0)*$AN$3</f>
        <v>334.8</v>
      </c>
      <c r="AF8" s="72">
        <f>VLOOKUP(D7,宠物成长生成表!$B$5:$J$103,4,0)*$AN$4</f>
        <v>334.8</v>
      </c>
      <c r="AG8" s="72">
        <f>VLOOKUP(D7,宠物成长生成表!$B$5:$J$103,7,0)*$AN$5</f>
        <v>312.39999999999998</v>
      </c>
      <c r="AH8" s="72">
        <f>VLOOKUP(D7,宠物成长生成表!$B$5:$J$103,6,0)</f>
        <v>55</v>
      </c>
      <c r="AI8" s="72"/>
      <c r="AJ8" s="72"/>
      <c r="AK8" s="72"/>
      <c r="AL8" s="72"/>
      <c r="AM8" s="72"/>
      <c r="AN8" s="72"/>
      <c r="AO8" s="72"/>
      <c r="AP8" s="85">
        <v>6</v>
      </c>
      <c r="AQ8" s="84">
        <f>属性拆分生成!N7</f>
        <v>1.43333333333333</v>
      </c>
      <c r="AR8" s="72"/>
      <c r="AS8" s="73">
        <f>V8+AD7</f>
        <v>1058.27</v>
      </c>
      <c r="AT8" s="73">
        <f>W8+AE7</f>
        <v>427.79999999999995</v>
      </c>
      <c r="AU8" s="73">
        <f>X8+AF7</f>
        <v>331.08</v>
      </c>
      <c r="AV8" s="75">
        <f>Y8+AG7</f>
        <v>269.8</v>
      </c>
      <c r="AW8" s="69"/>
      <c r="AX8" s="69"/>
      <c r="AY8" s="69"/>
      <c r="AZ8" s="69"/>
      <c r="BA8" s="69"/>
      <c r="BB8" s="69"/>
      <c r="BC8" s="61">
        <f>AS8/BM4</f>
        <v>0.61708144796380093</v>
      </c>
      <c r="BD8" s="61">
        <f>AT8/BN4</f>
        <v>0.79581814123074612</v>
      </c>
      <c r="BE8" s="61">
        <f>AU8/BO4</f>
        <v>0.4766484307515117</v>
      </c>
      <c r="BF8" s="61">
        <f>AV8/BP4</f>
        <v>0.61631944444444453</v>
      </c>
      <c r="BL8" s="61">
        <v>5</v>
      </c>
      <c r="BM8" s="80">
        <v>1992.3799999999999</v>
      </c>
      <c r="BN8" s="80">
        <v>624.78</v>
      </c>
      <c r="BO8" s="80">
        <v>807.3</v>
      </c>
      <c r="BP8" s="80">
        <v>508.44</v>
      </c>
    </row>
    <row r="9" spans="2:68" ht="17.25" thickBot="1">
      <c r="B9" s="97" t="s">
        <v>374</v>
      </c>
      <c r="C9" s="64" t="s">
        <v>425</v>
      </c>
      <c r="D9" s="64">
        <v>2</v>
      </c>
      <c r="E9" s="91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5"/>
      <c r="W9" s="65"/>
      <c r="X9" s="65"/>
      <c r="Y9" s="65"/>
      <c r="Z9" s="64"/>
      <c r="AA9" s="64"/>
      <c r="AB9" s="64"/>
      <c r="AC9" s="64"/>
      <c r="AD9" s="64">
        <f>VLOOKUP(D9,宠物成长生成表!$B$5:$J$103,3,0)*$AL$2</f>
        <v>1100.95</v>
      </c>
      <c r="AE9" s="64">
        <f>VLOOKUP(D9,宠物成长生成表!$B$5:$J$103,4,0)*$AL$3</f>
        <v>344.43</v>
      </c>
      <c r="AF9" s="64">
        <f>VLOOKUP(D9,宠物成长生成表!$B$5:$J$103,4,0)*$AL$4</f>
        <v>445.04999999999995</v>
      </c>
      <c r="AG9" s="64">
        <f>VLOOKUP(D9,宠物成长生成表!$B$5:$J$103,7,0)*$AL$5</f>
        <v>280.44</v>
      </c>
      <c r="AH9" s="64">
        <f>VLOOKUP(D9,宠物成长生成表!$B$5:$J$103,6,0)</f>
        <v>56</v>
      </c>
      <c r="AI9" s="64"/>
      <c r="AJ9" s="64"/>
      <c r="AK9" s="64"/>
      <c r="AL9" s="64"/>
      <c r="AM9" s="64"/>
      <c r="AN9" s="64"/>
      <c r="AO9" s="64"/>
      <c r="AP9" s="85">
        <v>7</v>
      </c>
      <c r="AQ9" s="84">
        <f>属性拆分生成!N8</f>
        <v>1.50833333333333</v>
      </c>
      <c r="AR9" s="64"/>
      <c r="AS9" s="65">
        <f t="shared" ref="AS9:AV11" si="2">V9+AD9</f>
        <v>1100.95</v>
      </c>
      <c r="AT9" s="65">
        <f t="shared" si="2"/>
        <v>344.43</v>
      </c>
      <c r="AU9" s="65">
        <f t="shared" si="2"/>
        <v>445.04999999999995</v>
      </c>
      <c r="AV9" s="67">
        <f t="shared" si="2"/>
        <v>280.44</v>
      </c>
      <c r="AW9" s="69"/>
      <c r="AX9" s="69"/>
      <c r="AY9" s="69"/>
      <c r="AZ9" s="69"/>
      <c r="BA9" s="69"/>
      <c r="BB9" s="69"/>
      <c r="BL9" s="61">
        <v>6</v>
      </c>
      <c r="BM9" s="80">
        <v>2061.25</v>
      </c>
      <c r="BN9" s="80">
        <v>646.14</v>
      </c>
      <c r="BO9" s="80">
        <v>834.9</v>
      </c>
      <c r="BP9" s="80">
        <v>525.91999999999996</v>
      </c>
    </row>
    <row r="10" spans="2:68" ht="17.25" thickBot="1">
      <c r="B10" s="98"/>
      <c r="C10" s="68" t="s">
        <v>426</v>
      </c>
      <c r="D10" s="68">
        <v>2</v>
      </c>
      <c r="E10" s="92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69"/>
      <c r="W10" s="69"/>
      <c r="X10" s="69"/>
      <c r="Y10" s="69"/>
      <c r="Z10" s="68"/>
      <c r="AA10" s="68"/>
      <c r="AB10" s="68"/>
      <c r="AC10" s="68"/>
      <c r="AD10" s="68">
        <f>VLOOKUP(D10,宠物成长生成表!$B$5:$J$103,3,0)*$AO$2</f>
        <v>1100.95</v>
      </c>
      <c r="AE10" s="68">
        <f>VLOOKUP(D10,宠物成长生成表!$B$5:$J$103,4,0)*$AO$3</f>
        <v>445.04999999999995</v>
      </c>
      <c r="AF10" s="68">
        <f>VLOOKUP(D10,宠物成长生成表!$B$5:$J$103,4,0)*$AO$4</f>
        <v>344.43</v>
      </c>
      <c r="AG10" s="68">
        <f>VLOOKUP(D10,宠物成长生成表!$B$5:$J$103,7,0)*$AO$5</f>
        <v>280.44</v>
      </c>
      <c r="AH10" s="68">
        <f>VLOOKUP(D10,宠物成长生成表!$B$5:$J$103,6,0)</f>
        <v>56</v>
      </c>
      <c r="AI10" s="68"/>
      <c r="AJ10" s="68"/>
      <c r="AK10" s="68"/>
      <c r="AL10" s="68"/>
      <c r="AM10" s="68"/>
      <c r="AN10" s="68"/>
      <c r="AO10" s="68"/>
      <c r="AP10" s="85">
        <v>8</v>
      </c>
      <c r="AQ10" s="84">
        <f>属性拆分生成!N9</f>
        <v>1.5833333333333299</v>
      </c>
      <c r="AR10" s="68"/>
      <c r="AS10" s="69">
        <f t="shared" si="2"/>
        <v>1100.95</v>
      </c>
      <c r="AT10" s="69">
        <f t="shared" si="2"/>
        <v>445.04999999999995</v>
      </c>
      <c r="AU10" s="69">
        <f t="shared" si="2"/>
        <v>344.43</v>
      </c>
      <c r="AV10" s="71">
        <f t="shared" si="2"/>
        <v>280.44</v>
      </c>
      <c r="AW10" s="69"/>
      <c r="AX10" s="69"/>
      <c r="AY10" s="69"/>
      <c r="AZ10" s="69"/>
      <c r="BA10" s="69"/>
      <c r="BB10" s="69"/>
      <c r="BC10" s="61">
        <f>AS10/BM5</f>
        <v>0.61718325176726485</v>
      </c>
      <c r="BD10" s="61">
        <f>AT10/BN5</f>
        <v>0.79626780218993776</v>
      </c>
      <c r="BE10" s="61">
        <f>AU10/BO5</f>
        <v>0.47691775131542513</v>
      </c>
      <c r="BF10" s="61">
        <f>AV10/BP5</f>
        <v>0.61602671118530883</v>
      </c>
      <c r="BL10" s="61">
        <v>7</v>
      </c>
      <c r="BM10" s="80">
        <v>2131.09</v>
      </c>
      <c r="BN10" s="80">
        <v>667.5</v>
      </c>
      <c r="BO10" s="80">
        <v>862.49999999999989</v>
      </c>
      <c r="BP10" s="80">
        <v>544.16</v>
      </c>
    </row>
    <row r="11" spans="2:68" ht="17.25" thickBot="1">
      <c r="B11" s="99"/>
      <c r="C11" s="72" t="s">
        <v>394</v>
      </c>
      <c r="D11" s="81">
        <v>1</v>
      </c>
      <c r="E11" s="93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3"/>
      <c r="W11" s="73"/>
      <c r="X11" s="73"/>
      <c r="Y11" s="73"/>
      <c r="Z11" s="72"/>
      <c r="AA11" s="72"/>
      <c r="AB11" s="72"/>
      <c r="AC11" s="72"/>
      <c r="AD11" s="72">
        <f>VLOOKUP(D10,宠物成长生成表!$B$5:$J$103,3,0)*$AN$2</f>
        <v>1362</v>
      </c>
      <c r="AE11" s="72">
        <f>VLOOKUP(D10,宠物成长生成表!$B$5:$J$103,4,0)*$AN$3</f>
        <v>348.3</v>
      </c>
      <c r="AF11" s="72">
        <f>VLOOKUP(D10,宠物成长生成表!$B$5:$J$103,4,0)*$AN$4</f>
        <v>348.3</v>
      </c>
      <c r="AG11" s="72">
        <f>VLOOKUP(D10,宠物成长生成表!$B$5:$J$103,7,0)*$AN$5</f>
        <v>324.72000000000003</v>
      </c>
      <c r="AH11" s="72">
        <f>VLOOKUP(D10,宠物成长生成表!$B$5:$J$103,6,0)</f>
        <v>56</v>
      </c>
      <c r="AI11" s="72"/>
      <c r="AJ11" s="72"/>
      <c r="AK11" s="72"/>
      <c r="AL11" s="72"/>
      <c r="AM11" s="72"/>
      <c r="AN11" s="72"/>
      <c r="AO11" s="72"/>
      <c r="AP11" s="85">
        <v>9</v>
      </c>
      <c r="AQ11" s="84">
        <f>属性拆分生成!N10</f>
        <v>1.6583333333333301</v>
      </c>
      <c r="AR11" s="72"/>
      <c r="AS11" s="73">
        <f t="shared" si="2"/>
        <v>1362</v>
      </c>
      <c r="AT11" s="73">
        <f t="shared" si="2"/>
        <v>348.3</v>
      </c>
      <c r="AU11" s="73">
        <f t="shared" si="2"/>
        <v>348.3</v>
      </c>
      <c r="AV11" s="75">
        <f t="shared" si="2"/>
        <v>324.72000000000003</v>
      </c>
      <c r="AW11" s="69"/>
      <c r="AX11" s="69"/>
      <c r="AY11" s="69"/>
      <c r="AZ11" s="69"/>
      <c r="BA11" s="69"/>
      <c r="BB11" s="69"/>
      <c r="BC11" s="61">
        <f>AS11/BM5</f>
        <v>0.76352567228939983</v>
      </c>
      <c r="BD11" s="61">
        <f>AT11/BN5</f>
        <v>0.62316610606169043</v>
      </c>
      <c r="BE11" s="61">
        <f>AU11/BO5</f>
        <v>0.48227637773469961</v>
      </c>
      <c r="BF11" s="61">
        <f>AV11/BP5</f>
        <v>0.71329408663562077</v>
      </c>
      <c r="BL11" s="61">
        <v>8</v>
      </c>
      <c r="BM11" s="80">
        <v>2199.96</v>
      </c>
      <c r="BN11" s="80">
        <v>689.75</v>
      </c>
      <c r="BO11" s="80">
        <v>891.24999999999989</v>
      </c>
      <c r="BP11" s="80">
        <v>561.64</v>
      </c>
    </row>
    <row r="12" spans="2:68" ht="17.25" thickBot="1">
      <c r="B12" s="97" t="s">
        <v>375</v>
      </c>
      <c r="C12" s="64" t="s">
        <v>425</v>
      </c>
      <c r="D12" s="64">
        <v>2</v>
      </c>
      <c r="E12" s="91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5"/>
      <c r="X12" s="65"/>
      <c r="Y12" s="65"/>
      <c r="Z12" s="65"/>
      <c r="AA12" s="65"/>
      <c r="AB12" s="64"/>
      <c r="AC12" s="64"/>
      <c r="AD12" s="64">
        <f>VLOOKUP(D12,宠物成长生成表!$B$5:$J$103,3,0)*$AL$2</f>
        <v>1100.95</v>
      </c>
      <c r="AE12" s="64">
        <f>VLOOKUP(D12,宠物成长生成表!$B$5:$J$103,4,0)*$AL$3</f>
        <v>344.43</v>
      </c>
      <c r="AF12" s="64">
        <f>VLOOKUP(D12,宠物成长生成表!$B$5:$J$103,4,0)*$AL$4</f>
        <v>445.04999999999995</v>
      </c>
      <c r="AG12" s="64">
        <f>VLOOKUP(D12,宠物成长生成表!$B$5:$J$103,7,0)*$AL$5</f>
        <v>280.44</v>
      </c>
      <c r="AH12" s="64">
        <f>VLOOKUP(D12,宠物成长生成表!$B$5:$J$103,6,0)</f>
        <v>56</v>
      </c>
      <c r="AI12" s="64"/>
      <c r="AJ12" s="64"/>
      <c r="AK12" s="64"/>
      <c r="AL12" s="64"/>
      <c r="AM12" s="64"/>
      <c r="AN12" s="64"/>
      <c r="AO12" s="64"/>
      <c r="AP12" s="85">
        <v>10</v>
      </c>
      <c r="AQ12" s="84">
        <f>属性拆分生成!N11</f>
        <v>1.7333333333333301</v>
      </c>
      <c r="AR12" s="64"/>
      <c r="AS12" s="65">
        <f t="shared" ref="AS12:AV14" si="3">W12+AD12</f>
        <v>1100.95</v>
      </c>
      <c r="AT12" s="65">
        <f t="shared" si="3"/>
        <v>344.43</v>
      </c>
      <c r="AU12" s="65">
        <f t="shared" si="3"/>
        <v>445.04999999999995</v>
      </c>
      <c r="AV12" s="67">
        <f t="shared" si="3"/>
        <v>280.44</v>
      </c>
      <c r="AW12" s="69"/>
      <c r="AX12" s="69"/>
      <c r="AY12" s="69"/>
      <c r="AZ12" s="69"/>
      <c r="BA12" s="69"/>
      <c r="BB12" s="69"/>
      <c r="BL12" s="61">
        <v>9</v>
      </c>
      <c r="BM12" s="80">
        <v>2269.7999999999997</v>
      </c>
      <c r="BN12" s="80">
        <v>711.11</v>
      </c>
      <c r="BO12" s="80">
        <v>918.84999999999991</v>
      </c>
      <c r="BP12" s="80">
        <v>579.12</v>
      </c>
    </row>
    <row r="13" spans="2:68" ht="17.25" thickBot="1">
      <c r="B13" s="98"/>
      <c r="C13" s="68" t="s">
        <v>426</v>
      </c>
      <c r="D13" s="68">
        <v>2</v>
      </c>
      <c r="E13" s="92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9"/>
      <c r="X13" s="69"/>
      <c r="Y13" s="69"/>
      <c r="Z13" s="69"/>
      <c r="AA13" s="69"/>
      <c r="AB13" s="68"/>
      <c r="AC13" s="68"/>
      <c r="AD13" s="68">
        <f>VLOOKUP(D13,宠物成长生成表!$B$5:$J$103,3,0)*$AO$2</f>
        <v>1100.95</v>
      </c>
      <c r="AE13" s="68">
        <f>VLOOKUP(D13,宠物成长生成表!$B$5:$J$103,4,0)*$AO$3</f>
        <v>445.04999999999995</v>
      </c>
      <c r="AF13" s="68">
        <f>VLOOKUP(D13,宠物成长生成表!$B$5:$J$103,4,0)*$AO$4</f>
        <v>344.43</v>
      </c>
      <c r="AG13" s="68">
        <f>VLOOKUP(D13,宠物成长生成表!$B$5:$J$103,7,0)*$AO$5</f>
        <v>280.44</v>
      </c>
      <c r="AH13" s="68">
        <f>VLOOKUP(D13,宠物成长生成表!$B$5:$J$103,6,0)</f>
        <v>56</v>
      </c>
      <c r="AI13" s="68"/>
      <c r="AJ13" s="68"/>
      <c r="AK13" s="68"/>
      <c r="AL13" s="68"/>
      <c r="AM13" s="68"/>
      <c r="AN13" s="68"/>
      <c r="AO13" s="68"/>
      <c r="AP13" s="85">
        <v>11</v>
      </c>
      <c r="AQ13" s="84">
        <f>属性拆分生成!N12</f>
        <v>1.80833333333333</v>
      </c>
      <c r="AR13" s="68"/>
      <c r="AS13" s="69">
        <f t="shared" si="3"/>
        <v>1100.95</v>
      </c>
      <c r="AT13" s="69">
        <f t="shared" si="3"/>
        <v>445.04999999999995</v>
      </c>
      <c r="AU13" s="69">
        <f t="shared" si="3"/>
        <v>344.43</v>
      </c>
      <c r="AV13" s="71">
        <f t="shared" si="3"/>
        <v>280.44</v>
      </c>
      <c r="AW13" s="69"/>
      <c r="AX13" s="69"/>
      <c r="AY13" s="69"/>
      <c r="AZ13" s="69"/>
      <c r="BA13" s="69"/>
      <c r="BB13" s="69"/>
      <c r="BC13" s="61">
        <v>1</v>
      </c>
      <c r="BD13" s="61">
        <v>1.2921348314606742</v>
      </c>
      <c r="BE13" s="61">
        <v>0.77391304347826084</v>
      </c>
      <c r="BF13" s="61">
        <v>1</v>
      </c>
      <c r="BL13" s="61">
        <v>10</v>
      </c>
      <c r="BM13" s="80"/>
      <c r="BN13" s="80"/>
      <c r="BO13" s="80"/>
      <c r="BP13" s="80"/>
    </row>
    <row r="14" spans="2:68" ht="17.25" thickBot="1">
      <c r="B14" s="99"/>
      <c r="C14" s="72" t="s">
        <v>394</v>
      </c>
      <c r="D14" s="72">
        <v>2</v>
      </c>
      <c r="E14" s="93"/>
      <c r="F14" s="72"/>
      <c r="G14" s="72"/>
      <c r="H14" s="72"/>
      <c r="I14" s="72"/>
      <c r="J14" s="72"/>
      <c r="K14" s="74"/>
      <c r="L14" s="72"/>
      <c r="M14" s="74"/>
      <c r="N14" s="72"/>
      <c r="O14" s="72"/>
      <c r="P14" s="72"/>
      <c r="Q14" s="72"/>
      <c r="R14" s="72"/>
      <c r="S14" s="72"/>
      <c r="T14" s="72"/>
      <c r="U14" s="72"/>
      <c r="V14" s="72"/>
      <c r="W14" s="73"/>
      <c r="X14" s="73"/>
      <c r="Y14" s="73"/>
      <c r="Z14" s="73"/>
      <c r="AA14" s="73"/>
      <c r="AB14" s="72"/>
      <c r="AC14" s="72"/>
      <c r="AD14" s="72">
        <f>VLOOKUP(D13,宠物成长生成表!$B$5:$J$103,3,0)*$AN$2</f>
        <v>1362</v>
      </c>
      <c r="AE14" s="72">
        <f>VLOOKUP(D13,宠物成长生成表!$B$5:$J$103,4,0)*$AN$3</f>
        <v>348.3</v>
      </c>
      <c r="AF14" s="72">
        <f>VLOOKUP(D13,宠物成长生成表!$B$5:$J$103,4,0)*$AN$4</f>
        <v>348.3</v>
      </c>
      <c r="AG14" s="72">
        <f>VLOOKUP(D13,宠物成长生成表!$B$5:$J$103,7,0)*$AN$5</f>
        <v>324.72000000000003</v>
      </c>
      <c r="AH14" s="72">
        <f>VLOOKUP(D13,宠物成长生成表!$B$5:$J$103,6,0)</f>
        <v>56</v>
      </c>
      <c r="AI14" s="72"/>
      <c r="AJ14" s="72"/>
      <c r="AK14" s="72"/>
      <c r="AL14" s="72"/>
      <c r="AM14" s="72"/>
      <c r="AN14" s="72"/>
      <c r="AO14" s="72"/>
      <c r="AP14" s="85">
        <v>12</v>
      </c>
      <c r="AQ14" s="84">
        <f>属性拆分生成!N13</f>
        <v>1.88333333333332</v>
      </c>
      <c r="AR14" s="72"/>
      <c r="AS14" s="73">
        <f t="shared" si="3"/>
        <v>1362</v>
      </c>
      <c r="AT14" s="73">
        <f t="shared" si="3"/>
        <v>348.3</v>
      </c>
      <c r="AU14" s="73">
        <f t="shared" si="3"/>
        <v>348.3</v>
      </c>
      <c r="AV14" s="75">
        <f t="shared" si="3"/>
        <v>324.72000000000003</v>
      </c>
      <c r="AW14" s="69"/>
      <c r="AX14" s="69"/>
      <c r="AY14" s="69"/>
      <c r="AZ14" s="69"/>
      <c r="BA14" s="69"/>
      <c r="BB14" s="69"/>
      <c r="BC14" s="61">
        <v>1.2371134020618555</v>
      </c>
      <c r="BD14" s="61">
        <v>1.01123595505618</v>
      </c>
      <c r="BE14" s="61">
        <v>0.78260869565217406</v>
      </c>
      <c r="BF14" s="61">
        <v>1.1578947368421053</v>
      </c>
      <c r="BL14" s="61">
        <v>11</v>
      </c>
      <c r="BM14" s="80"/>
      <c r="BN14" s="80"/>
      <c r="BO14" s="80"/>
      <c r="BP14" s="80"/>
    </row>
    <row r="15" spans="2:68" ht="15.75" customHeight="1" thickBot="1">
      <c r="B15" s="97" t="s">
        <v>376</v>
      </c>
      <c r="C15" s="64" t="s">
        <v>425</v>
      </c>
      <c r="D15" s="64">
        <v>3</v>
      </c>
      <c r="E15" s="91"/>
      <c r="F15" s="64"/>
      <c r="G15" s="64"/>
      <c r="H15" s="64">
        <v>1</v>
      </c>
      <c r="I15" s="66"/>
      <c r="J15" s="64"/>
      <c r="K15" s="66"/>
      <c r="L15" s="64"/>
      <c r="M15" s="66"/>
      <c r="N15" s="64"/>
      <c r="O15" s="64"/>
      <c r="P15" s="64"/>
      <c r="Q15" s="64"/>
      <c r="R15" s="64"/>
      <c r="S15" s="64"/>
      <c r="T15" s="64"/>
      <c r="U15" s="64"/>
      <c r="V15" s="69">
        <f>IF(J15=1,装备拆分数值生成!$R$46,0)+K15*装备拆分数值生成!$R$10</f>
        <v>0</v>
      </c>
      <c r="W15" s="65">
        <f>IF(H15=1,装备拆分数值生成!$S$40,0)+I15*装备拆分数值生成!$S$4</f>
        <v>74.400000000000006</v>
      </c>
      <c r="X15" s="65">
        <f>IF(H15=1,装备拆分数值生成!$T$40,0)+I15*装备拆分数值生成!$T$4</f>
        <v>148.80000000000001</v>
      </c>
      <c r="Y15" s="65">
        <f>IF(J15=1,装备拆分数值生成!$R$46,0)+K15*装备拆分数值生成!$R$10</f>
        <v>0</v>
      </c>
      <c r="Z15" s="64"/>
      <c r="AA15" s="65"/>
      <c r="AB15" s="64"/>
      <c r="AC15" s="64"/>
      <c r="AD15" s="64">
        <f>VLOOKUP(D15,宠物成长生成表!$B$5:$J$103,3,0)*$AL$2</f>
        <v>1143.6299999999999</v>
      </c>
      <c r="AE15" s="64">
        <f>VLOOKUP(D15,宠物成长生成表!$B$5:$J$103,4,0)*$AL$3</f>
        <v>357.78000000000003</v>
      </c>
      <c r="AF15" s="64">
        <f>VLOOKUP(D15,宠物成长生成表!$B$5:$J$103,4,0)*$AL$4</f>
        <v>462.29999999999995</v>
      </c>
      <c r="AG15" s="64">
        <f>VLOOKUP(D15,宠物成长生成表!$B$5:$J$103,7,0)*$AL$5</f>
        <v>291.84000000000003</v>
      </c>
      <c r="AH15" s="64">
        <f>VLOOKUP(D15,宠物成长生成表!$B$5:$J$103,6,0)</f>
        <v>57</v>
      </c>
      <c r="AI15" s="64"/>
      <c r="AJ15" s="64"/>
      <c r="AK15" s="64"/>
      <c r="AL15" s="64"/>
      <c r="AM15" s="64"/>
      <c r="AN15" s="64"/>
      <c r="AO15" s="64"/>
      <c r="AP15" s="85">
        <v>13</v>
      </c>
      <c r="AQ15" s="84">
        <f>属性拆分生成!N14</f>
        <v>1.9583333333333199</v>
      </c>
      <c r="AR15" s="64"/>
      <c r="AS15" s="65">
        <f t="shared" ref="AS15:AS46" si="4">V15+AD15</f>
        <v>1143.6299999999999</v>
      </c>
      <c r="AT15" s="65">
        <f t="shared" ref="AT15:AT46" si="5">W15+AE15</f>
        <v>432.18000000000006</v>
      </c>
      <c r="AU15" s="65">
        <f t="shared" ref="AU15:AU46" si="6">X15+AF15</f>
        <v>611.09999999999991</v>
      </c>
      <c r="AV15" s="67">
        <f t="shared" ref="AV15:AV46" si="7">Y15+AG15</f>
        <v>291.84000000000003</v>
      </c>
      <c r="AW15" s="69"/>
      <c r="AX15" s="69"/>
      <c r="AY15" s="69"/>
      <c r="AZ15" s="69"/>
      <c r="BA15" s="69"/>
      <c r="BB15" s="69"/>
      <c r="BC15" s="61">
        <f>AS15/$BM$6</f>
        <v>0.61695447409733117</v>
      </c>
      <c r="BD15" s="61">
        <f>AT15/$BN$6</f>
        <v>0.74363783402446804</v>
      </c>
      <c r="BE15" s="61">
        <f>AU15/$BO$6</f>
        <v>0.81376922564751308</v>
      </c>
      <c r="BF15" s="61">
        <f>AV15/$BP$6</f>
        <v>0.61637239165329061</v>
      </c>
      <c r="BL15" s="61">
        <v>12</v>
      </c>
      <c r="BM15" s="80"/>
      <c r="BN15" s="80"/>
      <c r="BO15" s="80"/>
      <c r="BP15" s="80"/>
    </row>
    <row r="16" spans="2:68" ht="17.25" thickBot="1">
      <c r="B16" s="98"/>
      <c r="C16" s="68" t="s">
        <v>426</v>
      </c>
      <c r="D16" s="68">
        <v>3</v>
      </c>
      <c r="E16" s="92"/>
      <c r="F16" s="68"/>
      <c r="G16" s="68"/>
      <c r="H16" s="68"/>
      <c r="I16" s="70"/>
      <c r="J16" s="68">
        <v>1</v>
      </c>
      <c r="K16" s="70"/>
      <c r="L16" s="68"/>
      <c r="M16" s="70"/>
      <c r="N16" s="68"/>
      <c r="O16" s="68"/>
      <c r="P16" s="68"/>
      <c r="Q16" s="68"/>
      <c r="R16" s="68"/>
      <c r="S16" s="68"/>
      <c r="T16" s="68"/>
      <c r="U16" s="68"/>
      <c r="V16" s="69">
        <f>IF(J16=1,装备拆分数值生成!$K$46,0)+K16*装备拆分数值生成!$K$10</f>
        <v>272.75</v>
      </c>
      <c r="W16" s="69">
        <f>IF(H16=1,装备拆分数值生成!$L$40,0)+能力数值!I16*装备拆分数值生成!$L$4</f>
        <v>0</v>
      </c>
      <c r="X16" s="69">
        <f>IF(H16=1,装备拆分数值生成!$M$40,0)+能力数值!I16*装备拆分数值生成!$M$4</f>
        <v>0</v>
      </c>
      <c r="Y16" s="69">
        <f>IF(L16=1,装备拆分数值生成!$N$52,0)+装备拆分数值生成!$N$16*能力数值!M16</f>
        <v>0</v>
      </c>
      <c r="Z16" s="68"/>
      <c r="AA16" s="69"/>
      <c r="AB16" s="68"/>
      <c r="AC16" s="68"/>
      <c r="AD16" s="68">
        <f>VLOOKUP(D16,宠物成长生成表!$B$5:$J$103,3,0)*$AO$2</f>
        <v>1143.6299999999999</v>
      </c>
      <c r="AE16" s="68">
        <f>VLOOKUP(D16,宠物成长生成表!$B$5:$J$103,4,0)*$AO$3</f>
        <v>462.29999999999995</v>
      </c>
      <c r="AF16" s="68">
        <f>VLOOKUP(D16,宠物成长生成表!$B$5:$J$103,4,0)*$AO$4</f>
        <v>357.78000000000003</v>
      </c>
      <c r="AG16" s="68">
        <f>VLOOKUP(D16,宠物成长生成表!$B$5:$J$103,7,0)*$AO$5</f>
        <v>291.84000000000003</v>
      </c>
      <c r="AH16" s="68">
        <f>VLOOKUP(D16,宠物成长生成表!$B$5:$J$103,6,0)</f>
        <v>57</v>
      </c>
      <c r="AI16" s="68"/>
      <c r="AJ16" s="68"/>
      <c r="AK16" s="68"/>
      <c r="AL16" s="68"/>
      <c r="AM16" s="68"/>
      <c r="AN16" s="68"/>
      <c r="AO16" s="68"/>
      <c r="AP16" s="85">
        <v>14</v>
      </c>
      <c r="AQ16" s="84">
        <f>属性拆分生成!N15</f>
        <v>2.0333333333333199</v>
      </c>
      <c r="AR16" s="68"/>
      <c r="AS16" s="69">
        <f t="shared" si="4"/>
        <v>1416.3799999999999</v>
      </c>
      <c r="AT16" s="69">
        <f t="shared" si="5"/>
        <v>462.29999999999995</v>
      </c>
      <c r="AU16" s="69">
        <f t="shared" si="6"/>
        <v>357.78000000000003</v>
      </c>
      <c r="AV16" s="71">
        <f t="shared" si="7"/>
        <v>291.84000000000003</v>
      </c>
      <c r="AW16" s="69"/>
      <c r="AX16" s="69"/>
      <c r="AY16" s="69"/>
      <c r="AZ16" s="69"/>
      <c r="BA16" s="69"/>
      <c r="BB16" s="69"/>
      <c r="BC16" s="61">
        <f t="shared" ref="BC16:BC17" si="8">AS16/$BM$6</f>
        <v>0.76409501151769188</v>
      </c>
      <c r="BD16" s="61">
        <f t="shared" ref="BD16:BD17" si="9">AT16/$BN$6</f>
        <v>0.79546432197119599</v>
      </c>
      <c r="BE16" s="61">
        <f t="shared" ref="BE16:BE17" si="10">AU16/$BO$6</f>
        <v>0.47643651374925106</v>
      </c>
      <c r="BF16" s="61">
        <f t="shared" ref="BF16:BF17" si="11">AV16/$BP$6</f>
        <v>0.61637239165329061</v>
      </c>
      <c r="BL16" s="61">
        <v>13</v>
      </c>
      <c r="BM16" s="80"/>
      <c r="BN16" s="80"/>
      <c r="BO16" s="80"/>
      <c r="BP16" s="80"/>
    </row>
    <row r="17" spans="2:68" ht="17.25" thickBot="1">
      <c r="B17" s="99"/>
      <c r="C17" s="72" t="s">
        <v>394</v>
      </c>
      <c r="D17" s="72">
        <v>2</v>
      </c>
      <c r="E17" s="93"/>
      <c r="F17" s="72"/>
      <c r="G17" s="72"/>
      <c r="H17" s="72">
        <v>0</v>
      </c>
      <c r="I17" s="74"/>
      <c r="J17" s="72">
        <v>1</v>
      </c>
      <c r="K17" s="74"/>
      <c r="L17" s="72"/>
      <c r="M17" s="74"/>
      <c r="N17" s="72"/>
      <c r="O17" s="72"/>
      <c r="P17" s="72"/>
      <c r="Q17" s="72"/>
      <c r="R17" s="72"/>
      <c r="S17" s="72"/>
      <c r="T17" s="72"/>
      <c r="U17" s="72"/>
      <c r="V17" s="73">
        <f>IF(J17=1,装备拆分数值生成!$AF$46,0)+装备拆分数值生成!$AF$10*能力数值!K17</f>
        <v>272.75</v>
      </c>
      <c r="W17" s="73">
        <f>IF(H17=1,装备拆分数值生成!$AG$40,0)+能力数值!I17*装备拆分数值生成!$AG$4</f>
        <v>0</v>
      </c>
      <c r="X17" s="73">
        <f>IF(H17=1,装备拆分数值生成!$AH$40,0)+能力数值!I17*装备拆分数值生成!$AH$4</f>
        <v>0</v>
      </c>
      <c r="Y17" s="73">
        <f>IF(L17=1,装备拆分数值生成!$AI$52,0)+装备拆分数值生成!$AI$16*能力数值!M17</f>
        <v>0</v>
      </c>
      <c r="Z17" s="72"/>
      <c r="AA17" s="73"/>
      <c r="AB17" s="72"/>
      <c r="AC17" s="72"/>
      <c r="AD17" s="72">
        <f>VLOOKUP(D16,宠物成长生成表!$B$5:$J$103,3,0)*$AN$2</f>
        <v>1414.8</v>
      </c>
      <c r="AE17" s="72">
        <f>VLOOKUP(D16,宠物成长生成表!$B$5:$J$103,4,0)*$AN$3</f>
        <v>361.8</v>
      </c>
      <c r="AF17" s="72">
        <f>VLOOKUP(D16,宠物成长生成表!$B$5:$J$103,4,0)*$AN$4</f>
        <v>361.8</v>
      </c>
      <c r="AG17" s="72">
        <f>VLOOKUP(D16,宠物成长生成表!$B$5:$J$103,7,0)*$AN$5</f>
        <v>337.92</v>
      </c>
      <c r="AH17" s="72">
        <f>VLOOKUP(D16,宠物成长生成表!$B$5:$J$103,6,0)</f>
        <v>57</v>
      </c>
      <c r="AI17" s="72"/>
      <c r="AJ17" s="72"/>
      <c r="AK17" s="72"/>
      <c r="AL17" s="72"/>
      <c r="AM17" s="72"/>
      <c r="AN17" s="72"/>
      <c r="AO17" s="72"/>
      <c r="AP17" s="86">
        <v>15</v>
      </c>
      <c r="AQ17" s="84">
        <f>属性拆分生成!N16</f>
        <v>2.1083333333333201</v>
      </c>
      <c r="AR17" s="72"/>
      <c r="AS17" s="73">
        <f t="shared" si="4"/>
        <v>1687.55</v>
      </c>
      <c r="AT17" s="73">
        <f t="shared" si="5"/>
        <v>361.8</v>
      </c>
      <c r="AU17" s="73">
        <f t="shared" si="6"/>
        <v>361.8</v>
      </c>
      <c r="AV17" s="75">
        <f t="shared" si="7"/>
        <v>337.92</v>
      </c>
      <c r="AW17" s="69"/>
      <c r="AX17" s="69"/>
      <c r="AY17" s="69"/>
      <c r="AZ17" s="69"/>
      <c r="BA17" s="69"/>
      <c r="BB17" s="69"/>
      <c r="BC17" s="61">
        <f t="shared" si="8"/>
        <v>0.91038318578819322</v>
      </c>
      <c r="BD17" s="61">
        <f t="shared" si="9"/>
        <v>0.62253729545571868</v>
      </c>
      <c r="BE17" s="61">
        <f t="shared" si="10"/>
        <v>0.48178973300486055</v>
      </c>
      <c r="BF17" s="61">
        <f t="shared" si="11"/>
        <v>0.7136943482301259</v>
      </c>
      <c r="BL17" s="61">
        <v>14</v>
      </c>
      <c r="BM17" s="80"/>
      <c r="BN17" s="80"/>
      <c r="BO17" s="80"/>
      <c r="BP17" s="80"/>
    </row>
    <row r="18" spans="2:68">
      <c r="B18" s="98" t="s">
        <v>377</v>
      </c>
      <c r="C18" s="68" t="s">
        <v>429</v>
      </c>
      <c r="D18" s="68">
        <v>3</v>
      </c>
      <c r="E18" s="92"/>
      <c r="F18" s="68"/>
      <c r="G18" s="68"/>
      <c r="H18" s="68">
        <v>1</v>
      </c>
      <c r="I18" s="70"/>
      <c r="J18" s="68"/>
      <c r="K18" s="70"/>
      <c r="L18" s="68"/>
      <c r="M18" s="70"/>
      <c r="N18" s="68"/>
      <c r="O18" s="68"/>
      <c r="P18" s="68"/>
      <c r="Q18" s="68"/>
      <c r="R18" s="68"/>
      <c r="S18" s="68"/>
      <c r="T18" s="68"/>
      <c r="U18" s="68"/>
      <c r="V18" s="69">
        <f>IF(J18=1,装备拆分数值生成!$R$46,0)+K18*装备拆分数值生成!$R$10</f>
        <v>0</v>
      </c>
      <c r="W18" s="65">
        <f>IF(H18=1,装备拆分数值生成!$S$40,0)+I18*装备拆分数值生成!$S$4</f>
        <v>74.400000000000006</v>
      </c>
      <c r="X18" s="65">
        <f>IF(H18=1,装备拆分数值生成!$T$40,0)+I18*装备拆分数值生成!$T$4</f>
        <v>148.80000000000001</v>
      </c>
      <c r="Y18" s="65">
        <f>IF(J18=1,装备拆分数值生成!$R$46,0)+K18*装备拆分数值生成!$R$10</f>
        <v>0</v>
      </c>
      <c r="AA18" s="69"/>
      <c r="AB18" s="68"/>
      <c r="AC18" s="68"/>
      <c r="AD18" s="68">
        <f>VLOOKUP(D18,宠物成长生成表!$B$5:$J$103,3,0)*$AL$2</f>
        <v>1143.6299999999999</v>
      </c>
      <c r="AE18" s="68">
        <f>VLOOKUP(D18,宠物成长生成表!$B$5:$J$103,4,0)*$AL$3</f>
        <v>357.78000000000003</v>
      </c>
      <c r="AF18" s="68">
        <f>VLOOKUP(D18,宠物成长生成表!$B$5:$J$103,4,0)*$AL$4</f>
        <v>462.29999999999995</v>
      </c>
      <c r="AG18" s="68">
        <f>VLOOKUP(D18,宠物成长生成表!$B$5:$J$103,7,0)*$AL$5</f>
        <v>291.84000000000003</v>
      </c>
      <c r="AH18" s="68">
        <f>VLOOKUP(D18,宠物成长生成表!$B$5:$J$103,6,0)</f>
        <v>57</v>
      </c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9">
        <f t="shared" si="4"/>
        <v>1143.6299999999999</v>
      </c>
      <c r="AT18" s="69">
        <f t="shared" si="5"/>
        <v>432.18000000000006</v>
      </c>
      <c r="AU18" s="69">
        <f t="shared" si="6"/>
        <v>611.09999999999991</v>
      </c>
      <c r="AV18" s="71">
        <f t="shared" si="7"/>
        <v>291.84000000000003</v>
      </c>
      <c r="AW18" s="69"/>
      <c r="AX18" s="69"/>
      <c r="AY18" s="69"/>
      <c r="AZ18" s="69"/>
      <c r="BA18" s="69"/>
      <c r="BB18" s="69"/>
      <c r="BC18" s="61">
        <f>AS18/BM5</f>
        <v>0.64110929853181076</v>
      </c>
      <c r="BD18" s="61">
        <f>AT18/BN5</f>
        <v>0.77324125098404084</v>
      </c>
      <c r="BE18" s="61">
        <f>AU18/BO5</f>
        <v>0.84616449736914978</v>
      </c>
      <c r="BF18" s="61">
        <f>AV18/BP5</f>
        <v>0.64106844741235403</v>
      </c>
    </row>
    <row r="19" spans="2:68">
      <c r="B19" s="98"/>
      <c r="C19" s="68" t="s">
        <v>426</v>
      </c>
      <c r="D19" s="68">
        <v>4</v>
      </c>
      <c r="E19" s="92"/>
      <c r="F19" s="68"/>
      <c r="G19" s="68"/>
      <c r="H19" s="68"/>
      <c r="I19" s="70"/>
      <c r="J19" s="68">
        <v>1</v>
      </c>
      <c r="K19" s="70"/>
      <c r="L19" s="68">
        <v>1</v>
      </c>
      <c r="M19" s="70"/>
      <c r="N19" s="68"/>
      <c r="O19" s="68"/>
      <c r="P19" s="68"/>
      <c r="Q19" s="68"/>
      <c r="R19" s="68"/>
      <c r="S19" s="68"/>
      <c r="T19" s="68"/>
      <c r="U19" s="68" t="s">
        <v>403</v>
      </c>
      <c r="V19" s="69">
        <f>IF(J19=1,装备拆分数值生成!$AF$46,0)+K19*装备拆分数值生成!$N$16</f>
        <v>272.75</v>
      </c>
      <c r="W19" s="69">
        <f>IF(H19=1,装备拆分数值生成!$L$40,0)+能力数值!I19*装备拆分数值生成!$L$4</f>
        <v>0</v>
      </c>
      <c r="X19" s="69">
        <f>IF(H19=1,装备拆分数值生成!$M$40,0)+能力数值!I19*装备拆分数值生成!$M$4</f>
        <v>0</v>
      </c>
      <c r="Y19" s="69">
        <f>IF(L19=1,装备拆分数值生成!$N$52,0)+装备拆分数值生成!$N$16*能力数值!M19</f>
        <v>71</v>
      </c>
      <c r="AA19" s="69"/>
      <c r="AB19" s="68"/>
      <c r="AC19" s="68"/>
      <c r="AD19" s="68">
        <f>VLOOKUP(D19,宠物成长生成表!$B$5:$J$103,3,0)*$AO$2</f>
        <v>1186.31</v>
      </c>
      <c r="AE19" s="68">
        <f>VLOOKUP(D19,宠物成长生成表!$B$5:$J$103,4,0)*$AO$3</f>
        <v>479.54999999999995</v>
      </c>
      <c r="AF19" s="68">
        <f>VLOOKUP(D19,宠物成长生成表!$B$5:$J$103,4,0)*$AO$4</f>
        <v>371.13</v>
      </c>
      <c r="AG19" s="68">
        <f>VLOOKUP(D19,宠物成长生成表!$B$5:$J$103,7,0)*$AO$5</f>
        <v>302.48</v>
      </c>
      <c r="AH19" s="68">
        <f>VLOOKUP(D19,宠物成长生成表!$B$5:$J$103,6,0)</f>
        <v>58</v>
      </c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9">
        <f t="shared" si="4"/>
        <v>1459.06</v>
      </c>
      <c r="AT19" s="69">
        <f t="shared" si="5"/>
        <v>479.54999999999995</v>
      </c>
      <c r="AU19" s="69">
        <f t="shared" si="6"/>
        <v>371.13</v>
      </c>
      <c r="AV19" s="71">
        <f t="shared" si="7"/>
        <v>373.48</v>
      </c>
      <c r="AW19" s="69"/>
      <c r="AX19" s="69"/>
      <c r="AY19" s="69"/>
      <c r="AZ19" s="69"/>
      <c r="BA19" s="69"/>
      <c r="BB19" s="69"/>
      <c r="BC19" s="61">
        <f>AS19/BM7</f>
        <v>0.75892309132709856</v>
      </c>
      <c r="BD19" s="61">
        <f>AT19/BN7</f>
        <v>0.79589398038271952</v>
      </c>
      <c r="BE19" s="61">
        <f>AU19/BO7</f>
        <v>0.47669385395928332</v>
      </c>
      <c r="BF19" s="61">
        <f>AV19/BP7</f>
        <v>0.76071370376405412</v>
      </c>
    </row>
    <row r="20" spans="2:68">
      <c r="B20" s="98"/>
      <c r="C20" s="68" t="s">
        <v>394</v>
      </c>
      <c r="D20" s="68">
        <v>4</v>
      </c>
      <c r="E20" s="92"/>
      <c r="F20" s="68"/>
      <c r="G20" s="68"/>
      <c r="H20" s="68">
        <v>1</v>
      </c>
      <c r="I20" s="70"/>
      <c r="J20" s="68">
        <v>1</v>
      </c>
      <c r="K20" s="70"/>
      <c r="L20" s="68">
        <v>1</v>
      </c>
      <c r="M20" s="70"/>
      <c r="N20" s="68"/>
      <c r="O20" s="68"/>
      <c r="P20" s="68"/>
      <c r="Q20" s="68"/>
      <c r="R20" s="68"/>
      <c r="S20" s="68"/>
      <c r="T20" s="68"/>
      <c r="U20" s="68"/>
      <c r="V20" s="69">
        <f>IF(J20=1,装备拆分数值生成!$AF$46,0)+装备拆分数值生成!$AF$10*能力数值!K20</f>
        <v>272.75</v>
      </c>
      <c r="W20" s="69">
        <f>IF(H20=1,装备拆分数值生成!$AG$40,0)+能力数值!I20*装备拆分数值生成!$AG$4</f>
        <v>111.6</v>
      </c>
      <c r="X20" s="69">
        <f>IF(H20=1,装备拆分数值生成!$AH$40,0)+能力数值!I20*装备拆分数值生成!$AH$4</f>
        <v>111.6</v>
      </c>
      <c r="Y20" s="69">
        <f>IF(L20=1,装备拆分数值生成!$AI$52,0)+装备拆分数值生成!$AI$16*能力数值!M20</f>
        <v>88.75</v>
      </c>
      <c r="AA20" s="69"/>
      <c r="AB20" s="68"/>
      <c r="AC20" s="68"/>
      <c r="AD20" s="68">
        <f>VLOOKUP(D19,宠物成长生成表!$B$5:$J$103,3,0)*$AN$2</f>
        <v>1467.6</v>
      </c>
      <c r="AE20" s="68">
        <f>VLOOKUP(D19,宠物成长生成表!$B$5:$J$103,4,0)*$AN$3</f>
        <v>375.3</v>
      </c>
      <c r="AF20" s="68">
        <f>VLOOKUP(D19,宠物成长生成表!$B$5:$J$103,4,0)*$AN$4</f>
        <v>375.3</v>
      </c>
      <c r="AG20" s="68">
        <f>VLOOKUP(D19,宠物成长生成表!$B$5:$J$103,7,0)*$AN$5</f>
        <v>350.24</v>
      </c>
      <c r="AH20" s="68">
        <f>VLOOKUP(D19,宠物成长生成表!$B$5:$J$103,6,0)</f>
        <v>58</v>
      </c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9">
        <f t="shared" si="4"/>
        <v>1740.35</v>
      </c>
      <c r="AT20" s="69">
        <f t="shared" si="5"/>
        <v>486.9</v>
      </c>
      <c r="AU20" s="69">
        <f t="shared" si="6"/>
        <v>486.9</v>
      </c>
      <c r="AV20" s="71">
        <f t="shared" si="7"/>
        <v>438.99</v>
      </c>
      <c r="AW20" s="69"/>
      <c r="AX20" s="69"/>
      <c r="AY20" s="69"/>
      <c r="AZ20" s="69"/>
      <c r="BA20" s="69"/>
      <c r="BB20" s="69"/>
      <c r="BC20" s="61">
        <f>AS20/BM7</f>
        <v>0.90523474153983785</v>
      </c>
      <c r="BD20" s="61">
        <f>AT20/BN7</f>
        <v>0.80809254310988665</v>
      </c>
      <c r="BE20" s="61">
        <f>AU20/BO7</f>
        <v>0.62539335945026009</v>
      </c>
      <c r="BF20" s="61">
        <f>AV20/BP7</f>
        <v>0.89414616262017277</v>
      </c>
    </row>
    <row r="21" spans="2:68" ht="17.25" thickBot="1">
      <c r="B21" s="99"/>
      <c r="C21" s="72" t="s">
        <v>427</v>
      </c>
      <c r="D21" s="72">
        <v>2</v>
      </c>
      <c r="E21" s="93"/>
      <c r="F21" s="72"/>
      <c r="G21" s="72"/>
      <c r="H21" s="72"/>
      <c r="I21" s="74"/>
      <c r="J21" s="72"/>
      <c r="K21" s="74"/>
      <c r="L21" s="72">
        <v>1</v>
      </c>
      <c r="M21" s="74"/>
      <c r="N21" s="72"/>
      <c r="O21" s="72"/>
      <c r="P21" s="72"/>
      <c r="Q21" s="72"/>
      <c r="R21" s="72"/>
      <c r="S21" s="72"/>
      <c r="T21" s="72"/>
      <c r="U21" s="72"/>
      <c r="V21" s="82">
        <f>IF(能力数值!J21=1,装备拆分数值生成!$Y$46,0)+能力数值!K21*装备拆分数值生成!$Y$10</f>
        <v>0</v>
      </c>
      <c r="W21" s="82">
        <f>IF(H21=0,0,装备拆分数值生成!$Z$40)+装备拆分数值生成!$Z$4*能力数值!I21</f>
        <v>0</v>
      </c>
      <c r="X21" s="82">
        <f>IF(H21=0,0,装备拆分数值生成!$AA$40)+装备拆分数值生成!$AA$4*能力数值!I21</f>
        <v>0</v>
      </c>
      <c r="Y21" s="82">
        <f>IF(L21=0,0,装备拆分数值生成!$AB$52)+装备拆分数值生成!$AB$16*能力数值!M21</f>
        <v>106.5</v>
      </c>
      <c r="Z21" s="72"/>
      <c r="AA21" s="73"/>
      <c r="AB21" s="72"/>
      <c r="AC21" s="72"/>
      <c r="AD21" s="72">
        <f>VLOOKUP(D21,宠物成长生成表!$B$5:$J$103,3,0)*$AM$2</f>
        <v>1475.5</v>
      </c>
      <c r="AE21" s="72">
        <f>VLOOKUP(D21,宠物成长生成表!$B$5:$J$103,4,0)*$AM$3</f>
        <v>309.60000000000002</v>
      </c>
      <c r="AF21" s="72">
        <f>VLOOKUP(D21,宠物成长生成表!$B$5:$J$103,4,0)*$AM$4</f>
        <v>309.60000000000002</v>
      </c>
      <c r="AG21" s="72">
        <f>VLOOKUP(D21,宠物成长生成表!$B$5:$J$103,7,0)*$AM$5</f>
        <v>487.08000000000004</v>
      </c>
      <c r="AH21" s="72">
        <f>VLOOKUP(D21,宠物成长生成表!$B$5:$J$103,6,0)</f>
        <v>56</v>
      </c>
      <c r="AI21" s="72"/>
      <c r="AJ21" s="72"/>
      <c r="AK21" s="72"/>
      <c r="AL21" s="72"/>
      <c r="AM21" s="72"/>
      <c r="AN21" s="72"/>
      <c r="AO21" s="72"/>
      <c r="AP21" s="72"/>
      <c r="AQ21" s="72"/>
      <c r="AR21" s="72"/>
      <c r="AS21" s="73">
        <f t="shared" si="4"/>
        <v>1475.5</v>
      </c>
      <c r="AT21" s="73">
        <f t="shared" si="5"/>
        <v>309.60000000000002</v>
      </c>
      <c r="AU21" s="73">
        <f t="shared" si="6"/>
        <v>309.60000000000002</v>
      </c>
      <c r="AV21" s="75">
        <f t="shared" si="7"/>
        <v>593.58000000000004</v>
      </c>
      <c r="AW21" s="69"/>
      <c r="AX21" s="69"/>
      <c r="AY21" s="69"/>
      <c r="AZ21" s="69"/>
      <c r="BA21" s="69"/>
      <c r="BB21" s="69"/>
      <c r="BC21" s="61">
        <f t="shared" ref="BC21:BF22" si="12">AS21/BM5</f>
        <v>0.82715281164684984</v>
      </c>
      <c r="BD21" s="61">
        <f t="shared" si="12"/>
        <v>0.55392542761039154</v>
      </c>
      <c r="BE21" s="61">
        <f t="shared" si="12"/>
        <v>0.42869011354195519</v>
      </c>
      <c r="BF21" s="61">
        <f t="shared" si="12"/>
        <v>1.3038836657587207</v>
      </c>
    </row>
    <row r="22" spans="2:68">
      <c r="B22" s="97" t="s">
        <v>378</v>
      </c>
      <c r="C22" s="64" t="s">
        <v>428</v>
      </c>
      <c r="D22" s="64">
        <v>4</v>
      </c>
      <c r="E22" s="91"/>
      <c r="F22" s="64"/>
      <c r="G22" s="64"/>
      <c r="H22" s="64">
        <v>1</v>
      </c>
      <c r="I22" s="66"/>
      <c r="J22" s="64"/>
      <c r="K22" s="66"/>
      <c r="L22" s="64">
        <v>1</v>
      </c>
      <c r="M22" s="66"/>
      <c r="N22" s="64"/>
      <c r="O22" s="64"/>
      <c r="P22" s="64"/>
      <c r="Q22" s="64"/>
      <c r="R22" s="64"/>
      <c r="S22" s="64"/>
      <c r="T22" s="64"/>
      <c r="U22" s="64"/>
      <c r="V22" s="69">
        <f>IF(J22=1,装备拆分数值生成!$R$46,0)+K22*装备拆分数值生成!$R$10</f>
        <v>0</v>
      </c>
      <c r="W22" s="65">
        <f>IF(H22=1,装备拆分数值生成!$S$40,0)+I22*装备拆分数值生成!$S$4</f>
        <v>74.400000000000006</v>
      </c>
      <c r="X22" s="65">
        <f>IF(H22=1,装备拆分数值生成!$T$40,0)+I22*装备拆分数值生成!$T$4</f>
        <v>148.80000000000001</v>
      </c>
      <c r="Y22" s="65">
        <f>IF(J22=1,装备拆分数值生成!$R$46,0)+K22*装备拆分数值生成!$R$10</f>
        <v>0</v>
      </c>
      <c r="AA22" s="65"/>
      <c r="AB22" s="64"/>
      <c r="AC22" s="64"/>
      <c r="AD22" s="68">
        <f>VLOOKUP(D22,宠物成长生成表!$B$5:$J$103,3,0)*$AL$2</f>
        <v>1186.31</v>
      </c>
      <c r="AE22" s="68">
        <f>VLOOKUP(D22,宠物成长生成表!$B$5:$J$103,4,0)*$AL$3</f>
        <v>371.13</v>
      </c>
      <c r="AF22" s="68">
        <f>VLOOKUP(D22,宠物成长生成表!$B$5:$J$103,4,0)*$AL$4</f>
        <v>479.54999999999995</v>
      </c>
      <c r="AG22" s="68">
        <f>VLOOKUP(D22,宠物成长生成表!$B$5:$J$103,7,0)*$AL$5</f>
        <v>302.48</v>
      </c>
      <c r="AH22" s="64">
        <f>VLOOKUP(D22,宠物成长生成表!$B$5:$J$103,6,0)</f>
        <v>58</v>
      </c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5">
        <f t="shared" si="4"/>
        <v>1186.31</v>
      </c>
      <c r="AT22" s="65">
        <f t="shared" si="5"/>
        <v>445.53</v>
      </c>
      <c r="AU22" s="65">
        <f t="shared" si="6"/>
        <v>628.34999999999991</v>
      </c>
      <c r="AV22" s="67">
        <f t="shared" si="7"/>
        <v>302.48</v>
      </c>
      <c r="AW22" s="69"/>
      <c r="AX22" s="69"/>
      <c r="AY22" s="69"/>
      <c r="AZ22" s="69"/>
      <c r="BA22" s="69"/>
      <c r="BB22" s="69"/>
      <c r="BC22" s="61">
        <f t="shared" si="12"/>
        <v>0.63997906855049713</v>
      </c>
      <c r="BD22" s="61">
        <f t="shared" si="12"/>
        <v>0.76660873754667314</v>
      </c>
      <c r="BE22" s="61">
        <f t="shared" si="12"/>
        <v>0.83674012916971829</v>
      </c>
      <c r="BF22" s="61">
        <f t="shared" si="12"/>
        <v>0.6388443017656501</v>
      </c>
    </row>
    <row r="23" spans="2:68">
      <c r="B23" s="98"/>
      <c r="C23" s="68" t="s">
        <v>426</v>
      </c>
      <c r="D23" s="68">
        <v>5</v>
      </c>
      <c r="E23" s="92"/>
      <c r="F23" s="68"/>
      <c r="G23" s="68"/>
      <c r="H23" s="68"/>
      <c r="I23" s="70"/>
      <c r="J23" s="68">
        <v>1</v>
      </c>
      <c r="K23" s="70"/>
      <c r="L23" s="68"/>
      <c r="M23" s="70"/>
      <c r="N23" s="68"/>
      <c r="O23" s="68"/>
      <c r="P23" s="68"/>
      <c r="Q23" s="68"/>
      <c r="R23" s="68"/>
      <c r="S23" s="68"/>
      <c r="T23" s="68"/>
      <c r="U23" s="68" t="s">
        <v>410</v>
      </c>
      <c r="V23" s="69">
        <f>IF(J23=1,装备拆分数值生成!$AF$46,0)+K23*装备拆分数值生成!$N$16</f>
        <v>272.75</v>
      </c>
      <c r="W23" s="69">
        <f>IF(H23=1,装备拆分数值生成!$L$40,0)+能力数值!I23*装备拆分数值生成!$L$4</f>
        <v>0</v>
      </c>
      <c r="X23" s="69">
        <f>IF(H23=1,装备拆分数值生成!$M$40,0)+能力数值!I23*装备拆分数值生成!$M$4</f>
        <v>0</v>
      </c>
      <c r="Y23" s="69">
        <f>IF(L23=1,装备拆分数值生成!$N$52,0)+装备拆分数值生成!$N$16*能力数值!M23</f>
        <v>0</v>
      </c>
      <c r="AA23" s="69"/>
      <c r="AB23" s="68"/>
      <c r="AC23" s="68"/>
      <c r="AD23" s="68">
        <f>VLOOKUP(D23,宠物成长生成表!$B$5:$J$103,3,0)*$AO$2</f>
        <v>1228.99</v>
      </c>
      <c r="AE23" s="68">
        <f>VLOOKUP(D23,宠物成长生成表!$B$5:$J$103,4,0)*$AO$3</f>
        <v>496.79999999999995</v>
      </c>
      <c r="AF23" s="68">
        <f>VLOOKUP(D23,宠物成长生成表!$B$5:$J$103,4,0)*$AO$4</f>
        <v>384.48</v>
      </c>
      <c r="AG23" s="68">
        <f>VLOOKUP(D23,宠物成长生成表!$B$5:$J$103,7,0)*$AO$5</f>
        <v>313.12</v>
      </c>
      <c r="AH23" s="68">
        <f>VLOOKUP(D23,宠物成长生成表!$B$5:$J$103,6,0)</f>
        <v>59</v>
      </c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9">
        <f t="shared" si="4"/>
        <v>1501.74</v>
      </c>
      <c r="AT23" s="69">
        <f t="shared" si="5"/>
        <v>496.79999999999995</v>
      </c>
      <c r="AU23" s="69">
        <f t="shared" si="6"/>
        <v>384.48</v>
      </c>
      <c r="AV23" s="71">
        <f t="shared" si="7"/>
        <v>313.12</v>
      </c>
      <c r="AW23" s="69"/>
      <c r="AX23" s="69"/>
      <c r="AY23" s="69"/>
      <c r="AZ23" s="69"/>
      <c r="BA23" s="69"/>
      <c r="BB23" s="69"/>
      <c r="BC23" s="61">
        <f>AS23/BM8</f>
        <v>0.75374175609070559</v>
      </c>
      <c r="BD23" s="61">
        <f>AT23/BN8</f>
        <v>0.79515989628349171</v>
      </c>
      <c r="BE23" s="61">
        <f>AU23/BO8</f>
        <v>0.47625418060200675</v>
      </c>
      <c r="BF23" s="61">
        <f>AV23/BP8</f>
        <v>0.61584454409566514</v>
      </c>
    </row>
    <row r="24" spans="2:68">
      <c r="B24" s="98"/>
      <c r="C24" s="68" t="s">
        <v>394</v>
      </c>
      <c r="D24" s="68">
        <v>5</v>
      </c>
      <c r="E24" s="92"/>
      <c r="F24" s="68"/>
      <c r="G24" s="68"/>
      <c r="H24" s="68">
        <v>1</v>
      </c>
      <c r="I24" s="70"/>
      <c r="J24" s="68">
        <v>1</v>
      </c>
      <c r="K24" s="70"/>
      <c r="L24" s="68">
        <v>1</v>
      </c>
      <c r="M24" s="70"/>
      <c r="N24" s="68"/>
      <c r="O24" s="68"/>
      <c r="P24" s="68"/>
      <c r="Q24" s="68"/>
      <c r="R24" s="68"/>
      <c r="S24" s="68"/>
      <c r="T24" s="68"/>
      <c r="U24" s="68"/>
      <c r="V24" s="69">
        <f>IF(J24=1,装备拆分数值生成!$AF$46,0)+装备拆分数值生成!$AF$10*能力数值!K24</f>
        <v>272.75</v>
      </c>
      <c r="W24" s="69">
        <f>IF(H24=1,装备拆分数值生成!$AG$40,0)+能力数值!I24*装备拆分数值生成!$AG$4</f>
        <v>111.6</v>
      </c>
      <c r="X24" s="69">
        <f>IF(H24=1,装备拆分数值生成!$AH$40,0)+能力数值!I24*装备拆分数值生成!$AH$4</f>
        <v>111.6</v>
      </c>
      <c r="Y24" s="69">
        <f>IF(L24=1,装备拆分数值生成!$AI$52,0)+装备拆分数值生成!$AI$16*能力数值!M24</f>
        <v>88.75</v>
      </c>
      <c r="AA24" s="69"/>
      <c r="AB24" s="68"/>
      <c r="AC24" s="68"/>
      <c r="AD24" s="68">
        <f>VLOOKUP(D23,宠物成长生成表!$B$5:$J$103,3,0)*$AN$2</f>
        <v>1520.3999999999999</v>
      </c>
      <c r="AE24" s="68">
        <f>VLOOKUP(D23,宠物成长生成表!$B$5:$J$103,4,0)*$AN$3</f>
        <v>388.8</v>
      </c>
      <c r="AF24" s="68">
        <f>VLOOKUP(D23,宠物成长生成表!$B$5:$J$103,4,0)*$AN$4</f>
        <v>388.8</v>
      </c>
      <c r="AG24" s="68">
        <f>VLOOKUP(D23,宠物成长生成表!$B$5:$J$103,7,0)*$AN$5</f>
        <v>362.56</v>
      </c>
      <c r="AH24" s="68">
        <f>VLOOKUP(D24,宠物成长生成表!$B$5:$J$103,6,0)</f>
        <v>59</v>
      </c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9">
        <f t="shared" si="4"/>
        <v>1793.1499999999999</v>
      </c>
      <c r="AT24" s="69">
        <f t="shared" si="5"/>
        <v>500.4</v>
      </c>
      <c r="AU24" s="69">
        <f t="shared" si="6"/>
        <v>500.4</v>
      </c>
      <c r="AV24" s="71">
        <f t="shared" si="7"/>
        <v>451.31</v>
      </c>
      <c r="AW24" s="69"/>
      <c r="AX24" s="69"/>
      <c r="AY24" s="69"/>
      <c r="AZ24" s="69"/>
      <c r="BA24" s="69"/>
      <c r="BB24" s="69"/>
      <c r="BC24" s="61">
        <f>AS24/BM8</f>
        <v>0.90000401529828644</v>
      </c>
      <c r="BD24" s="61">
        <f>AT24/BN8</f>
        <v>0.80092192451743016</v>
      </c>
      <c r="BE24" s="61">
        <f>AU24/BO8</f>
        <v>0.61984392419175027</v>
      </c>
      <c r="BF24" s="61">
        <f>AV24/BP8</f>
        <v>0.88763669262843203</v>
      </c>
    </row>
    <row r="25" spans="2:68" ht="17.25" thickBot="1">
      <c r="B25" s="99"/>
      <c r="C25" s="72" t="s">
        <v>427</v>
      </c>
      <c r="D25" s="72">
        <v>3</v>
      </c>
      <c r="E25" s="93"/>
      <c r="F25" s="72"/>
      <c r="G25" s="72"/>
      <c r="H25" s="72">
        <v>1</v>
      </c>
      <c r="I25" s="74"/>
      <c r="J25" s="72"/>
      <c r="K25" s="74"/>
      <c r="L25" s="72"/>
      <c r="M25" s="74"/>
      <c r="N25" s="72"/>
      <c r="O25" s="72"/>
      <c r="P25" s="72"/>
      <c r="Q25" s="72"/>
      <c r="R25" s="72"/>
      <c r="S25" s="72"/>
      <c r="T25" s="72"/>
      <c r="U25" s="72"/>
      <c r="V25" s="82">
        <f>IF(能力数值!J25=1,装备拆分数值生成!$Y$46,0)+能力数值!K25*装备拆分数值生成!$Y$10</f>
        <v>0</v>
      </c>
      <c r="W25" s="82">
        <f>IF(H25=0,0,装备拆分数值生成!$Z$40)+装备拆分数值生成!$Z$4*能力数值!I25</f>
        <v>102.30000000000001</v>
      </c>
      <c r="X25" s="82">
        <f>IF(H25=0,0,装备拆分数值生成!$AA$40)+装备拆分数值生成!$AA$4*能力数值!I25</f>
        <v>102.30000000000001</v>
      </c>
      <c r="Y25" s="82">
        <f>IF(L25=0,0,装备拆分数值生成!$AB$52)+装备拆分数值生成!$AB$16*能力数值!M25</f>
        <v>0</v>
      </c>
      <c r="Z25" s="72"/>
      <c r="AA25" s="73"/>
      <c r="AB25" s="72"/>
      <c r="AC25" s="72"/>
      <c r="AD25" s="72">
        <f>VLOOKUP(D25,宠物成长生成表!$B$5:$J$103,3,0)*$AM$2</f>
        <v>1532.7</v>
      </c>
      <c r="AE25" s="72">
        <f>VLOOKUP(D25,宠物成长生成表!$B$5:$J$103,4,0)*$AM$3</f>
        <v>321.60000000000002</v>
      </c>
      <c r="AF25" s="72">
        <f>VLOOKUP(D25,宠物成长生成表!$B$5:$J$103,4,0)*$AM$4</f>
        <v>321.60000000000002</v>
      </c>
      <c r="AG25" s="72">
        <f>VLOOKUP(D25,宠物成长生成表!$B$5:$J$103,7,0)*$AM$5</f>
        <v>506.88</v>
      </c>
      <c r="AH25" s="81">
        <f>VLOOKUP(D25,宠物成长生成表!$B$5:$J$103,6,0)</f>
        <v>57</v>
      </c>
      <c r="AI25" s="72"/>
      <c r="AJ25" s="72"/>
      <c r="AK25" s="72"/>
      <c r="AL25" s="72"/>
      <c r="AM25" s="72"/>
      <c r="AN25" s="72"/>
      <c r="AO25" s="72"/>
      <c r="AP25" s="72"/>
      <c r="AQ25" s="72"/>
      <c r="AR25" s="72"/>
      <c r="AS25" s="73">
        <f t="shared" si="4"/>
        <v>1532.7</v>
      </c>
      <c r="AT25" s="73">
        <f t="shared" si="5"/>
        <v>423.90000000000003</v>
      </c>
      <c r="AU25" s="73">
        <f t="shared" si="6"/>
        <v>423.90000000000003</v>
      </c>
      <c r="AV25" s="75">
        <f t="shared" si="7"/>
        <v>506.88</v>
      </c>
      <c r="AW25" s="69"/>
      <c r="AX25" s="69"/>
      <c r="AY25" s="69"/>
      <c r="AZ25" s="69"/>
      <c r="BA25" s="69"/>
      <c r="BB25" s="69"/>
      <c r="BC25" s="61">
        <f>AS25/BM5</f>
        <v>0.85921864751685983</v>
      </c>
      <c r="BD25" s="61">
        <f>AT25/BN5</f>
        <v>0.75842696629213491</v>
      </c>
      <c r="BE25" s="61">
        <f>AU25/BO5</f>
        <v>0.58695652173913049</v>
      </c>
      <c r="BF25" s="61">
        <f>AV25/BP5</f>
        <v>1.1134346718214567</v>
      </c>
    </row>
    <row r="26" spans="2:68">
      <c r="B26" s="97" t="s">
        <v>379</v>
      </c>
      <c r="C26" s="64" t="s">
        <v>428</v>
      </c>
      <c r="D26" s="64">
        <v>6</v>
      </c>
      <c r="E26" s="91"/>
      <c r="F26" s="64"/>
      <c r="G26" s="64"/>
      <c r="H26" s="64">
        <v>1</v>
      </c>
      <c r="I26" s="66"/>
      <c r="J26" s="64">
        <v>1</v>
      </c>
      <c r="K26" s="66"/>
      <c r="L26" s="64">
        <v>1</v>
      </c>
      <c r="M26" s="66"/>
      <c r="N26" s="64"/>
      <c r="O26" s="64"/>
      <c r="P26" s="64"/>
      <c r="Q26" s="64"/>
      <c r="R26" s="64"/>
      <c r="S26" s="64"/>
      <c r="T26" s="64"/>
      <c r="U26" s="64" t="s">
        <v>411</v>
      </c>
      <c r="V26" s="69">
        <f>IF(J26=1,装备拆分数值生成!$R$46,0)+K26*装备拆分数值生成!$R$10</f>
        <v>272.75</v>
      </c>
      <c r="W26" s="65">
        <f>IF(H26=1,装备拆分数值生成!$S$40,0)+I26*装备拆分数值生成!$S$4</f>
        <v>74.400000000000006</v>
      </c>
      <c r="X26" s="65">
        <f>IF(H26=1,装备拆分数值生成!$T$40,0)+I26*装备拆分数值生成!$T$4</f>
        <v>148.80000000000001</v>
      </c>
      <c r="Y26" s="65">
        <f>IF(J26=1,装备拆分数值生成!$R$46,0)+K26*装备拆分数值生成!$R$10</f>
        <v>272.75</v>
      </c>
      <c r="AA26" s="65"/>
      <c r="AB26" s="64"/>
      <c r="AC26" s="64"/>
      <c r="AD26" s="68">
        <f>VLOOKUP(D26,宠物成长生成表!$B$5:$J$103,3,0)*$AL$2</f>
        <v>1271.67</v>
      </c>
      <c r="AE26" s="68">
        <f>VLOOKUP(D26,宠物成长生成表!$B$5:$J$103,4,0)*$AL$3</f>
        <v>397.83</v>
      </c>
      <c r="AF26" s="68">
        <f>VLOOKUP(D26,宠物成长生成表!$B$5:$J$103,4,0)*$AL$4</f>
        <v>514.04999999999995</v>
      </c>
      <c r="AG26" s="68">
        <f>VLOOKUP(D26,宠物成长生成表!$B$5:$J$103,7,0)*$AL$5</f>
        <v>324.52</v>
      </c>
      <c r="AH26" s="64">
        <f>VLOOKUP(D26,宠物成长生成表!$B$5:$J$103,6,0)</f>
        <v>60</v>
      </c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5">
        <f t="shared" si="4"/>
        <v>1544.42</v>
      </c>
      <c r="AT26" s="65">
        <f t="shared" si="5"/>
        <v>472.23</v>
      </c>
      <c r="AU26" s="65">
        <f t="shared" si="6"/>
        <v>662.84999999999991</v>
      </c>
      <c r="AV26" s="67">
        <f t="shared" si="7"/>
        <v>597.27</v>
      </c>
      <c r="AW26" s="69"/>
      <c r="AX26" s="69"/>
      <c r="AY26" s="69"/>
      <c r="AZ26" s="69"/>
      <c r="BA26" s="69"/>
      <c r="BB26" s="69"/>
    </row>
    <row r="27" spans="2:68">
      <c r="B27" s="98"/>
      <c r="C27" s="68" t="s">
        <v>426</v>
      </c>
      <c r="D27" s="68">
        <v>6</v>
      </c>
      <c r="E27" s="92"/>
      <c r="F27" s="68"/>
      <c r="G27" s="68"/>
      <c r="H27" s="68"/>
      <c r="I27" s="70"/>
      <c r="J27" s="68">
        <v>1</v>
      </c>
      <c r="K27" s="70"/>
      <c r="L27" s="68">
        <v>1</v>
      </c>
      <c r="M27" s="70"/>
      <c r="N27" s="68"/>
      <c r="O27" s="68"/>
      <c r="P27" s="68"/>
      <c r="Q27" s="68"/>
      <c r="R27" s="68"/>
      <c r="S27" s="68"/>
      <c r="T27" s="68"/>
      <c r="U27" s="68"/>
      <c r="V27" s="69">
        <f>IF(J27=1,装备拆分数值生成!$AF$46,0)+K27*装备拆分数值生成!$N$16</f>
        <v>272.75</v>
      </c>
      <c r="W27" s="69">
        <f>IF(H27=1,装备拆分数值生成!$L$40,0)+能力数值!I27*装备拆分数值生成!$L$4</f>
        <v>0</v>
      </c>
      <c r="X27" s="69">
        <f>IF(H27=1,装备拆分数值生成!$M$40,0)+能力数值!I27*装备拆分数值生成!$M$4</f>
        <v>0</v>
      </c>
      <c r="Y27" s="69">
        <f>IF(L27=1,装备拆分数值生成!$N$52,0)+装备拆分数值生成!$N$16*能力数值!M27</f>
        <v>71</v>
      </c>
      <c r="AA27" s="69"/>
      <c r="AB27" s="68"/>
      <c r="AC27" s="68"/>
      <c r="AD27" s="68">
        <f>VLOOKUP(D27,宠物成长生成表!$B$5:$J$103,3,0)*$AO$2</f>
        <v>1271.67</v>
      </c>
      <c r="AE27" s="68">
        <f>VLOOKUP(D27,宠物成长生成表!$B$5:$J$103,4,0)*$AO$3</f>
        <v>514.04999999999995</v>
      </c>
      <c r="AF27" s="68">
        <f>VLOOKUP(D27,宠物成长生成表!$B$5:$J$103,4,0)*$AO$4</f>
        <v>397.83</v>
      </c>
      <c r="AG27" s="68">
        <f>VLOOKUP(D27,宠物成长生成表!$B$5:$J$103,7,0)*$AO$5</f>
        <v>324.52</v>
      </c>
      <c r="AH27" s="68">
        <f>VLOOKUP(D27,宠物成长生成表!$B$5:$J$103,6,0)</f>
        <v>60</v>
      </c>
      <c r="AI27" s="68"/>
      <c r="AJ27" s="68"/>
      <c r="AK27" s="68"/>
      <c r="AL27" s="68"/>
      <c r="AM27" s="68"/>
      <c r="AN27" s="68"/>
      <c r="AO27" s="68"/>
      <c r="AP27" s="68"/>
      <c r="AQ27" s="68"/>
      <c r="AR27" s="68"/>
      <c r="AS27" s="69">
        <f t="shared" si="4"/>
        <v>1544.42</v>
      </c>
      <c r="AT27" s="69">
        <f t="shared" si="5"/>
        <v>514.04999999999995</v>
      </c>
      <c r="AU27" s="69">
        <f t="shared" si="6"/>
        <v>397.83</v>
      </c>
      <c r="AV27" s="71">
        <f t="shared" si="7"/>
        <v>395.52</v>
      </c>
      <c r="AW27" s="69"/>
      <c r="AX27" s="69"/>
      <c r="AY27" s="69"/>
      <c r="AZ27" s="69"/>
      <c r="BA27" s="69"/>
      <c r="BB27" s="69"/>
    </row>
    <row r="28" spans="2:68">
      <c r="B28" s="98"/>
      <c r="C28" s="68" t="s">
        <v>394</v>
      </c>
      <c r="D28" s="68">
        <v>7</v>
      </c>
      <c r="E28" s="92"/>
      <c r="F28" s="68"/>
      <c r="G28" s="68"/>
      <c r="H28" s="68">
        <v>1</v>
      </c>
      <c r="I28" s="70"/>
      <c r="J28" s="68">
        <v>1</v>
      </c>
      <c r="K28" s="70"/>
      <c r="L28" s="68">
        <v>1</v>
      </c>
      <c r="M28" s="70"/>
      <c r="N28" s="68"/>
      <c r="O28" s="68"/>
      <c r="P28" s="68"/>
      <c r="Q28" s="68"/>
      <c r="R28" s="68"/>
      <c r="S28" s="68"/>
      <c r="T28" s="68"/>
      <c r="U28" s="68"/>
      <c r="V28" s="69">
        <f>IF(J28=1,装备拆分数值生成!$AF$46,0)+装备拆分数值生成!$AF$10*能力数值!K28</f>
        <v>272.75</v>
      </c>
      <c r="W28" s="69">
        <f>IF(H28=1,装备拆分数值生成!$AG$40,0)+能力数值!I28*装备拆分数值生成!$AG$4</f>
        <v>111.6</v>
      </c>
      <c r="X28" s="69">
        <f>IF(H28=1,装备拆分数值生成!$AH$40,0)+能力数值!I28*装备拆分数值生成!$AH$4</f>
        <v>111.6</v>
      </c>
      <c r="Y28" s="69">
        <f>IF(L28=1,装备拆分数值生成!$AI$52,0)+装备拆分数值生成!$AI$16*能力数值!M28</f>
        <v>88.75</v>
      </c>
      <c r="AA28" s="69"/>
      <c r="AB28" s="68"/>
      <c r="AC28" s="68"/>
      <c r="AD28" s="68">
        <f>VLOOKUP(D27,宠物成长生成表!$B$5:$J$103,3,0)*$AN$2</f>
        <v>1573.2</v>
      </c>
      <c r="AE28" s="68">
        <f>VLOOKUP(D27,宠物成长生成表!$B$5:$J$103,4,0)*$AN$3</f>
        <v>402.3</v>
      </c>
      <c r="AF28" s="68">
        <f>VLOOKUP(D27,宠物成长生成表!$B$5:$J$103,4,0)*$AN$4</f>
        <v>402.3</v>
      </c>
      <c r="AG28" s="68">
        <f>VLOOKUP(D27,宠物成长生成表!$B$5:$J$103,7,0)*$AN$5</f>
        <v>375.76</v>
      </c>
      <c r="AH28" s="68">
        <f>VLOOKUP(D28,宠物成长生成表!$B$5:$J$103,6,0)</f>
        <v>61</v>
      </c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9">
        <f t="shared" si="4"/>
        <v>1845.95</v>
      </c>
      <c r="AT28" s="69">
        <f t="shared" si="5"/>
        <v>513.9</v>
      </c>
      <c r="AU28" s="69">
        <f t="shared" si="6"/>
        <v>513.9</v>
      </c>
      <c r="AV28" s="71">
        <f t="shared" si="7"/>
        <v>464.51</v>
      </c>
      <c r="AW28" s="69"/>
      <c r="AX28" s="69"/>
      <c r="AY28" s="69"/>
      <c r="AZ28" s="69"/>
      <c r="BA28" s="69"/>
      <c r="BB28" s="69"/>
    </row>
    <row r="29" spans="2:68" ht="17.25" thickBot="1">
      <c r="B29" s="99"/>
      <c r="C29" s="72" t="s">
        <v>427</v>
      </c>
      <c r="D29" s="72">
        <v>4</v>
      </c>
      <c r="E29" s="93"/>
      <c r="F29" s="72"/>
      <c r="G29" s="72"/>
      <c r="H29" s="72"/>
      <c r="I29" s="74"/>
      <c r="J29" s="72"/>
      <c r="K29" s="74"/>
      <c r="L29" s="72"/>
      <c r="M29" s="74"/>
      <c r="N29" s="72"/>
      <c r="O29" s="72"/>
      <c r="P29" s="72"/>
      <c r="Q29" s="72"/>
      <c r="R29" s="72"/>
      <c r="S29" s="72"/>
      <c r="T29" s="72"/>
      <c r="U29" s="72"/>
      <c r="V29" s="82">
        <f>IF(能力数值!J29=1,装备拆分数值生成!$Y$46,0)+能力数值!K29*装备拆分数值生成!$Y$10</f>
        <v>0</v>
      </c>
      <c r="W29" s="82">
        <f>IF(H29=0,0,装备拆分数值生成!$Z$40)+装备拆分数值生成!$Z$4*能力数值!I29</f>
        <v>0</v>
      </c>
      <c r="X29" s="82">
        <f>IF(H29=0,0,装备拆分数值生成!$AA$40)+装备拆分数值生成!$AA$4*能力数值!I29</f>
        <v>0</v>
      </c>
      <c r="Y29" s="82">
        <f>IF(L29=0,0,装备拆分数值生成!$AB$52)+装备拆分数值生成!$AB$16*能力数值!M29</f>
        <v>0</v>
      </c>
      <c r="Z29" s="72"/>
      <c r="AA29" s="73"/>
      <c r="AB29" s="72"/>
      <c r="AC29" s="72"/>
      <c r="AD29" s="72">
        <f>VLOOKUP(D29,宠物成长生成表!$B$5:$J$103,3,0)*$AM$2</f>
        <v>1589.9</v>
      </c>
      <c r="AE29" s="72">
        <f>VLOOKUP(D29,宠物成长生成表!$B$5:$J$103,4,0)*$AM$3</f>
        <v>333.6</v>
      </c>
      <c r="AF29" s="72">
        <f>VLOOKUP(D29,宠物成长生成表!$B$5:$J$103,4,0)*$AM$4</f>
        <v>333.6</v>
      </c>
      <c r="AG29" s="72">
        <f>VLOOKUP(D29,宠物成长生成表!$B$5:$J$103,7,0)*$AM$5</f>
        <v>525.36</v>
      </c>
      <c r="AH29" s="68">
        <f>VLOOKUP(D29,宠物成长生成表!$B$5:$J$103,6,0)</f>
        <v>58</v>
      </c>
      <c r="AI29" s="72"/>
      <c r="AJ29" s="72"/>
      <c r="AK29" s="72"/>
      <c r="AL29" s="72"/>
      <c r="AM29" s="72"/>
      <c r="AN29" s="72"/>
      <c r="AO29" s="72"/>
      <c r="AP29" s="72"/>
      <c r="AQ29" s="72"/>
      <c r="AR29" s="72"/>
      <c r="AS29" s="73">
        <f t="shared" si="4"/>
        <v>1589.9</v>
      </c>
      <c r="AT29" s="73">
        <f t="shared" si="5"/>
        <v>333.6</v>
      </c>
      <c r="AU29" s="73">
        <f t="shared" si="6"/>
        <v>333.6</v>
      </c>
      <c r="AV29" s="75">
        <f t="shared" si="7"/>
        <v>525.36</v>
      </c>
      <c r="AW29" s="69"/>
      <c r="AX29" s="69"/>
      <c r="AY29" s="69"/>
      <c r="AZ29" s="69"/>
      <c r="BA29" s="69"/>
      <c r="BB29" s="69"/>
    </row>
    <row r="30" spans="2:68">
      <c r="B30" s="97" t="s">
        <v>380</v>
      </c>
      <c r="C30" s="64" t="s">
        <v>428</v>
      </c>
      <c r="D30" s="64">
        <v>6</v>
      </c>
      <c r="E30" s="91"/>
      <c r="F30" s="64"/>
      <c r="G30" s="64"/>
      <c r="H30" s="64">
        <v>1</v>
      </c>
      <c r="I30" s="66">
        <v>1</v>
      </c>
      <c r="J30" s="64">
        <v>1</v>
      </c>
      <c r="K30" s="66">
        <v>3</v>
      </c>
      <c r="L30" s="64">
        <v>1</v>
      </c>
      <c r="M30" s="66">
        <v>3</v>
      </c>
      <c r="N30" s="64"/>
      <c r="O30" s="64"/>
      <c r="P30" s="64"/>
      <c r="Q30" s="64"/>
      <c r="R30" s="64"/>
      <c r="S30" s="64"/>
      <c r="T30" s="64"/>
      <c r="U30" s="64"/>
      <c r="V30" s="69">
        <f>IF(J30=1,装备拆分数值生成!$R$46,0)+K30*装备拆分数值生成!$R$10</f>
        <v>343.41666666666669</v>
      </c>
      <c r="W30" s="65">
        <f>IF(H30=1,装备拆分数值生成!$S$40,0)+I30*装备拆分数值生成!$S$4</f>
        <v>80.844444444444449</v>
      </c>
      <c r="X30" s="65">
        <f>IF(H30=1,装备拆分数值生成!$T$40,0)+I30*装备拆分数值生成!$T$4</f>
        <v>161.6888888888889</v>
      </c>
      <c r="Y30" s="65">
        <f>IF(J30=1,装备拆分数值生成!$R$46,0)+K30*装备拆分数值生成!$R$10</f>
        <v>343.41666666666669</v>
      </c>
      <c r="AA30" s="65"/>
      <c r="AB30" s="64"/>
      <c r="AC30" s="64"/>
      <c r="AD30" s="68">
        <f>VLOOKUP(D30,宠物成长生成表!$B$5:$J$103,3,0)*$AL$2</f>
        <v>1271.67</v>
      </c>
      <c r="AE30" s="68">
        <f>VLOOKUP(D30,宠物成长生成表!$B$5:$J$103,4,0)*$AL$3</f>
        <v>397.83</v>
      </c>
      <c r="AF30" s="68">
        <f>VLOOKUP(D30,宠物成长生成表!$B$5:$J$103,4,0)*$AL$4</f>
        <v>514.04999999999995</v>
      </c>
      <c r="AG30" s="68">
        <f>VLOOKUP(D30,宠物成长生成表!$B$5:$J$103,7,0)*$AL$5</f>
        <v>324.52</v>
      </c>
      <c r="AH30" s="64">
        <f>VLOOKUP(D30,宠物成长生成表!$B$5:$J$103,6,0)</f>
        <v>60</v>
      </c>
      <c r="AI30" s="64"/>
      <c r="AJ30" s="64"/>
      <c r="AK30" s="64"/>
      <c r="AL30" s="64"/>
      <c r="AM30" s="64"/>
      <c r="AN30" s="64"/>
      <c r="AO30" s="64"/>
      <c r="AP30" s="64"/>
      <c r="AQ30" s="64"/>
      <c r="AR30" s="64"/>
      <c r="AS30" s="65">
        <f t="shared" si="4"/>
        <v>1615.0866666666668</v>
      </c>
      <c r="AT30" s="65">
        <f t="shared" si="5"/>
        <v>478.67444444444442</v>
      </c>
      <c r="AU30" s="65">
        <f t="shared" si="6"/>
        <v>675.73888888888882</v>
      </c>
      <c r="AV30" s="67">
        <f t="shared" si="7"/>
        <v>667.93666666666672</v>
      </c>
      <c r="AW30" s="69"/>
      <c r="AX30" s="69"/>
      <c r="AY30" s="69"/>
      <c r="AZ30" s="69"/>
      <c r="BA30" s="69"/>
      <c r="BB30" s="69"/>
    </row>
    <row r="31" spans="2:68">
      <c r="B31" s="98"/>
      <c r="C31" s="68" t="s">
        <v>426</v>
      </c>
      <c r="D31" s="68">
        <v>6</v>
      </c>
      <c r="E31" s="92"/>
      <c r="F31" s="68"/>
      <c r="G31" s="68"/>
      <c r="H31" s="68">
        <v>1</v>
      </c>
      <c r="I31" s="70">
        <v>0</v>
      </c>
      <c r="J31" s="68">
        <v>1</v>
      </c>
      <c r="K31" s="70">
        <v>1</v>
      </c>
      <c r="L31" s="68">
        <v>1</v>
      </c>
      <c r="M31" s="70">
        <v>1</v>
      </c>
      <c r="N31" s="68"/>
      <c r="O31" s="68"/>
      <c r="P31" s="68"/>
      <c r="Q31" s="68"/>
      <c r="R31" s="68"/>
      <c r="S31" s="68"/>
      <c r="T31" s="68"/>
      <c r="U31" s="68"/>
      <c r="V31" s="69">
        <f>IF(J31=1,装备拆分数值生成!$AF$46,0)+K31*装备拆分数值生成!$N$16</f>
        <v>278.88333333333333</v>
      </c>
      <c r="W31" s="69">
        <f>IF(H31=1,装备拆分数值生成!$L$40,0)+能力数值!I31*装备拆分数值生成!$L$4</f>
        <v>148.80000000000001</v>
      </c>
      <c r="X31" s="69">
        <f>IF(H31=1,装备拆分数值生成!$M$40,0)+能力数值!I31*装备拆分数值生成!$M$4</f>
        <v>74.400000000000006</v>
      </c>
      <c r="Y31" s="69">
        <f>IF(L31=1,装备拆分数值生成!$N$52,0)+装备拆分数值生成!$N$16*能力数值!M31</f>
        <v>77.13333333333334</v>
      </c>
      <c r="AA31" s="69"/>
      <c r="AB31" s="68"/>
      <c r="AC31" s="68"/>
      <c r="AD31" s="68">
        <f>VLOOKUP(D31,宠物成长生成表!$B$5:$J$103,3,0)*$AO$2</f>
        <v>1271.67</v>
      </c>
      <c r="AE31" s="68">
        <f>VLOOKUP(D31,宠物成长生成表!$B$5:$J$103,4,0)*$AO$3</f>
        <v>514.04999999999995</v>
      </c>
      <c r="AF31" s="68">
        <f>VLOOKUP(D31,宠物成长生成表!$B$5:$J$103,4,0)*$AO$4</f>
        <v>397.83</v>
      </c>
      <c r="AG31" s="68">
        <f>VLOOKUP(D31,宠物成长生成表!$B$5:$J$103,7,0)*$AO$5</f>
        <v>324.52</v>
      </c>
      <c r="AH31" s="68">
        <f>VLOOKUP(D31,宠物成长生成表!$B$5:$J$103,6,0)</f>
        <v>60</v>
      </c>
      <c r="AI31" s="68"/>
      <c r="AJ31" s="68"/>
      <c r="AK31" s="68"/>
      <c r="AL31" s="68"/>
      <c r="AM31" s="68"/>
      <c r="AN31" s="68"/>
      <c r="AO31" s="68"/>
      <c r="AP31" s="68"/>
      <c r="AQ31" s="68"/>
      <c r="AR31" s="68"/>
      <c r="AS31" s="69">
        <f t="shared" si="4"/>
        <v>1550.5533333333333</v>
      </c>
      <c r="AT31" s="69">
        <f t="shared" si="5"/>
        <v>662.84999999999991</v>
      </c>
      <c r="AU31" s="69">
        <f t="shared" si="6"/>
        <v>472.23</v>
      </c>
      <c r="AV31" s="71">
        <f t="shared" si="7"/>
        <v>401.65333333333331</v>
      </c>
      <c r="AW31" s="69"/>
      <c r="AX31" s="69"/>
      <c r="AY31" s="69"/>
      <c r="AZ31" s="69"/>
      <c r="BA31" s="69"/>
      <c r="BB31" s="69"/>
    </row>
    <row r="32" spans="2:68">
      <c r="B32" s="98"/>
      <c r="C32" s="68" t="s">
        <v>394</v>
      </c>
      <c r="D32" s="68">
        <v>7</v>
      </c>
      <c r="E32" s="92"/>
      <c r="F32" s="68"/>
      <c r="G32" s="68"/>
      <c r="H32" s="68">
        <v>1</v>
      </c>
      <c r="I32" s="70">
        <v>0</v>
      </c>
      <c r="J32" s="68">
        <v>1</v>
      </c>
      <c r="K32" s="70">
        <v>0</v>
      </c>
      <c r="L32" s="68">
        <v>1</v>
      </c>
      <c r="M32" s="70">
        <v>0</v>
      </c>
      <c r="N32" s="68"/>
      <c r="O32" s="68"/>
      <c r="P32" s="68"/>
      <c r="Q32" s="68"/>
      <c r="R32" s="68"/>
      <c r="S32" s="68"/>
      <c r="T32" s="68"/>
      <c r="U32" s="68"/>
      <c r="V32" s="69">
        <f>IF(J32=1,装备拆分数值生成!$AF$46,0)+装备拆分数值生成!$AF$10*能力数值!K32</f>
        <v>272.75</v>
      </c>
      <c r="W32" s="69">
        <f>IF(H32=1,装备拆分数值生成!$AG$40,0)+能力数值!I32*装备拆分数值生成!$AG$4</f>
        <v>111.6</v>
      </c>
      <c r="X32" s="69">
        <f>IF(H32=1,装备拆分数值生成!$AH$40,0)+能力数值!I32*装备拆分数值生成!$AH$4</f>
        <v>111.6</v>
      </c>
      <c r="Y32" s="69">
        <f>IF(L32=1,装备拆分数值生成!$AI$52,0)+装备拆分数值生成!$AI$16*能力数值!M32</f>
        <v>88.75</v>
      </c>
      <c r="AA32" s="69"/>
      <c r="AB32" s="68"/>
      <c r="AC32" s="68"/>
      <c r="AD32" s="68">
        <f>VLOOKUP(D31,宠物成长生成表!$B$5:$J$103,3,0)*$AN$2</f>
        <v>1573.2</v>
      </c>
      <c r="AE32" s="68">
        <f>VLOOKUP(D31,宠物成长生成表!$B$5:$J$103,4,0)*$AN$3</f>
        <v>402.3</v>
      </c>
      <c r="AF32" s="68">
        <f>VLOOKUP(D31,宠物成长生成表!$B$5:$J$103,4,0)*$AN$4</f>
        <v>402.3</v>
      </c>
      <c r="AG32" s="68">
        <f>VLOOKUP(D31,宠物成长生成表!$B$5:$J$103,7,0)*$AN$5</f>
        <v>375.76</v>
      </c>
      <c r="AH32" s="68">
        <f>VLOOKUP(D32,宠物成长生成表!$B$5:$J$103,6,0)</f>
        <v>61</v>
      </c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9">
        <f t="shared" si="4"/>
        <v>1845.95</v>
      </c>
      <c r="AT32" s="69">
        <f t="shared" si="5"/>
        <v>513.9</v>
      </c>
      <c r="AU32" s="69">
        <f t="shared" si="6"/>
        <v>513.9</v>
      </c>
      <c r="AV32" s="71">
        <f t="shared" si="7"/>
        <v>464.51</v>
      </c>
      <c r="AW32" s="69"/>
      <c r="AX32" s="69"/>
      <c r="AY32" s="69"/>
      <c r="AZ32" s="69"/>
      <c r="BA32" s="69"/>
      <c r="BB32" s="69"/>
    </row>
    <row r="33" spans="2:54" ht="17.25" thickBot="1">
      <c r="B33" s="99"/>
      <c r="C33" s="72" t="s">
        <v>427</v>
      </c>
      <c r="D33" s="72">
        <v>4</v>
      </c>
      <c r="E33" s="93"/>
      <c r="F33" s="72"/>
      <c r="G33" s="72"/>
      <c r="H33" s="72"/>
      <c r="I33" s="74"/>
      <c r="J33" s="72">
        <v>1</v>
      </c>
      <c r="K33" s="74">
        <v>0</v>
      </c>
      <c r="L33" s="72"/>
      <c r="M33" s="74"/>
      <c r="N33" s="72"/>
      <c r="O33" s="72"/>
      <c r="P33" s="72"/>
      <c r="Q33" s="72"/>
      <c r="R33" s="72"/>
      <c r="S33" s="72"/>
      <c r="T33" s="72"/>
      <c r="U33" s="72"/>
      <c r="V33" s="73">
        <f>IF(能力数值!J33=1,装备拆分数值生成!$Y$10,0)+能力数值!K33*装备拆分数值生成!$Y$10</f>
        <v>37.68888888888889</v>
      </c>
      <c r="W33" s="73">
        <f>IF(H33=0,0,装备拆分数值生成!$Z$40)+装备拆分数值生成!$Z$4*能力数值!I33</f>
        <v>0</v>
      </c>
      <c r="X33" s="73">
        <f>IF(H33=0,0,装备拆分数值生成!$AA$40)+装备拆分数值生成!$AA$4*能力数值!I33</f>
        <v>0</v>
      </c>
      <c r="Y33" s="73">
        <f>IF(L33=0,0,装备拆分数值生成!$AB$52)+装备拆分数值生成!$AB$16*能力数值!M33</f>
        <v>0</v>
      </c>
      <c r="Z33" s="72"/>
      <c r="AA33" s="73"/>
      <c r="AB33" s="72"/>
      <c r="AC33" s="72"/>
      <c r="AD33" s="72">
        <f>VLOOKUP(D33,宠物成长生成表!$B$5:$J$103,3,0)*$AM$2</f>
        <v>1589.9</v>
      </c>
      <c r="AE33" s="72">
        <f>VLOOKUP(D33,宠物成长生成表!$B$5:$J$103,4,0)*$AM$3</f>
        <v>333.6</v>
      </c>
      <c r="AF33" s="72">
        <f>VLOOKUP(D33,宠物成长生成表!$B$5:$J$103,4,0)*$AM$4</f>
        <v>333.6</v>
      </c>
      <c r="AG33" s="72">
        <f>VLOOKUP(D33,宠物成长生成表!$B$5:$J$103,7,0)*$AM$5</f>
        <v>525.36</v>
      </c>
      <c r="AH33" s="68">
        <f>VLOOKUP(D33,宠物成长生成表!$B$5:$J$103,6,0)</f>
        <v>58</v>
      </c>
      <c r="AI33" s="72"/>
      <c r="AJ33" s="72"/>
      <c r="AK33" s="72"/>
      <c r="AL33" s="72"/>
      <c r="AM33" s="72"/>
      <c r="AN33" s="72"/>
      <c r="AO33" s="72"/>
      <c r="AP33" s="72"/>
      <c r="AQ33" s="72"/>
      <c r="AR33" s="72"/>
      <c r="AS33" s="73">
        <f t="shared" si="4"/>
        <v>1627.588888888889</v>
      </c>
      <c r="AT33" s="73">
        <f t="shared" si="5"/>
        <v>333.6</v>
      </c>
      <c r="AU33" s="73">
        <f t="shared" si="6"/>
        <v>333.6</v>
      </c>
      <c r="AV33" s="75">
        <f t="shared" si="7"/>
        <v>525.36</v>
      </c>
      <c r="AW33" s="69"/>
      <c r="AX33" s="69"/>
      <c r="AY33" s="69"/>
      <c r="AZ33" s="69"/>
      <c r="BA33" s="69"/>
      <c r="BB33" s="69"/>
    </row>
    <row r="34" spans="2:54">
      <c r="B34" s="97" t="s">
        <v>381</v>
      </c>
      <c r="C34" s="64" t="s">
        <v>428</v>
      </c>
      <c r="D34" s="64">
        <v>6</v>
      </c>
      <c r="E34" s="91"/>
      <c r="F34" s="64"/>
      <c r="G34" s="64"/>
      <c r="H34" s="64">
        <v>1</v>
      </c>
      <c r="I34" s="66">
        <v>3</v>
      </c>
      <c r="J34" s="64">
        <v>1</v>
      </c>
      <c r="K34" s="66">
        <v>3</v>
      </c>
      <c r="L34" s="64">
        <v>1</v>
      </c>
      <c r="M34" s="66">
        <v>3</v>
      </c>
      <c r="N34" s="64"/>
      <c r="O34" s="64"/>
      <c r="P34" s="64"/>
      <c r="Q34" s="64"/>
      <c r="R34" s="64"/>
      <c r="S34" s="64"/>
      <c r="T34" s="64"/>
      <c r="U34" s="64"/>
      <c r="V34" s="69">
        <f>IF(J34=1,装备拆分数值生成!$R$46,0)+K34*装备拆分数值生成!$R$10</f>
        <v>343.41666666666669</v>
      </c>
      <c r="W34" s="65">
        <f>IF(H34=1,装备拆分数值生成!$S$40,0)+I34*装备拆分数值生成!$S$4</f>
        <v>93.733333333333348</v>
      </c>
      <c r="X34" s="65">
        <f>IF(H34=1,装备拆分数值生成!$T$40,0)+I34*装备拆分数值生成!$T$4</f>
        <v>187.4666666666667</v>
      </c>
      <c r="Y34" s="65">
        <f>IF(J34=1,装备拆分数值生成!$R$46,0)+K34*装备拆分数值生成!$R$10</f>
        <v>343.41666666666669</v>
      </c>
      <c r="AA34" s="65"/>
      <c r="AB34" s="64"/>
      <c r="AC34" s="64"/>
      <c r="AD34" s="68">
        <f>VLOOKUP(D34,宠物成长生成表!$B$5:$J$103,3,0)*$AL$2</f>
        <v>1271.67</v>
      </c>
      <c r="AE34" s="68">
        <f>VLOOKUP(D34,宠物成长生成表!$B$5:$J$103,4,0)*$AL$3</f>
        <v>397.83</v>
      </c>
      <c r="AF34" s="68">
        <f>VLOOKUP(D34,宠物成长生成表!$B$5:$J$103,4,0)*$AL$4</f>
        <v>514.04999999999995</v>
      </c>
      <c r="AG34" s="68">
        <f>VLOOKUP(D34,宠物成长生成表!$B$5:$J$103,7,0)*$AL$5</f>
        <v>324.52</v>
      </c>
      <c r="AH34" s="64">
        <f>VLOOKUP(D34,宠物成长生成表!$B$5:$J$103,6,0)</f>
        <v>60</v>
      </c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5">
        <f t="shared" si="4"/>
        <v>1615.0866666666668</v>
      </c>
      <c r="AT34" s="65">
        <f t="shared" si="5"/>
        <v>491.56333333333333</v>
      </c>
      <c r="AU34" s="65">
        <f t="shared" si="6"/>
        <v>701.51666666666665</v>
      </c>
      <c r="AV34" s="67">
        <f t="shared" si="7"/>
        <v>667.93666666666672</v>
      </c>
      <c r="AW34" s="69"/>
      <c r="AX34" s="69"/>
      <c r="AY34" s="69"/>
      <c r="AZ34" s="69"/>
      <c r="BA34" s="69"/>
      <c r="BB34" s="69"/>
    </row>
    <row r="35" spans="2:54">
      <c r="B35" s="98"/>
      <c r="C35" s="68" t="s">
        <v>426</v>
      </c>
      <c r="D35" s="68">
        <v>6</v>
      </c>
      <c r="E35" s="92"/>
      <c r="F35" s="68"/>
      <c r="G35" s="68"/>
      <c r="H35" s="68">
        <v>1</v>
      </c>
      <c r="I35" s="70">
        <v>1</v>
      </c>
      <c r="J35" s="68">
        <v>1</v>
      </c>
      <c r="K35" s="70">
        <v>1</v>
      </c>
      <c r="L35" s="68">
        <v>1</v>
      </c>
      <c r="M35" s="70">
        <v>1</v>
      </c>
      <c r="N35" s="68"/>
      <c r="O35" s="68"/>
      <c r="P35" s="68"/>
      <c r="Q35" s="68"/>
      <c r="R35" s="68"/>
      <c r="S35" s="68"/>
      <c r="T35" s="68"/>
      <c r="U35" s="68"/>
      <c r="V35" s="69">
        <f>IF(J35=1,装备拆分数值生成!$AF$46,0)+K35*装备拆分数值生成!$N$16</f>
        <v>278.88333333333333</v>
      </c>
      <c r="W35" s="69">
        <f>IF(H35=1,装备拆分数值生成!$L$40,0)+能力数值!I35*装备拆分数值生成!$L$4</f>
        <v>161.6888888888889</v>
      </c>
      <c r="X35" s="69">
        <f>IF(H35=1,装备拆分数值生成!$M$40,0)+能力数值!I35*装备拆分数值生成!$M$4</f>
        <v>80.844444444444449</v>
      </c>
      <c r="Y35" s="69">
        <f>IF(L35=1,装备拆分数值生成!$N$52,0)+装备拆分数值生成!$N$16*能力数值!M35</f>
        <v>77.13333333333334</v>
      </c>
      <c r="AA35" s="69"/>
      <c r="AB35" s="68"/>
      <c r="AC35" s="68"/>
      <c r="AD35" s="68">
        <f>VLOOKUP(D35,宠物成长生成表!$B$5:$J$103,3,0)*$AO$2</f>
        <v>1271.67</v>
      </c>
      <c r="AE35" s="68">
        <f>VLOOKUP(D35,宠物成长生成表!$B$5:$J$103,4,0)*$AO$3</f>
        <v>514.04999999999995</v>
      </c>
      <c r="AF35" s="68">
        <f>VLOOKUP(D35,宠物成长生成表!$B$5:$J$103,4,0)*$AO$4</f>
        <v>397.83</v>
      </c>
      <c r="AG35" s="68">
        <f>VLOOKUP(D35,宠物成长生成表!$B$5:$J$103,7,0)*$AO$5</f>
        <v>324.52</v>
      </c>
      <c r="AH35" s="68">
        <f>VLOOKUP(D35,宠物成长生成表!$B$5:$J$103,6,0)</f>
        <v>60</v>
      </c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9">
        <f t="shared" si="4"/>
        <v>1550.5533333333333</v>
      </c>
      <c r="AT35" s="69">
        <f t="shared" si="5"/>
        <v>675.73888888888882</v>
      </c>
      <c r="AU35" s="69">
        <f t="shared" si="6"/>
        <v>478.67444444444442</v>
      </c>
      <c r="AV35" s="71">
        <f t="shared" si="7"/>
        <v>401.65333333333331</v>
      </c>
      <c r="AW35" s="69"/>
      <c r="AX35" s="69"/>
      <c r="AY35" s="69"/>
      <c r="AZ35" s="69"/>
      <c r="BA35" s="69"/>
      <c r="BB35" s="69"/>
    </row>
    <row r="36" spans="2:54">
      <c r="B36" s="98"/>
      <c r="C36" s="68" t="s">
        <v>394</v>
      </c>
      <c r="D36" s="68">
        <v>7</v>
      </c>
      <c r="E36" s="92"/>
      <c r="F36" s="68"/>
      <c r="G36" s="68"/>
      <c r="H36" s="68">
        <v>1</v>
      </c>
      <c r="I36" s="70">
        <v>1</v>
      </c>
      <c r="J36" s="68">
        <v>1</v>
      </c>
      <c r="K36" s="70">
        <v>0</v>
      </c>
      <c r="L36" s="68">
        <v>1</v>
      </c>
      <c r="M36" s="70">
        <v>0</v>
      </c>
      <c r="N36" s="68"/>
      <c r="O36" s="68"/>
      <c r="P36" s="68"/>
      <c r="Q36" s="68"/>
      <c r="R36" s="68"/>
      <c r="S36" s="68"/>
      <c r="T36" s="68"/>
      <c r="U36" s="68"/>
      <c r="V36" s="69">
        <f>IF(J36=1,装备拆分数值生成!$AF$46,0)+装备拆分数值生成!$AF$10*能力数值!K36</f>
        <v>272.75</v>
      </c>
      <c r="W36" s="69">
        <f>IF(H36=1,装备拆分数值生成!$AG$40,0)+能力数值!I36*装备拆分数值生成!$AG$4</f>
        <v>121.26666666666667</v>
      </c>
      <c r="X36" s="69">
        <f>IF(H36=1,装备拆分数值生成!$AH$40,0)+能力数值!I36*装备拆分数值生成!$AH$4</f>
        <v>121.26666666666667</v>
      </c>
      <c r="Y36" s="69">
        <f>IF(L36=1,装备拆分数值生成!$AI$52,0)+装备拆分数值生成!$AI$16*能力数值!M36</f>
        <v>88.75</v>
      </c>
      <c r="AA36" s="69"/>
      <c r="AB36" s="68"/>
      <c r="AC36" s="68"/>
      <c r="AD36" s="68">
        <f>VLOOKUP(D35,宠物成长生成表!$B$5:$J$103,3,0)*$AN$2</f>
        <v>1573.2</v>
      </c>
      <c r="AE36" s="68">
        <f>VLOOKUP(D35,宠物成长生成表!$B$5:$J$103,4,0)*$AN$3</f>
        <v>402.3</v>
      </c>
      <c r="AF36" s="68">
        <f>VLOOKUP(D35,宠物成长生成表!$B$5:$J$103,4,0)*$AN$4</f>
        <v>402.3</v>
      </c>
      <c r="AG36" s="68">
        <f>VLOOKUP(D35,宠物成长生成表!$B$5:$J$103,7,0)*$AN$5</f>
        <v>375.76</v>
      </c>
      <c r="AH36" s="68">
        <f>VLOOKUP(D36,宠物成长生成表!$B$5:$J$103,6,0)</f>
        <v>61</v>
      </c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9">
        <f t="shared" si="4"/>
        <v>1845.95</v>
      </c>
      <c r="AT36" s="69">
        <f t="shared" si="5"/>
        <v>523.56666666666672</v>
      </c>
      <c r="AU36" s="69">
        <f t="shared" si="6"/>
        <v>523.56666666666672</v>
      </c>
      <c r="AV36" s="71">
        <f t="shared" si="7"/>
        <v>464.51</v>
      </c>
      <c r="AW36" s="69"/>
      <c r="AX36" s="69"/>
      <c r="AY36" s="69"/>
      <c r="AZ36" s="69"/>
      <c r="BA36" s="69"/>
      <c r="BB36" s="69"/>
    </row>
    <row r="37" spans="2:54" ht="17.25" thickBot="1">
      <c r="B37" s="99"/>
      <c r="C37" s="72" t="s">
        <v>427</v>
      </c>
      <c r="D37" s="72">
        <v>5</v>
      </c>
      <c r="E37" s="93"/>
      <c r="F37" s="72"/>
      <c r="G37" s="72"/>
      <c r="H37" s="72"/>
      <c r="I37" s="74"/>
      <c r="J37" s="72">
        <v>1</v>
      </c>
      <c r="K37" s="74">
        <v>0</v>
      </c>
      <c r="L37" s="72"/>
      <c r="M37" s="74"/>
      <c r="N37" s="72"/>
      <c r="O37" s="72"/>
      <c r="P37" s="72"/>
      <c r="Q37" s="72"/>
      <c r="R37" s="72"/>
      <c r="S37" s="72"/>
      <c r="T37" s="72"/>
      <c r="U37" s="72"/>
      <c r="V37" s="73">
        <f>IF(能力数值!J37=1,装备拆分数值生成!$Y$10,0)+能力数值!K37*装备拆分数值生成!$Y$10</f>
        <v>37.68888888888889</v>
      </c>
      <c r="W37" s="73">
        <f>IF(H37=0,0,装备拆分数值生成!$Z$40)+装备拆分数值生成!$Z$4*能力数值!I37</f>
        <v>0</v>
      </c>
      <c r="X37" s="73">
        <f>IF(H37=0,0,装备拆分数值生成!$AA$40)+装备拆分数值生成!$AA$4*能力数值!I37</f>
        <v>0</v>
      </c>
      <c r="Y37" s="73">
        <f>IF(L37=0,0,装备拆分数值生成!$AB$52)+装备拆分数值生成!$AB$16*能力数值!M37</f>
        <v>0</v>
      </c>
      <c r="Z37" s="72"/>
      <c r="AA37" s="73"/>
      <c r="AB37" s="72"/>
      <c r="AC37" s="72"/>
      <c r="AD37" s="72">
        <f>VLOOKUP(D37,宠物成长生成表!$B$5:$J$103,3,0)*$AM$2</f>
        <v>1647.1000000000001</v>
      </c>
      <c r="AE37" s="72">
        <f>VLOOKUP(D37,宠物成长生成表!$B$5:$J$103,4,0)*$AM$3</f>
        <v>345.6</v>
      </c>
      <c r="AF37" s="72">
        <f>VLOOKUP(D37,宠物成长生成表!$B$5:$J$103,4,0)*$AM$4</f>
        <v>345.6</v>
      </c>
      <c r="AG37" s="72">
        <f>VLOOKUP(D37,宠物成长生成表!$B$5:$J$103,7,0)*$AM$5</f>
        <v>543.84</v>
      </c>
      <c r="AH37" s="72">
        <f>VLOOKUP(D37,宠物成长生成表!$B$5:$J$103,6,0)</f>
        <v>59</v>
      </c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3">
        <f t="shared" si="4"/>
        <v>1684.788888888889</v>
      </c>
      <c r="AT37" s="73">
        <f t="shared" si="5"/>
        <v>345.6</v>
      </c>
      <c r="AU37" s="73">
        <f t="shared" si="6"/>
        <v>345.6</v>
      </c>
      <c r="AV37" s="75">
        <f t="shared" si="7"/>
        <v>543.84</v>
      </c>
      <c r="AW37" s="69"/>
      <c r="AX37" s="69"/>
      <c r="AY37" s="69"/>
      <c r="AZ37" s="69"/>
      <c r="BA37" s="69"/>
      <c r="BB37" s="69"/>
    </row>
    <row r="38" spans="2:54">
      <c r="B38" s="97" t="s">
        <v>382</v>
      </c>
      <c r="C38" s="64" t="s">
        <v>428</v>
      </c>
      <c r="D38" s="64">
        <v>6</v>
      </c>
      <c r="E38" s="91"/>
      <c r="F38" s="64"/>
      <c r="G38" s="64"/>
      <c r="H38" s="64">
        <v>1</v>
      </c>
      <c r="I38" s="66">
        <v>3</v>
      </c>
      <c r="J38" s="64">
        <v>1</v>
      </c>
      <c r="K38" s="66">
        <v>3</v>
      </c>
      <c r="L38" s="64">
        <v>1</v>
      </c>
      <c r="M38" s="66">
        <v>3</v>
      </c>
      <c r="N38" s="64"/>
      <c r="O38" s="64"/>
      <c r="P38" s="64"/>
      <c r="Q38" s="64"/>
      <c r="R38" s="64"/>
      <c r="S38" s="64"/>
      <c r="T38" s="64"/>
      <c r="U38" s="64"/>
      <c r="V38" s="69">
        <f>IF(J38=1,装备拆分数值生成!$R$46,0)+K38*装备拆分数值生成!$R$10</f>
        <v>343.41666666666669</v>
      </c>
      <c r="W38" s="65">
        <f>IF(H38=1,装备拆分数值生成!$S$40,0)+I38*装备拆分数值生成!$S$4</f>
        <v>93.733333333333348</v>
      </c>
      <c r="X38" s="65">
        <f>IF(H38=1,装备拆分数值生成!$T$40,0)+I38*装备拆分数值生成!$T$4</f>
        <v>187.4666666666667</v>
      </c>
      <c r="Y38" s="65">
        <f>IF(J38=1,装备拆分数值生成!$R$46,0)+K38*装备拆分数值生成!$R$10</f>
        <v>343.41666666666669</v>
      </c>
      <c r="AA38" s="65"/>
      <c r="AB38" s="64"/>
      <c r="AC38" s="64"/>
      <c r="AD38" s="68">
        <f>VLOOKUP(D38,宠物成长生成表!$B$5:$J$103,3,0)*$AL$2</f>
        <v>1271.67</v>
      </c>
      <c r="AE38" s="68">
        <f>VLOOKUP(D38,宠物成长生成表!$B$5:$J$103,4,0)*$AL$3</f>
        <v>397.83</v>
      </c>
      <c r="AF38" s="68">
        <f>VLOOKUP(D38,宠物成长生成表!$B$5:$J$103,4,0)*$AL$4</f>
        <v>514.04999999999995</v>
      </c>
      <c r="AG38" s="68">
        <f>VLOOKUP(D38,宠物成长生成表!$B$5:$J$103,7,0)*$AL$5</f>
        <v>324.52</v>
      </c>
      <c r="AH38" s="64">
        <f>VLOOKUP(D38,宠物成长生成表!$B$5:$J$103,6,0)</f>
        <v>60</v>
      </c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5">
        <f t="shared" si="4"/>
        <v>1615.0866666666668</v>
      </c>
      <c r="AT38" s="65">
        <f t="shared" si="5"/>
        <v>491.56333333333333</v>
      </c>
      <c r="AU38" s="65">
        <f t="shared" si="6"/>
        <v>701.51666666666665</v>
      </c>
      <c r="AV38" s="67">
        <f t="shared" si="7"/>
        <v>667.93666666666672</v>
      </c>
      <c r="AW38" s="69"/>
      <c r="AX38" s="69"/>
      <c r="AY38" s="69"/>
      <c r="AZ38" s="69"/>
      <c r="BA38" s="69"/>
      <c r="BB38" s="69"/>
    </row>
    <row r="39" spans="2:54">
      <c r="B39" s="98"/>
      <c r="C39" s="68" t="s">
        <v>426</v>
      </c>
      <c r="D39" s="68">
        <v>8</v>
      </c>
      <c r="E39" s="92"/>
      <c r="F39" s="68"/>
      <c r="G39" s="68"/>
      <c r="H39" s="68">
        <v>1</v>
      </c>
      <c r="I39" s="70">
        <v>1</v>
      </c>
      <c r="J39" s="68">
        <v>1</v>
      </c>
      <c r="K39" s="70">
        <v>2</v>
      </c>
      <c r="L39" s="68">
        <v>1</v>
      </c>
      <c r="M39" s="70">
        <v>5</v>
      </c>
      <c r="N39" s="68"/>
      <c r="O39" s="68"/>
      <c r="P39" s="68"/>
      <c r="Q39" s="68"/>
      <c r="R39" s="68"/>
      <c r="S39" s="68"/>
      <c r="T39" s="68"/>
      <c r="U39" s="68"/>
      <c r="V39" s="69">
        <f>IF(J39=1,装备拆分数值生成!$AF$46,0)+K39*装备拆分数值生成!$N$16</f>
        <v>285.01666666666665</v>
      </c>
      <c r="W39" s="69">
        <f>IF(H39=1,装备拆分数值生成!$L$40,0)+能力数值!I39*装备拆分数值生成!$L$4</f>
        <v>161.6888888888889</v>
      </c>
      <c r="X39" s="69">
        <f>IF(H39=1,装备拆分数值生成!$M$40,0)+能力数值!I39*装备拆分数值生成!$M$4</f>
        <v>80.844444444444449</v>
      </c>
      <c r="Y39" s="69">
        <f>IF(L39=1,装备拆分数值生成!$N$52,0)+装备拆分数值生成!$N$16*能力数值!M39</f>
        <v>101.66666666666667</v>
      </c>
      <c r="AA39" s="69"/>
      <c r="AB39" s="68"/>
      <c r="AC39" s="68"/>
      <c r="AD39" s="68">
        <f>VLOOKUP(D39,宠物成长生成表!$B$5:$J$103,3,0)*$AO$2</f>
        <v>1357.03</v>
      </c>
      <c r="AE39" s="68">
        <f>VLOOKUP(D39,宠物成长生成表!$B$5:$J$103,4,0)*$AO$3</f>
        <v>548.54999999999995</v>
      </c>
      <c r="AF39" s="68">
        <f>VLOOKUP(D39,宠物成长生成表!$B$5:$J$103,4,0)*$AO$4</f>
        <v>424.53000000000003</v>
      </c>
      <c r="AG39" s="68">
        <f>VLOOKUP(D39,宠物成长生成表!$B$5:$J$103,7,0)*$AO$5</f>
        <v>345.8</v>
      </c>
      <c r="AH39" s="68">
        <f>VLOOKUP(D39,宠物成长生成表!$B$5:$J$103,6,0)</f>
        <v>62</v>
      </c>
      <c r="AI39" s="68"/>
      <c r="AJ39" s="68"/>
      <c r="AK39" s="68"/>
      <c r="AL39" s="68"/>
      <c r="AM39" s="68"/>
      <c r="AN39" s="68"/>
      <c r="AO39" s="68"/>
      <c r="AP39" s="68"/>
      <c r="AQ39" s="68"/>
      <c r="AR39" s="68"/>
      <c r="AS39" s="69">
        <f t="shared" si="4"/>
        <v>1642.0466666666666</v>
      </c>
      <c r="AT39" s="69">
        <f t="shared" si="5"/>
        <v>710.23888888888882</v>
      </c>
      <c r="AU39" s="69">
        <f t="shared" si="6"/>
        <v>505.37444444444446</v>
      </c>
      <c r="AV39" s="71">
        <f t="shared" si="7"/>
        <v>447.4666666666667</v>
      </c>
      <c r="AW39" s="69"/>
      <c r="AX39" s="69"/>
      <c r="AY39" s="69"/>
      <c r="AZ39" s="69"/>
      <c r="BA39" s="69"/>
      <c r="BB39" s="69"/>
    </row>
    <row r="40" spans="2:54">
      <c r="B40" s="98"/>
      <c r="C40" s="68" t="s">
        <v>394</v>
      </c>
      <c r="D40" s="68">
        <v>8</v>
      </c>
      <c r="E40" s="92"/>
      <c r="F40" s="68"/>
      <c r="G40" s="68"/>
      <c r="H40" s="68">
        <v>1</v>
      </c>
      <c r="I40" s="70">
        <v>1</v>
      </c>
      <c r="J40" s="68">
        <v>1</v>
      </c>
      <c r="K40" s="70">
        <v>3</v>
      </c>
      <c r="L40" s="68">
        <v>1</v>
      </c>
      <c r="M40" s="70">
        <v>3</v>
      </c>
      <c r="N40" s="68"/>
      <c r="O40" s="68"/>
      <c r="P40" s="68"/>
      <c r="Q40" s="68"/>
      <c r="R40" s="68"/>
      <c r="S40" s="68"/>
      <c r="T40" s="68"/>
      <c r="U40" s="68"/>
      <c r="V40" s="69">
        <f>IF(J40=1,装备拆分数值生成!$AF$46,0)+装备拆分数值生成!$AF$10*能力数值!K40</f>
        <v>343.41666666666669</v>
      </c>
      <c r="W40" s="69">
        <f>IF(H40=1,装备拆分数值生成!$AG$40,0)+能力数值!I40*装备拆分数值生成!$AG$4</f>
        <v>121.26666666666667</v>
      </c>
      <c r="X40" s="69">
        <f>IF(H40=1,装备拆分数值生成!$AH$40,0)+能力数值!I40*装备拆分数值生成!$AH$4</f>
        <v>121.26666666666667</v>
      </c>
      <c r="Y40" s="69">
        <f>IF(L40=1,装备拆分数值生成!$AI$52,0)+装备拆分数值生成!$AI$16*能力数值!M40</f>
        <v>111.75</v>
      </c>
      <c r="AA40" s="69"/>
      <c r="AB40" s="68"/>
      <c r="AC40" s="68"/>
      <c r="AD40" s="68">
        <f>VLOOKUP(D39,宠物成长生成表!$B$5:$J$103,3,0)*$AN$2</f>
        <v>1678.8</v>
      </c>
      <c r="AE40" s="68">
        <f>VLOOKUP(D39,宠物成长生成表!$B$5:$J$103,4,0)*$AN$3</f>
        <v>429.3</v>
      </c>
      <c r="AF40" s="68">
        <f>VLOOKUP(D39,宠物成长生成表!$B$5:$J$103,4,0)*$AN$4</f>
        <v>429.3</v>
      </c>
      <c r="AG40" s="68">
        <f>VLOOKUP(D39,宠物成长生成表!$B$5:$J$103,7,0)*$AN$5</f>
        <v>400.4</v>
      </c>
      <c r="AH40" s="68">
        <f>VLOOKUP(D40,宠物成长生成表!$B$5:$J$103,6,0)</f>
        <v>62</v>
      </c>
      <c r="AI40" s="68"/>
      <c r="AJ40" s="68"/>
      <c r="AK40" s="68"/>
      <c r="AL40" s="68"/>
      <c r="AM40" s="68"/>
      <c r="AN40" s="68"/>
      <c r="AO40" s="68"/>
      <c r="AP40" s="68"/>
      <c r="AQ40" s="68"/>
      <c r="AR40" s="68"/>
      <c r="AS40" s="69">
        <f t="shared" si="4"/>
        <v>2022.2166666666667</v>
      </c>
      <c r="AT40" s="69">
        <f t="shared" si="5"/>
        <v>550.56666666666672</v>
      </c>
      <c r="AU40" s="69">
        <f t="shared" si="6"/>
        <v>550.56666666666672</v>
      </c>
      <c r="AV40" s="71">
        <f t="shared" si="7"/>
        <v>512.15</v>
      </c>
      <c r="AW40" s="69"/>
      <c r="AX40" s="69"/>
      <c r="AY40" s="69"/>
      <c r="AZ40" s="69"/>
      <c r="BA40" s="69"/>
      <c r="BB40" s="69"/>
    </row>
    <row r="41" spans="2:54" ht="17.25" thickBot="1">
      <c r="B41" s="99"/>
      <c r="C41" s="72" t="s">
        <v>427</v>
      </c>
      <c r="D41" s="72">
        <v>7</v>
      </c>
      <c r="E41" s="93"/>
      <c r="F41" s="72"/>
      <c r="G41" s="72"/>
      <c r="H41" s="72"/>
      <c r="I41" s="74"/>
      <c r="J41" s="72">
        <v>1</v>
      </c>
      <c r="K41" s="74">
        <v>2</v>
      </c>
      <c r="L41" s="72"/>
      <c r="M41" s="74"/>
      <c r="N41" s="72"/>
      <c r="O41" s="72"/>
      <c r="P41" s="72"/>
      <c r="Q41" s="72"/>
      <c r="R41" s="72"/>
      <c r="S41" s="72"/>
      <c r="T41" s="72"/>
      <c r="U41" s="72"/>
      <c r="V41" s="73">
        <f>IF(能力数值!J41=1,装备拆分数值生成!$Y$10,0)+能力数值!K41*装备拆分数值生成!$Y$10</f>
        <v>113.06666666666666</v>
      </c>
      <c r="W41" s="73">
        <f>IF(H41=0,0,装备拆分数值生成!$Z$40)+装备拆分数值生成!$Z$4*能力数值!I41</f>
        <v>0</v>
      </c>
      <c r="X41" s="73">
        <f>IF(H41=0,0,装备拆分数值生成!$AA$40)+装备拆分数值生成!$AA$4*能力数值!I41</f>
        <v>0</v>
      </c>
      <c r="Y41" s="73">
        <f>IF(L41=0,0,装备拆分数值生成!$AB$52)+装备拆分数值生成!$AB$16*能力数值!M41</f>
        <v>0</v>
      </c>
      <c r="Z41" s="72"/>
      <c r="AA41" s="73"/>
      <c r="AB41" s="72"/>
      <c r="AC41" s="72"/>
      <c r="AD41" s="72">
        <f>VLOOKUP(D41,宠物成长生成表!$B$5:$J$103,3,0)*$AM$2</f>
        <v>1761.5</v>
      </c>
      <c r="AE41" s="72">
        <f>VLOOKUP(D41,宠物成长生成表!$B$5:$J$103,4,0)*$AM$3</f>
        <v>369.6</v>
      </c>
      <c r="AF41" s="72">
        <f>VLOOKUP(D41,宠物成长生成表!$B$5:$J$103,4,0)*$AM$4</f>
        <v>369.6</v>
      </c>
      <c r="AG41" s="72">
        <f>VLOOKUP(D41,宠物成长生成表!$B$5:$J$103,7,0)*$AM$5</f>
        <v>582.12</v>
      </c>
      <c r="AH41" s="72">
        <f>VLOOKUP(D41,宠物成长生成表!$B$5:$J$103,6,0)</f>
        <v>61</v>
      </c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3">
        <f t="shared" si="4"/>
        <v>1874.5666666666666</v>
      </c>
      <c r="AT41" s="73">
        <f t="shared" si="5"/>
        <v>369.6</v>
      </c>
      <c r="AU41" s="73">
        <f t="shared" si="6"/>
        <v>369.6</v>
      </c>
      <c r="AV41" s="75">
        <f t="shared" si="7"/>
        <v>582.12</v>
      </c>
      <c r="AW41" s="69"/>
      <c r="AX41" s="69"/>
      <c r="AY41" s="69"/>
      <c r="AZ41" s="69"/>
      <c r="BA41" s="69"/>
      <c r="BB41" s="69"/>
    </row>
    <row r="42" spans="2:54">
      <c r="B42" s="97" t="s">
        <v>383</v>
      </c>
      <c r="C42" s="64" t="s">
        <v>428</v>
      </c>
      <c r="D42" s="64">
        <v>6</v>
      </c>
      <c r="E42" s="91"/>
      <c r="F42" s="64"/>
      <c r="G42" s="64"/>
      <c r="H42" s="64">
        <v>1</v>
      </c>
      <c r="I42" s="66">
        <v>3</v>
      </c>
      <c r="J42" s="64">
        <v>1</v>
      </c>
      <c r="K42" s="66">
        <v>3</v>
      </c>
      <c r="L42" s="64">
        <v>1</v>
      </c>
      <c r="M42" s="66">
        <v>3</v>
      </c>
      <c r="N42" s="64"/>
      <c r="O42" s="64"/>
      <c r="P42" s="64"/>
      <c r="Q42" s="64"/>
      <c r="R42" s="64"/>
      <c r="S42" s="64"/>
      <c r="T42" s="64"/>
      <c r="U42" s="64"/>
      <c r="V42" s="69">
        <f>IF(J42=1,装备拆分数值生成!$R$46,0)+K42*装备拆分数值生成!$R$10</f>
        <v>343.41666666666669</v>
      </c>
      <c r="W42" s="65">
        <f>IF(H42=1,装备拆分数值生成!$S$40,0)+I42*装备拆分数值生成!$S$4</f>
        <v>93.733333333333348</v>
      </c>
      <c r="X42" s="65">
        <f>IF(H42=1,装备拆分数值生成!$T$40,0)+I42*装备拆分数值生成!$T$4</f>
        <v>187.4666666666667</v>
      </c>
      <c r="Y42" s="65">
        <f>IF(J42=1,装备拆分数值生成!$R$46,0)+K42*装备拆分数值生成!$R$10</f>
        <v>343.41666666666669</v>
      </c>
      <c r="AA42" s="65"/>
      <c r="AB42" s="64"/>
      <c r="AC42" s="64"/>
      <c r="AD42" s="68">
        <f>VLOOKUP(D42,宠物成长生成表!$B$5:$J$103,3,0)*$AL$2</f>
        <v>1271.67</v>
      </c>
      <c r="AE42" s="68">
        <f>VLOOKUP(D42,宠物成长生成表!$B$5:$J$103,4,0)*$AL$3</f>
        <v>397.83</v>
      </c>
      <c r="AF42" s="68">
        <f>VLOOKUP(D42,宠物成长生成表!$B$5:$J$103,4,0)*$AL$4</f>
        <v>514.04999999999995</v>
      </c>
      <c r="AG42" s="68">
        <f>VLOOKUP(D42,宠物成长生成表!$B$5:$J$103,7,0)*$AL$5</f>
        <v>324.52</v>
      </c>
      <c r="AH42" s="64">
        <f>VLOOKUP(D42,宠物成长生成表!$B$5:$J$103,6,0)</f>
        <v>60</v>
      </c>
      <c r="AI42" s="64"/>
      <c r="AJ42" s="64"/>
      <c r="AK42" s="64"/>
      <c r="AL42" s="64"/>
      <c r="AM42" s="64"/>
      <c r="AN42" s="64"/>
      <c r="AO42" s="64"/>
      <c r="AP42" s="64"/>
      <c r="AQ42" s="64"/>
      <c r="AR42" s="64"/>
      <c r="AS42" s="65">
        <f t="shared" si="4"/>
        <v>1615.0866666666668</v>
      </c>
      <c r="AT42" s="65">
        <f t="shared" si="5"/>
        <v>491.56333333333333</v>
      </c>
      <c r="AU42" s="65">
        <f t="shared" si="6"/>
        <v>701.51666666666665</v>
      </c>
      <c r="AV42" s="67">
        <f t="shared" si="7"/>
        <v>667.93666666666672</v>
      </c>
      <c r="AW42" s="69"/>
      <c r="AX42" s="69"/>
      <c r="AY42" s="69"/>
      <c r="AZ42" s="69"/>
      <c r="BA42" s="69"/>
      <c r="BB42" s="69"/>
    </row>
    <row r="43" spans="2:54">
      <c r="B43" s="98"/>
      <c r="C43" s="68" t="s">
        <v>426</v>
      </c>
      <c r="D43" s="68">
        <v>10</v>
      </c>
      <c r="E43" s="92"/>
      <c r="F43" s="68"/>
      <c r="G43" s="68"/>
      <c r="H43" s="68">
        <v>1</v>
      </c>
      <c r="I43" s="70">
        <v>2</v>
      </c>
      <c r="J43" s="68">
        <v>1</v>
      </c>
      <c r="K43" s="70">
        <v>3</v>
      </c>
      <c r="L43" s="68">
        <v>1</v>
      </c>
      <c r="M43" s="70">
        <v>5</v>
      </c>
      <c r="N43" s="68"/>
      <c r="O43" s="68"/>
      <c r="P43" s="68"/>
      <c r="Q43" s="68"/>
      <c r="R43" s="68"/>
      <c r="S43" s="68"/>
      <c r="T43" s="68"/>
      <c r="U43" s="68"/>
      <c r="V43" s="69">
        <f>IF(J43=1,装备拆分数值生成!$AF$46,0)+K43*装备拆分数值生成!$N$16</f>
        <v>291.14999999999998</v>
      </c>
      <c r="W43" s="69">
        <f>IF(H43=1,装备拆分数值生成!$L$40,0)+能力数值!I43*装备拆分数值生成!$L$4</f>
        <v>174.57777777777778</v>
      </c>
      <c r="X43" s="69">
        <f>IF(H43=1,装备拆分数值生成!$M$40,0)+能力数值!I43*装备拆分数值生成!$M$4</f>
        <v>87.288888888888891</v>
      </c>
      <c r="Y43" s="69">
        <f>IF(L43=1,装备拆分数值生成!$N$52,0)+装备拆分数值生成!$N$16*能力数值!M43</f>
        <v>101.66666666666667</v>
      </c>
      <c r="AA43" s="69"/>
      <c r="AB43" s="68"/>
      <c r="AC43" s="68"/>
      <c r="AD43" s="68">
        <f>VLOOKUP(D43,宠物成长生成表!$B$5:$J$103,3,0)*$AO$2</f>
        <v>1443.36</v>
      </c>
      <c r="AE43" s="68">
        <f>VLOOKUP(D43,宠物成长生成表!$B$5:$J$103,4,0)*$AO$3</f>
        <v>583.04999999999995</v>
      </c>
      <c r="AF43" s="68">
        <f>VLOOKUP(D43,宠物成长生成表!$B$5:$J$103,4,0)*$AO$4</f>
        <v>451.23</v>
      </c>
      <c r="AG43" s="68">
        <f>VLOOKUP(D43,宠物成长生成表!$B$5:$J$103,7,0)*$AO$5</f>
        <v>367.84000000000003</v>
      </c>
      <c r="AH43" s="68">
        <f>VLOOKUP(D43,宠物成长生成表!$B$5:$J$103,6,0)</f>
        <v>64</v>
      </c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9">
        <f t="shared" si="4"/>
        <v>1734.5099999999998</v>
      </c>
      <c r="AT43" s="69">
        <f t="shared" si="5"/>
        <v>757.62777777777774</v>
      </c>
      <c r="AU43" s="69">
        <f t="shared" si="6"/>
        <v>538.51888888888891</v>
      </c>
      <c r="AV43" s="71">
        <f t="shared" si="7"/>
        <v>469.50666666666672</v>
      </c>
      <c r="AW43" s="69"/>
      <c r="AX43" s="69"/>
      <c r="AY43" s="69"/>
      <c r="AZ43" s="69"/>
      <c r="BA43" s="69"/>
      <c r="BB43" s="69"/>
    </row>
    <row r="44" spans="2:54">
      <c r="B44" s="98"/>
      <c r="C44" s="68" t="s">
        <v>394</v>
      </c>
      <c r="D44" s="68">
        <v>8</v>
      </c>
      <c r="E44" s="92"/>
      <c r="F44" s="68"/>
      <c r="G44" s="68"/>
      <c r="H44" s="68">
        <v>1</v>
      </c>
      <c r="I44" s="70">
        <v>3</v>
      </c>
      <c r="J44" s="68">
        <v>1</v>
      </c>
      <c r="K44" s="70">
        <v>2</v>
      </c>
      <c r="L44" s="68">
        <v>1</v>
      </c>
      <c r="M44" s="70">
        <v>4</v>
      </c>
      <c r="N44" s="68"/>
      <c r="O44" s="68"/>
      <c r="P44" s="68"/>
      <c r="Q44" s="68"/>
      <c r="R44" s="68"/>
      <c r="S44" s="68"/>
      <c r="T44" s="68"/>
      <c r="U44" s="68"/>
      <c r="V44" s="69">
        <f>IF(J44=1,装备拆分数值生成!$AF$46,0)+装备拆分数值生成!$AF$10*能力数值!K44</f>
        <v>319.86111111111109</v>
      </c>
      <c r="W44" s="69">
        <f>IF(H44=1,装备拆分数值生成!$AG$40,0)+能力数值!I44*装备拆分数值生成!$AG$4</f>
        <v>140.6</v>
      </c>
      <c r="X44" s="69">
        <f>IF(H44=1,装备拆分数值生成!$AH$40,0)+能力数值!I44*装备拆分数值生成!$AH$4</f>
        <v>140.6</v>
      </c>
      <c r="Y44" s="69">
        <f>IF(L44=1,装备拆分数值生成!$AI$52,0)+装备拆分数值生成!$AI$16*能力数值!M44</f>
        <v>119.41666666666667</v>
      </c>
      <c r="AA44" s="69"/>
      <c r="AB44" s="68"/>
      <c r="AC44" s="68"/>
      <c r="AD44" s="68">
        <f>VLOOKUP(D43,宠物成长生成表!$B$5:$J$103,3,0)*$AN$2</f>
        <v>1785.6</v>
      </c>
      <c r="AE44" s="68">
        <f>VLOOKUP(D43,宠物成长生成表!$B$5:$J$103,4,0)*$AN$3</f>
        <v>456.3</v>
      </c>
      <c r="AF44" s="68">
        <f>VLOOKUP(D43,宠物成长生成表!$B$5:$J$103,4,0)*$AN$4</f>
        <v>456.3</v>
      </c>
      <c r="AG44" s="68">
        <f>VLOOKUP(D43,宠物成长生成表!$B$5:$J$103,7,0)*$AN$5</f>
        <v>425.92</v>
      </c>
      <c r="AH44" s="68">
        <f>VLOOKUP(D44,宠物成长生成表!$B$5:$J$103,6,0)</f>
        <v>62</v>
      </c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9">
        <f t="shared" si="4"/>
        <v>2105.4611111111108</v>
      </c>
      <c r="AT44" s="69">
        <f t="shared" si="5"/>
        <v>596.9</v>
      </c>
      <c r="AU44" s="69">
        <f t="shared" si="6"/>
        <v>596.9</v>
      </c>
      <c r="AV44" s="71">
        <f t="shared" si="7"/>
        <v>545.3366666666667</v>
      </c>
      <c r="AW44" s="69"/>
      <c r="AX44" s="69"/>
      <c r="AY44" s="69"/>
      <c r="AZ44" s="69"/>
      <c r="BA44" s="69"/>
      <c r="BB44" s="69"/>
    </row>
    <row r="45" spans="2:54" ht="17.25" thickBot="1">
      <c r="B45" s="99"/>
      <c r="C45" s="72" t="s">
        <v>427</v>
      </c>
      <c r="D45" s="72">
        <v>7</v>
      </c>
      <c r="E45" s="93"/>
      <c r="F45" s="72"/>
      <c r="G45" s="72"/>
      <c r="H45" s="72"/>
      <c r="I45" s="72"/>
      <c r="J45" s="72">
        <v>1</v>
      </c>
      <c r="K45" s="74">
        <v>1</v>
      </c>
      <c r="L45" s="72"/>
      <c r="M45" s="74"/>
      <c r="N45" s="72"/>
      <c r="O45" s="72"/>
      <c r="P45" s="72"/>
      <c r="Q45" s="72"/>
      <c r="R45" s="72"/>
      <c r="S45" s="72"/>
      <c r="T45" s="72"/>
      <c r="U45" s="72"/>
      <c r="V45" s="73">
        <f>IF(能力数值!J45=1,装备拆分数值生成!$Y$10,0)+能力数值!K45*装备拆分数值生成!$Y$10</f>
        <v>75.37777777777778</v>
      </c>
      <c r="W45" s="73">
        <f>IF(H45=0,0,装备拆分数值生成!$Z$40)+装备拆分数值生成!$Z$4*能力数值!I45</f>
        <v>0</v>
      </c>
      <c r="X45" s="73">
        <f>IF(H45=0,0,装备拆分数值生成!$AA$40)+装备拆分数值生成!$AA$4*能力数值!I45</f>
        <v>0</v>
      </c>
      <c r="Y45" s="73">
        <f>IF(L45=0,0,装备拆分数值生成!$AB$52)+装备拆分数值生成!$AB$16*能力数值!M45</f>
        <v>0</v>
      </c>
      <c r="Z45" s="72"/>
      <c r="AA45" s="73"/>
      <c r="AB45" s="72"/>
      <c r="AC45" s="72"/>
      <c r="AD45" s="72">
        <f>VLOOKUP(D45,宠物成长生成表!$B$5:$J$103,3,0)*$AM$2</f>
        <v>1761.5</v>
      </c>
      <c r="AE45" s="72">
        <f>VLOOKUP(D45,宠物成长生成表!$B$5:$J$103,4,0)*$AM$3</f>
        <v>369.6</v>
      </c>
      <c r="AF45" s="72">
        <f>VLOOKUP(D45,宠物成长生成表!$B$5:$J$103,4,0)*$AM$4</f>
        <v>369.6</v>
      </c>
      <c r="AG45" s="72">
        <f>VLOOKUP(D45,宠物成长生成表!$B$5:$J$103,7,0)*$AM$5</f>
        <v>582.12</v>
      </c>
      <c r="AH45" s="72">
        <f>VLOOKUP(D45,宠物成长生成表!$B$5:$J$103,6,0)</f>
        <v>61</v>
      </c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3">
        <f t="shared" si="4"/>
        <v>1836.8777777777777</v>
      </c>
      <c r="AT45" s="73">
        <f t="shared" si="5"/>
        <v>369.6</v>
      </c>
      <c r="AU45" s="73">
        <f t="shared" si="6"/>
        <v>369.6</v>
      </c>
      <c r="AV45" s="75">
        <f t="shared" si="7"/>
        <v>582.12</v>
      </c>
      <c r="AW45" s="69"/>
      <c r="AX45" s="69"/>
      <c r="AY45" s="69"/>
      <c r="AZ45" s="69"/>
      <c r="BA45" s="69"/>
      <c r="BB45" s="69"/>
    </row>
    <row r="46" spans="2:54">
      <c r="B46" s="97" t="s">
        <v>384</v>
      </c>
      <c r="C46" s="64" t="s">
        <v>428</v>
      </c>
      <c r="D46" s="64">
        <v>7</v>
      </c>
      <c r="E46" s="91"/>
      <c r="F46" s="64"/>
      <c r="G46" s="64"/>
      <c r="H46" s="64">
        <v>1</v>
      </c>
      <c r="I46" s="66">
        <v>2</v>
      </c>
      <c r="J46" s="64">
        <v>1</v>
      </c>
      <c r="K46" s="66">
        <v>3</v>
      </c>
      <c r="L46" s="64">
        <v>1</v>
      </c>
      <c r="M46" s="66">
        <v>3</v>
      </c>
      <c r="N46" s="64"/>
      <c r="O46" s="64"/>
      <c r="P46" s="64"/>
      <c r="Q46" s="64"/>
      <c r="R46" s="64"/>
      <c r="S46" s="64"/>
      <c r="T46" s="64"/>
      <c r="U46" s="64"/>
      <c r="V46" s="69">
        <f>IF(J46=1,装备拆分数值生成!$R$46,0)+K46*装备拆分数值生成!$R$10</f>
        <v>343.41666666666669</v>
      </c>
      <c r="W46" s="65">
        <f>IF(H46=1,装备拆分数值生成!$S$40,0)+I46*装备拆分数值生成!$S$4</f>
        <v>87.288888888888891</v>
      </c>
      <c r="X46" s="65">
        <f>IF(H46=1,装备拆分数值生成!$T$40,0)+I46*装备拆分数值生成!$T$4</f>
        <v>174.57777777777778</v>
      </c>
      <c r="Y46" s="65">
        <f>IF(J46=1,装备拆分数值生成!$R$46,0)+K46*装备拆分数值生成!$R$10</f>
        <v>343.41666666666669</v>
      </c>
      <c r="AA46" s="65"/>
      <c r="AB46" s="64"/>
      <c r="AC46" s="64"/>
      <c r="AD46" s="68">
        <f>VLOOKUP(D46,宠物成长生成表!$B$5:$J$103,3,0)*$AL$2</f>
        <v>1314.35</v>
      </c>
      <c r="AE46" s="68">
        <f>VLOOKUP(D46,宠物成长生成表!$B$5:$J$103,4,0)*$AL$3</f>
        <v>411.18</v>
      </c>
      <c r="AF46" s="68">
        <f>VLOOKUP(D46,宠物成长生成表!$B$5:$J$103,4,0)*$AL$4</f>
        <v>531.29999999999995</v>
      </c>
      <c r="AG46" s="68">
        <f>VLOOKUP(D46,宠物成长生成表!$B$5:$J$103,7,0)*$AL$5</f>
        <v>335.16</v>
      </c>
      <c r="AH46" s="64">
        <f>VLOOKUP(D46,宠物成长生成表!$B$5:$J$103,6,0)</f>
        <v>61</v>
      </c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5">
        <f t="shared" si="4"/>
        <v>1657.7666666666667</v>
      </c>
      <c r="AT46" s="65">
        <f t="shared" si="5"/>
        <v>498.4688888888889</v>
      </c>
      <c r="AU46" s="65">
        <f t="shared" si="6"/>
        <v>705.87777777777774</v>
      </c>
      <c r="AV46" s="67">
        <f t="shared" si="7"/>
        <v>678.57666666666671</v>
      </c>
      <c r="AW46" s="69"/>
      <c r="AX46" s="69"/>
      <c r="AY46" s="69"/>
      <c r="AZ46" s="69"/>
      <c r="BA46" s="69"/>
      <c r="BB46" s="69"/>
    </row>
    <row r="47" spans="2:54">
      <c r="B47" s="98"/>
      <c r="C47" s="68" t="s">
        <v>426</v>
      </c>
      <c r="D47" s="68">
        <v>11</v>
      </c>
      <c r="E47" s="92"/>
      <c r="F47" s="68"/>
      <c r="G47" s="68"/>
      <c r="H47" s="68">
        <v>1</v>
      </c>
      <c r="I47" s="70">
        <v>2</v>
      </c>
      <c r="J47" s="68">
        <v>1</v>
      </c>
      <c r="K47" s="70">
        <v>3</v>
      </c>
      <c r="L47" s="68">
        <v>1</v>
      </c>
      <c r="M47" s="70">
        <v>3</v>
      </c>
      <c r="N47" s="68"/>
      <c r="O47" s="68"/>
      <c r="P47" s="68"/>
      <c r="Q47" s="68"/>
      <c r="R47" s="68"/>
      <c r="S47" s="68"/>
      <c r="T47" s="68"/>
      <c r="U47" s="68"/>
      <c r="V47" s="69">
        <f>IF(J47=1,装备拆分数值生成!$AF$46,0)+K47*装备拆分数值生成!$N$16</f>
        <v>291.14999999999998</v>
      </c>
      <c r="W47" s="69">
        <f>IF(H47=1,装备拆分数值生成!$L$40,0)+能力数值!I47*装备拆分数值生成!$L$4</f>
        <v>174.57777777777778</v>
      </c>
      <c r="X47" s="69">
        <f>IF(H47=1,装备拆分数值生成!$M$40,0)+能力数值!I47*装备拆分数值生成!$M$4</f>
        <v>87.288888888888891</v>
      </c>
      <c r="Y47" s="69">
        <f>IF(L47=1,装备拆分数值生成!$N$52,0)+装备拆分数值生成!$N$16*能力数值!M47</f>
        <v>89.4</v>
      </c>
      <c r="AA47" s="69"/>
      <c r="AB47" s="68"/>
      <c r="AC47" s="68"/>
      <c r="AD47" s="68">
        <f>VLOOKUP(D47,宠物成长生成表!$B$5:$J$103,3,0)*$AO$2</f>
        <v>1486.04</v>
      </c>
      <c r="AE47" s="68">
        <f>VLOOKUP(D47,宠物成长生成表!$B$5:$J$103,4,0)*$AO$3</f>
        <v>601.44999999999993</v>
      </c>
      <c r="AF47" s="68">
        <f>VLOOKUP(D47,宠物成长生成表!$B$5:$J$103,4,0)*$AO$4</f>
        <v>465.47</v>
      </c>
      <c r="AG47" s="68">
        <f>VLOOKUP(D47,宠物成长生成表!$B$5:$J$103,7,0)*$AO$5</f>
        <v>378.48</v>
      </c>
      <c r="AH47" s="68">
        <f>VLOOKUP(D47,宠物成长生成表!$B$5:$J$103,6,0)</f>
        <v>66</v>
      </c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9">
        <f t="shared" ref="AS47:AS79" si="13">V47+AD47</f>
        <v>1777.19</v>
      </c>
      <c r="AT47" s="69">
        <f t="shared" ref="AT47:AT79" si="14">W47+AE47</f>
        <v>776.02777777777771</v>
      </c>
      <c r="AU47" s="69">
        <f t="shared" ref="AU47:AU79" si="15">X47+AF47</f>
        <v>552.75888888888892</v>
      </c>
      <c r="AV47" s="71">
        <f t="shared" ref="AV47:AV79" si="16">Y47+AG47</f>
        <v>467.88</v>
      </c>
      <c r="AW47" s="69"/>
      <c r="AX47" s="69"/>
      <c r="AY47" s="69"/>
      <c r="AZ47" s="69"/>
      <c r="BA47" s="69"/>
      <c r="BB47" s="69"/>
    </row>
    <row r="48" spans="2:54">
      <c r="B48" s="98"/>
      <c r="C48" s="68" t="s">
        <v>394</v>
      </c>
      <c r="D48" s="68">
        <v>7</v>
      </c>
      <c r="E48" s="92"/>
      <c r="F48" s="68"/>
      <c r="G48" s="68"/>
      <c r="H48" s="68">
        <v>1</v>
      </c>
      <c r="I48" s="70">
        <v>3</v>
      </c>
      <c r="J48" s="68">
        <v>1</v>
      </c>
      <c r="K48" s="70">
        <v>3</v>
      </c>
      <c r="L48" s="68">
        <v>1</v>
      </c>
      <c r="M48" s="70">
        <v>3</v>
      </c>
      <c r="N48" s="68"/>
      <c r="O48" s="68"/>
      <c r="P48" s="68"/>
      <c r="Q48" s="68"/>
      <c r="R48" s="68"/>
      <c r="S48" s="68"/>
      <c r="T48" s="68"/>
      <c r="U48" s="68"/>
      <c r="V48" s="69">
        <f>IF(J48=1,装备拆分数值生成!$AF$46,0)+装备拆分数值生成!$AF$10*能力数值!K48</f>
        <v>343.41666666666669</v>
      </c>
      <c r="W48" s="69">
        <f>IF(H48=1,装备拆分数值生成!$AG$40,0)+能力数值!I48*装备拆分数值生成!$AG$4</f>
        <v>140.6</v>
      </c>
      <c r="X48" s="69">
        <f>IF(H48=1,装备拆分数值生成!$AH$40,0)+能力数值!I48*装备拆分数值生成!$AH$4</f>
        <v>140.6</v>
      </c>
      <c r="Y48" s="69">
        <f>IF(L48=1,装备拆分数值生成!$AI$52,0)+装备拆分数值生成!$AI$16*能力数值!M48</f>
        <v>111.75</v>
      </c>
      <c r="AA48" s="69"/>
      <c r="AB48" s="68"/>
      <c r="AC48" s="68"/>
      <c r="AD48" s="68">
        <f>VLOOKUP(D47,宠物成长生成表!$B$5:$J$103,3,0)*$AN$2</f>
        <v>1838.3999999999999</v>
      </c>
      <c r="AE48" s="68">
        <f>VLOOKUP(D47,宠物成长生成表!$B$5:$J$103,4,0)*$AN$3</f>
        <v>470.7</v>
      </c>
      <c r="AF48" s="68">
        <f>VLOOKUP(D47,宠物成长生成表!$B$5:$J$103,4,0)*$AN$4</f>
        <v>470.7</v>
      </c>
      <c r="AG48" s="68">
        <f>VLOOKUP(D47,宠物成长生成表!$B$5:$J$103,7,0)*$AN$5</f>
        <v>438.24</v>
      </c>
      <c r="AH48" s="68">
        <f>VLOOKUP(D48,宠物成长生成表!$B$5:$J$103,6,0)</f>
        <v>61</v>
      </c>
      <c r="AI48" s="68"/>
      <c r="AJ48" s="68"/>
      <c r="AK48" s="68"/>
      <c r="AL48" s="68"/>
      <c r="AM48" s="68"/>
      <c r="AN48" s="68"/>
      <c r="AO48" s="68"/>
      <c r="AP48" s="68"/>
      <c r="AQ48" s="68"/>
      <c r="AR48" s="68"/>
      <c r="AS48" s="69">
        <f t="shared" si="13"/>
        <v>2181.8166666666666</v>
      </c>
      <c r="AT48" s="69">
        <f t="shared" si="14"/>
        <v>611.29999999999995</v>
      </c>
      <c r="AU48" s="69">
        <f t="shared" si="15"/>
        <v>611.29999999999995</v>
      </c>
      <c r="AV48" s="71">
        <f t="shared" si="16"/>
        <v>549.99</v>
      </c>
      <c r="AW48" s="69"/>
      <c r="AX48" s="69"/>
      <c r="AY48" s="69"/>
      <c r="AZ48" s="69"/>
      <c r="BA48" s="69"/>
      <c r="BB48" s="69"/>
    </row>
    <row r="49" spans="2:54">
      <c r="B49" s="98"/>
      <c r="C49" s="68" t="s">
        <v>427</v>
      </c>
      <c r="D49" s="68">
        <v>8</v>
      </c>
      <c r="E49" s="92"/>
      <c r="F49" s="68"/>
      <c r="G49" s="68"/>
      <c r="H49" s="68"/>
      <c r="I49" s="68"/>
      <c r="J49" s="68">
        <v>1</v>
      </c>
      <c r="K49" s="68">
        <v>3</v>
      </c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9">
        <f>IF(能力数值!J49=1,装备拆分数值生成!$Y$10,0)+能力数值!K49*装备拆分数值生成!$Y$10</f>
        <v>150.75555555555556</v>
      </c>
      <c r="W49" s="69">
        <f>IF(H49=0,0,装备拆分数值生成!$Z$40)+装备拆分数值生成!$Z$4*能力数值!I49</f>
        <v>0</v>
      </c>
      <c r="X49" s="69">
        <f>IF(H49=0,0,装备拆分数值生成!$AA$40)+装备拆分数值生成!$AA$4*能力数值!I49</f>
        <v>0</v>
      </c>
      <c r="Y49" s="69">
        <f>IF(L49=0,0,装备拆分数值生成!$AB$52)+装备拆分数值生成!$AB$16*能力数值!M49</f>
        <v>0</v>
      </c>
      <c r="AA49" s="69"/>
      <c r="AB49" s="68"/>
      <c r="AC49" s="68"/>
      <c r="AD49" s="68">
        <f>VLOOKUP(D49,宠物成长生成表!$B$5:$J$103,3,0)*$AM$2</f>
        <v>1818.7</v>
      </c>
      <c r="AE49" s="68">
        <f>VLOOKUP(D49,宠物成长生成表!$B$5:$J$103,4,0)*$AM$3</f>
        <v>381.6</v>
      </c>
      <c r="AF49" s="68">
        <f>VLOOKUP(D49,宠物成长生成表!$B$5:$J$103,4,0)*$AM$4</f>
        <v>381.6</v>
      </c>
      <c r="AG49" s="68">
        <f>VLOOKUP(D49,宠物成长生成表!$B$5:$J$103,7,0)*$AM$5</f>
        <v>600.6</v>
      </c>
      <c r="AH49" s="68">
        <f>VLOOKUP(D49,宠物成长生成表!$B$5:$J$103,6,0)</f>
        <v>62</v>
      </c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9">
        <f t="shared" si="13"/>
        <v>1969.4555555555555</v>
      </c>
      <c r="AT49" s="69">
        <f t="shared" si="14"/>
        <v>381.6</v>
      </c>
      <c r="AU49" s="69">
        <f t="shared" si="15"/>
        <v>381.6</v>
      </c>
      <c r="AV49" s="71">
        <f t="shared" si="16"/>
        <v>600.6</v>
      </c>
      <c r="AW49" s="69"/>
      <c r="AX49" s="69"/>
      <c r="AY49" s="69"/>
      <c r="AZ49" s="69"/>
      <c r="BA49" s="69"/>
      <c r="BB49" s="69"/>
    </row>
    <row r="50" spans="2:54" ht="17.25" thickBot="1">
      <c r="B50" s="99"/>
      <c r="C50" s="72" t="s">
        <v>430</v>
      </c>
      <c r="D50" s="72">
        <v>3</v>
      </c>
      <c r="E50" s="93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3"/>
      <c r="W50" s="73"/>
      <c r="X50" s="73"/>
      <c r="Y50" s="73"/>
      <c r="Z50" s="72"/>
      <c r="AA50" s="73"/>
      <c r="AB50" s="72"/>
      <c r="AC50" s="72"/>
      <c r="AD50" s="72">
        <f>VLOOKUP(D50,宠物成长生成表!$B$5:$J$103,3,0)*$AL$2</f>
        <v>1143.6299999999999</v>
      </c>
      <c r="AE50" s="72">
        <f>VLOOKUP(D50,宠物成长生成表!$B$5:$J$103,4,0)*$AL$3</f>
        <v>357.78000000000003</v>
      </c>
      <c r="AF50" s="72">
        <f>VLOOKUP(D50,宠物成长生成表!$B$5:$J$103,4,0)*$AL$4</f>
        <v>462.29999999999995</v>
      </c>
      <c r="AG50" s="72">
        <f>VLOOKUP(D50,宠物成长生成表!$B$5:$J$103,7,0)*$AL$5</f>
        <v>291.84000000000003</v>
      </c>
      <c r="AH50" s="81">
        <f>VLOOKUP(D50,宠物成长生成表!$B$5:$J$103,6,0)</f>
        <v>57</v>
      </c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3">
        <f t="shared" si="13"/>
        <v>1143.6299999999999</v>
      </c>
      <c r="AT50" s="73">
        <f t="shared" si="14"/>
        <v>357.78000000000003</v>
      </c>
      <c r="AU50" s="73">
        <f t="shared" si="15"/>
        <v>462.29999999999995</v>
      </c>
      <c r="AV50" s="75">
        <f t="shared" si="16"/>
        <v>291.84000000000003</v>
      </c>
      <c r="AW50" s="69"/>
      <c r="AX50" s="69"/>
      <c r="AY50" s="69"/>
      <c r="AZ50" s="69"/>
      <c r="BA50" s="69"/>
      <c r="BB50" s="69"/>
    </row>
    <row r="51" spans="2:54">
      <c r="B51" s="97" t="s">
        <v>385</v>
      </c>
      <c r="C51" s="64" t="s">
        <v>428</v>
      </c>
      <c r="D51" s="64">
        <v>10</v>
      </c>
      <c r="E51" s="91"/>
      <c r="F51" s="64"/>
      <c r="G51" s="64"/>
      <c r="H51" s="64">
        <v>1</v>
      </c>
      <c r="I51" s="66">
        <v>2</v>
      </c>
      <c r="J51" s="64">
        <v>1</v>
      </c>
      <c r="K51" s="66">
        <v>3</v>
      </c>
      <c r="L51" s="64">
        <v>1</v>
      </c>
      <c r="M51" s="66">
        <v>3</v>
      </c>
      <c r="N51" s="64"/>
      <c r="O51" s="64"/>
      <c r="P51" s="64"/>
      <c r="Q51" s="64"/>
      <c r="R51" s="64"/>
      <c r="S51" s="64"/>
      <c r="T51" s="64"/>
      <c r="U51" s="64"/>
      <c r="V51" s="69">
        <f>IF(J51=1,装备拆分数值生成!$R$46,0)+K51*装备拆分数值生成!$R$10</f>
        <v>343.41666666666669</v>
      </c>
      <c r="W51" s="65">
        <f>IF(H51=1,装备拆分数值生成!$S$40,0)+I51*装备拆分数值生成!$S$4</f>
        <v>87.288888888888891</v>
      </c>
      <c r="X51" s="65">
        <f>IF(H51=1,装备拆分数值生成!$T$40,0)+I51*装备拆分数值生成!$T$4</f>
        <v>174.57777777777778</v>
      </c>
      <c r="Y51" s="65">
        <f>IF(J51=1,装备拆分数值生成!$R$46,0)+K51*装备拆分数值生成!$R$10</f>
        <v>343.41666666666669</v>
      </c>
      <c r="AA51" s="65"/>
      <c r="AB51" s="64"/>
      <c r="AC51" s="64"/>
      <c r="AD51" s="68">
        <f>VLOOKUP(D51,宠物成长生成表!$B$5:$J$103,3,0)*$AL$2</f>
        <v>1443.36</v>
      </c>
      <c r="AE51" s="68">
        <f>VLOOKUP(D51,宠物成长生成表!$B$5:$J$103,4,0)*$AL$3</f>
        <v>451.23</v>
      </c>
      <c r="AF51" s="68">
        <f>VLOOKUP(D51,宠物成长生成表!$B$5:$J$103,4,0)*$AL$4</f>
        <v>583.04999999999995</v>
      </c>
      <c r="AG51" s="68">
        <f>VLOOKUP(D51,宠物成长生成表!$B$5:$J$103,7,0)*$AL$5</f>
        <v>367.84000000000003</v>
      </c>
      <c r="AH51" s="64">
        <f>VLOOKUP(D51,宠物成长生成表!$B$5:$J$103,6,0)</f>
        <v>64</v>
      </c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5">
        <f t="shared" si="13"/>
        <v>1786.7766666666666</v>
      </c>
      <c r="AT51" s="65">
        <f t="shared" si="14"/>
        <v>538.51888888888891</v>
      </c>
      <c r="AU51" s="65">
        <f t="shared" si="15"/>
        <v>757.62777777777774</v>
      </c>
      <c r="AV51" s="67">
        <f t="shared" si="16"/>
        <v>711.25666666666666</v>
      </c>
      <c r="AW51" s="69"/>
      <c r="AX51" s="69"/>
      <c r="AY51" s="69"/>
      <c r="AZ51" s="69"/>
      <c r="BA51" s="69"/>
      <c r="BB51" s="69"/>
    </row>
    <row r="52" spans="2:54">
      <c r="B52" s="98"/>
      <c r="C52" s="68" t="s">
        <v>426</v>
      </c>
      <c r="D52" s="68">
        <v>12</v>
      </c>
      <c r="E52" s="92"/>
      <c r="F52" s="68"/>
      <c r="G52" s="68"/>
      <c r="H52" s="68">
        <v>1</v>
      </c>
      <c r="I52" s="70">
        <v>1</v>
      </c>
      <c r="J52" s="68">
        <v>1</v>
      </c>
      <c r="K52" s="70">
        <v>2</v>
      </c>
      <c r="L52" s="68">
        <v>1</v>
      </c>
      <c r="M52" s="70">
        <v>3</v>
      </c>
      <c r="N52" s="68"/>
      <c r="O52" s="68"/>
      <c r="P52" s="68"/>
      <c r="Q52" s="68"/>
      <c r="R52" s="68"/>
      <c r="S52" s="68"/>
      <c r="T52" s="68"/>
      <c r="U52" s="68"/>
      <c r="V52" s="69">
        <f>IF(J52=1,装备拆分数值生成!$AF$46,0)+K52*装备拆分数值生成!$N$16</f>
        <v>285.01666666666665</v>
      </c>
      <c r="W52" s="69">
        <f>IF(H52=1,装备拆分数值生成!$L$40,0)+能力数值!I52*装备拆分数值生成!$L$4</f>
        <v>161.6888888888889</v>
      </c>
      <c r="X52" s="69">
        <f>IF(H52=1,装备拆分数值生成!$M$40,0)+能力数值!I52*装备拆分数值生成!$M$4</f>
        <v>80.844444444444449</v>
      </c>
      <c r="Y52" s="69">
        <f>IF(L52=1,装备拆分数值生成!$N$52,0)+装备拆分数值生成!$N$16*能力数值!M52</f>
        <v>89.4</v>
      </c>
      <c r="AA52" s="69"/>
      <c r="AB52" s="68"/>
      <c r="AC52" s="68"/>
      <c r="AD52" s="68">
        <f>VLOOKUP(D52,宠物成长生成表!$B$5:$J$103,3,0)*$AO$2</f>
        <v>1528.72</v>
      </c>
      <c r="AE52" s="68">
        <f>VLOOKUP(D52,宠物成长生成表!$B$5:$J$103,4,0)*$AO$3</f>
        <v>618.69999999999993</v>
      </c>
      <c r="AF52" s="68">
        <f>VLOOKUP(D52,宠物成长生成表!$B$5:$J$103,4,0)*$AO$4</f>
        <v>478.82</v>
      </c>
      <c r="AG52" s="68">
        <f>VLOOKUP(D52,宠物成长生成表!$B$5:$J$103,7,0)*$AO$5</f>
        <v>389.88</v>
      </c>
      <c r="AH52" s="68">
        <f>VLOOKUP(D52,宠物成长生成表!$B$5:$J$103,6,0)</f>
        <v>67</v>
      </c>
      <c r="AI52" s="68"/>
      <c r="AJ52" s="68"/>
      <c r="AK52" s="68"/>
      <c r="AL52" s="68"/>
      <c r="AM52" s="68"/>
      <c r="AN52" s="68"/>
      <c r="AO52" s="68"/>
      <c r="AP52" s="68"/>
      <c r="AQ52" s="68"/>
      <c r="AR52" s="68"/>
      <c r="AS52" s="69">
        <f t="shared" si="13"/>
        <v>1813.7366666666667</v>
      </c>
      <c r="AT52" s="69">
        <f t="shared" si="14"/>
        <v>780.3888888888888</v>
      </c>
      <c r="AU52" s="69">
        <f t="shared" si="15"/>
        <v>559.66444444444448</v>
      </c>
      <c r="AV52" s="71">
        <f t="shared" si="16"/>
        <v>479.28</v>
      </c>
      <c r="AW52" s="69"/>
      <c r="AX52" s="69"/>
      <c r="AY52" s="69"/>
      <c r="AZ52" s="69"/>
      <c r="BA52" s="69"/>
      <c r="BB52" s="69"/>
    </row>
    <row r="53" spans="2:54">
      <c r="B53" s="98"/>
      <c r="C53" s="68" t="s">
        <v>394</v>
      </c>
      <c r="D53" s="68">
        <v>7</v>
      </c>
      <c r="E53" s="92"/>
      <c r="F53" s="68"/>
      <c r="G53" s="68"/>
      <c r="H53" s="68">
        <v>1</v>
      </c>
      <c r="I53" s="70">
        <v>1</v>
      </c>
      <c r="J53" s="68">
        <v>1</v>
      </c>
      <c r="K53" s="70">
        <v>3</v>
      </c>
      <c r="L53" s="68">
        <v>1</v>
      </c>
      <c r="M53" s="70">
        <v>3</v>
      </c>
      <c r="N53" s="68"/>
      <c r="O53" s="68"/>
      <c r="P53" s="68"/>
      <c r="Q53" s="68"/>
      <c r="R53" s="68"/>
      <c r="S53" s="68"/>
      <c r="T53" s="68"/>
      <c r="U53" s="68"/>
      <c r="V53" s="69">
        <f>IF(J53=1,装备拆分数值生成!$AF$46,0)+装备拆分数值生成!$AF$10*能力数值!K53</f>
        <v>343.41666666666669</v>
      </c>
      <c r="W53" s="69">
        <f>IF(H53=1,装备拆分数值生成!$AG$40,0)+能力数值!I53*装备拆分数值生成!$AG$4</f>
        <v>121.26666666666667</v>
      </c>
      <c r="X53" s="69">
        <f>IF(H53=1,装备拆分数值生成!$AH$40,0)+能力数值!I53*装备拆分数值生成!$AH$4</f>
        <v>121.26666666666667</v>
      </c>
      <c r="Y53" s="69">
        <f>IF(L53=1,装备拆分数值生成!$AI$52,0)+装备拆分数值生成!$AI$16*能力数值!M53</f>
        <v>111.75</v>
      </c>
      <c r="AA53" s="69"/>
      <c r="AB53" s="68"/>
      <c r="AC53" s="68"/>
      <c r="AD53" s="68">
        <f>VLOOKUP(D52,宠物成长生成表!$B$5:$J$103,3,0)*$AN$2</f>
        <v>1891.1999999999998</v>
      </c>
      <c r="AE53" s="68">
        <f>VLOOKUP(D52,宠物成长生成表!$B$5:$J$103,4,0)*$AN$3</f>
        <v>484.2</v>
      </c>
      <c r="AF53" s="68">
        <f>VLOOKUP(D52,宠物成长生成表!$B$5:$J$103,4,0)*$AN$4</f>
        <v>484.2</v>
      </c>
      <c r="AG53" s="68">
        <f>VLOOKUP(D52,宠物成长生成表!$B$5:$J$103,7,0)*$AN$5</f>
        <v>451.44</v>
      </c>
      <c r="AH53" s="68">
        <f>VLOOKUP(D53,宠物成长生成表!$B$5:$J$103,6,0)</f>
        <v>61</v>
      </c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9">
        <f t="shared" si="13"/>
        <v>2234.6166666666663</v>
      </c>
      <c r="AT53" s="69">
        <f t="shared" si="14"/>
        <v>605.4666666666667</v>
      </c>
      <c r="AU53" s="69">
        <f t="shared" si="15"/>
        <v>605.4666666666667</v>
      </c>
      <c r="AV53" s="71">
        <f t="shared" si="16"/>
        <v>563.19000000000005</v>
      </c>
      <c r="AW53" s="69"/>
      <c r="AX53" s="69"/>
      <c r="AY53" s="69"/>
      <c r="AZ53" s="69"/>
      <c r="BA53" s="69"/>
      <c r="BB53" s="69"/>
    </row>
    <row r="54" spans="2:54">
      <c r="B54" s="98"/>
      <c r="C54" s="68" t="s">
        <v>427</v>
      </c>
      <c r="D54" s="68">
        <v>6</v>
      </c>
      <c r="E54" s="92"/>
      <c r="F54" s="68"/>
      <c r="G54" s="68"/>
      <c r="H54" s="68"/>
      <c r="I54" s="68"/>
      <c r="J54" s="68">
        <v>1</v>
      </c>
      <c r="K54" s="68">
        <v>4</v>
      </c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9">
        <f>IF(能力数值!J54=1,装备拆分数值生成!$Y$10,0)+能力数值!K54*装备拆分数值生成!$Y$10</f>
        <v>188.44444444444446</v>
      </c>
      <c r="W54" s="69">
        <f>IF(H54=0,0,装备拆分数值生成!$Z$40)+装备拆分数值生成!$Z$4*能力数值!I54</f>
        <v>0</v>
      </c>
      <c r="X54" s="69">
        <f>IF(H54=0,0,装备拆分数值生成!$AA$40)+装备拆分数值生成!$AA$4*能力数值!I54</f>
        <v>0</v>
      </c>
      <c r="Y54" s="69">
        <f>IF(L54=0,0,装备拆分数值生成!$AB$52)+装备拆分数值生成!$AB$16*能力数值!M54</f>
        <v>0</v>
      </c>
      <c r="AA54" s="69"/>
      <c r="AB54" s="68"/>
      <c r="AC54" s="68"/>
      <c r="AD54" s="68">
        <f>VLOOKUP(D54,宠物成长生成表!$B$5:$J$103,3,0)*$AM$2</f>
        <v>1704.3</v>
      </c>
      <c r="AE54" s="68">
        <f>VLOOKUP(D54,宠物成长生成表!$B$5:$J$103,4,0)*$AM$3</f>
        <v>357.6</v>
      </c>
      <c r="AF54" s="68">
        <f>VLOOKUP(D54,宠物成长生成表!$B$5:$J$103,4,0)*$AM$4</f>
        <v>357.6</v>
      </c>
      <c r="AG54" s="68">
        <f>VLOOKUP(D54,宠物成长生成表!$B$5:$J$103,7,0)*$AM$5</f>
        <v>563.64</v>
      </c>
      <c r="AH54" s="68">
        <f>VLOOKUP(D54,宠物成长生成表!$B$5:$J$103,6,0)</f>
        <v>60</v>
      </c>
      <c r="AI54" s="68"/>
      <c r="AJ54" s="68"/>
      <c r="AK54" s="68"/>
      <c r="AL54" s="68"/>
      <c r="AM54" s="68"/>
      <c r="AN54" s="68"/>
      <c r="AO54" s="68"/>
      <c r="AP54" s="68"/>
      <c r="AQ54" s="68"/>
      <c r="AR54" s="68"/>
      <c r="AS54" s="69">
        <f t="shared" si="13"/>
        <v>1892.7444444444445</v>
      </c>
      <c r="AT54" s="69">
        <f t="shared" si="14"/>
        <v>357.6</v>
      </c>
      <c r="AU54" s="69">
        <f t="shared" si="15"/>
        <v>357.6</v>
      </c>
      <c r="AV54" s="71">
        <f t="shared" si="16"/>
        <v>563.64</v>
      </c>
      <c r="AW54" s="69"/>
      <c r="AX54" s="69"/>
      <c r="AY54" s="69"/>
      <c r="AZ54" s="69"/>
      <c r="BA54" s="69"/>
      <c r="BB54" s="69"/>
    </row>
    <row r="55" spans="2:54" ht="17.25" thickBot="1">
      <c r="B55" s="99"/>
      <c r="C55" s="72" t="s">
        <v>430</v>
      </c>
      <c r="D55" s="81">
        <v>2</v>
      </c>
      <c r="E55" s="93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3"/>
      <c r="W55" s="73"/>
      <c r="X55" s="73"/>
      <c r="Y55" s="73"/>
      <c r="Z55" s="72"/>
      <c r="AA55" s="73"/>
      <c r="AB55" s="72"/>
      <c r="AC55" s="72"/>
      <c r="AD55" s="72">
        <f>VLOOKUP(D55,宠物成长生成表!$B$5:$J$103,3,0)*$AL$2</f>
        <v>1100.95</v>
      </c>
      <c r="AE55" s="72">
        <f>VLOOKUP(D55,宠物成长生成表!$B$5:$J$103,4,0)*$AL$3</f>
        <v>344.43</v>
      </c>
      <c r="AF55" s="72">
        <f>VLOOKUP(D55,宠物成长生成表!$B$5:$J$103,4,0)*$AL$4</f>
        <v>445.04999999999995</v>
      </c>
      <c r="AG55" s="72">
        <f>VLOOKUP(D55,宠物成长生成表!$B$5:$J$103,7,0)*$AL$5</f>
        <v>280.44</v>
      </c>
      <c r="AH55" s="81">
        <f>VLOOKUP(D55,宠物成长生成表!$B$5:$J$103,6,0)</f>
        <v>56</v>
      </c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3">
        <f t="shared" si="13"/>
        <v>1100.95</v>
      </c>
      <c r="AT55" s="73">
        <f t="shared" si="14"/>
        <v>344.43</v>
      </c>
      <c r="AU55" s="73">
        <f t="shared" si="15"/>
        <v>445.04999999999995</v>
      </c>
      <c r="AV55" s="75">
        <f t="shared" si="16"/>
        <v>280.44</v>
      </c>
      <c r="AW55" s="69"/>
      <c r="AX55" s="69"/>
      <c r="AY55" s="69"/>
      <c r="AZ55" s="69"/>
      <c r="BA55" s="69"/>
      <c r="BB55" s="69"/>
    </row>
    <row r="56" spans="2:54">
      <c r="B56" s="97" t="s">
        <v>388</v>
      </c>
      <c r="C56" s="64" t="s">
        <v>428</v>
      </c>
      <c r="D56" s="64">
        <v>7</v>
      </c>
      <c r="E56" s="91"/>
      <c r="F56" s="64"/>
      <c r="G56" s="64"/>
      <c r="H56" s="64">
        <v>1</v>
      </c>
      <c r="I56" s="66">
        <v>3</v>
      </c>
      <c r="J56" s="64">
        <v>1</v>
      </c>
      <c r="K56" s="66">
        <v>3</v>
      </c>
      <c r="L56" s="64">
        <v>1</v>
      </c>
      <c r="M56" s="66">
        <v>3</v>
      </c>
      <c r="N56" s="64"/>
      <c r="O56" s="64"/>
      <c r="P56" s="64"/>
      <c r="Q56" s="64"/>
      <c r="R56" s="64"/>
      <c r="S56" s="64"/>
      <c r="T56" s="64"/>
      <c r="U56" s="64"/>
      <c r="V56" s="69">
        <f>IF(J56=1,装备拆分数值生成!$R$46,0)+K56*装备拆分数值生成!$R$10</f>
        <v>343.41666666666669</v>
      </c>
      <c r="W56" s="65">
        <f>IF(H56=1,装备拆分数值生成!$S$40,0)+I56*装备拆分数值生成!$S$4</f>
        <v>93.733333333333348</v>
      </c>
      <c r="X56" s="65">
        <f>IF(H56=1,装备拆分数值生成!$T$40,0)+I56*装备拆分数值生成!$T$4</f>
        <v>187.4666666666667</v>
      </c>
      <c r="Y56" s="65">
        <f>IF(J56=1,装备拆分数值生成!$R$46,0)+K56*装备拆分数值生成!$R$10</f>
        <v>343.41666666666669</v>
      </c>
      <c r="AA56" s="65"/>
      <c r="AB56" s="64"/>
      <c r="AC56" s="64"/>
      <c r="AD56" s="68">
        <f>VLOOKUP(D56,宠物成长生成表!$B$5:$J$103,3,0)*$AL$2</f>
        <v>1314.35</v>
      </c>
      <c r="AE56" s="68">
        <f>VLOOKUP(D56,宠物成长生成表!$B$5:$J$103,4,0)*$AL$3</f>
        <v>411.18</v>
      </c>
      <c r="AF56" s="68">
        <f>VLOOKUP(D56,宠物成长生成表!$B$5:$J$103,4,0)*$AL$4</f>
        <v>531.29999999999995</v>
      </c>
      <c r="AG56" s="68">
        <f>VLOOKUP(D56,宠物成长生成表!$B$5:$J$103,7,0)*$AL$5</f>
        <v>335.16</v>
      </c>
      <c r="AH56" s="64">
        <f>VLOOKUP(D56,宠物成长生成表!$B$5:$J$103,6,0)</f>
        <v>61</v>
      </c>
      <c r="AI56" s="64"/>
      <c r="AJ56" s="64"/>
      <c r="AK56" s="64"/>
      <c r="AL56" s="64"/>
      <c r="AM56" s="64"/>
      <c r="AN56" s="64"/>
      <c r="AO56" s="64"/>
      <c r="AP56" s="64"/>
      <c r="AQ56" s="64"/>
      <c r="AR56" s="64"/>
      <c r="AS56" s="65">
        <f t="shared" si="13"/>
        <v>1657.7666666666667</v>
      </c>
      <c r="AT56" s="65">
        <f t="shared" si="14"/>
        <v>504.91333333333336</v>
      </c>
      <c r="AU56" s="65">
        <f t="shared" si="15"/>
        <v>718.76666666666665</v>
      </c>
      <c r="AV56" s="67">
        <f t="shared" si="16"/>
        <v>678.57666666666671</v>
      </c>
      <c r="AW56" s="69"/>
      <c r="AX56" s="69"/>
      <c r="AY56" s="69"/>
      <c r="AZ56" s="69"/>
      <c r="BA56" s="69"/>
      <c r="BB56" s="69"/>
    </row>
    <row r="57" spans="2:54">
      <c r="B57" s="98"/>
      <c r="C57" s="68" t="s">
        <v>426</v>
      </c>
      <c r="D57" s="68">
        <v>10</v>
      </c>
      <c r="E57" s="92"/>
      <c r="F57" s="68"/>
      <c r="G57" s="68"/>
      <c r="H57" s="68">
        <v>1</v>
      </c>
      <c r="I57" s="70">
        <v>3</v>
      </c>
      <c r="J57" s="68">
        <v>1</v>
      </c>
      <c r="K57" s="70">
        <v>3</v>
      </c>
      <c r="L57" s="68">
        <v>1</v>
      </c>
      <c r="M57" s="70">
        <v>2</v>
      </c>
      <c r="N57" s="68"/>
      <c r="O57" s="68"/>
      <c r="P57" s="68"/>
      <c r="Q57" s="68"/>
      <c r="R57" s="68"/>
      <c r="S57" s="68"/>
      <c r="T57" s="68"/>
      <c r="U57" s="68"/>
      <c r="V57" s="69">
        <f>IF(J57=1,装备拆分数值生成!$AF$46,0)+K57*装备拆分数值生成!$N$16</f>
        <v>291.14999999999998</v>
      </c>
      <c r="W57" s="69">
        <f>IF(H57=1,装备拆分数值生成!$L$40,0)+能力数值!I57*装备拆分数值生成!$L$4</f>
        <v>187.4666666666667</v>
      </c>
      <c r="X57" s="69">
        <f>IF(H57=1,装备拆分数值生成!$M$40,0)+能力数值!I57*装备拆分数值生成!$M$4</f>
        <v>93.733333333333348</v>
      </c>
      <c r="Y57" s="69">
        <f>IF(L57=1,装备拆分数值生成!$N$52,0)+装备拆分数值生成!$N$16*能力数值!M57</f>
        <v>83.266666666666666</v>
      </c>
      <c r="AA57" s="69"/>
      <c r="AB57" s="68"/>
      <c r="AC57" s="68"/>
      <c r="AD57" s="68">
        <f>VLOOKUP(D57,宠物成长生成表!$B$5:$J$103,3,0)*$AO$2</f>
        <v>1443.36</v>
      </c>
      <c r="AE57" s="68">
        <f>VLOOKUP(D57,宠物成长生成表!$B$5:$J$103,4,0)*$AO$3</f>
        <v>583.04999999999995</v>
      </c>
      <c r="AF57" s="68">
        <f>VLOOKUP(D57,宠物成长生成表!$B$5:$J$103,4,0)*$AO$4</f>
        <v>451.23</v>
      </c>
      <c r="AG57" s="68">
        <f>VLOOKUP(D57,宠物成长生成表!$B$5:$J$103,7,0)*$AO$5</f>
        <v>367.84000000000003</v>
      </c>
      <c r="AH57" s="68">
        <f>VLOOKUP(D57,宠物成长生成表!$B$5:$J$103,6,0)</f>
        <v>64</v>
      </c>
      <c r="AI57" s="68"/>
      <c r="AJ57" s="68"/>
      <c r="AK57" s="68"/>
      <c r="AL57" s="68"/>
      <c r="AM57" s="68"/>
      <c r="AN57" s="68"/>
      <c r="AO57" s="68"/>
      <c r="AP57" s="68"/>
      <c r="AQ57" s="68"/>
      <c r="AR57" s="68"/>
      <c r="AS57" s="69">
        <f t="shared" si="13"/>
        <v>1734.5099999999998</v>
      </c>
      <c r="AT57" s="69">
        <f t="shared" si="14"/>
        <v>770.51666666666665</v>
      </c>
      <c r="AU57" s="69">
        <f t="shared" si="15"/>
        <v>544.96333333333337</v>
      </c>
      <c r="AV57" s="71">
        <f t="shared" si="16"/>
        <v>451.10666666666668</v>
      </c>
      <c r="AW57" s="69"/>
      <c r="AX57" s="69"/>
      <c r="AY57" s="69"/>
      <c r="AZ57" s="69"/>
      <c r="BA57" s="69"/>
      <c r="BB57" s="69"/>
    </row>
    <row r="58" spans="2:54">
      <c r="B58" s="98"/>
      <c r="C58" s="68" t="s">
        <v>394</v>
      </c>
      <c r="D58" s="68">
        <v>8</v>
      </c>
      <c r="E58" s="92"/>
      <c r="F58" s="68"/>
      <c r="G58" s="68"/>
      <c r="H58" s="68">
        <v>1</v>
      </c>
      <c r="I58" s="70">
        <v>3</v>
      </c>
      <c r="J58" s="68">
        <v>1</v>
      </c>
      <c r="K58" s="70">
        <v>5</v>
      </c>
      <c r="L58" s="68">
        <v>1</v>
      </c>
      <c r="M58" s="70">
        <v>2</v>
      </c>
      <c r="N58" s="68"/>
      <c r="O58" s="68"/>
      <c r="P58" s="68"/>
      <c r="Q58" s="68"/>
      <c r="R58" s="68"/>
      <c r="S58" s="68"/>
      <c r="T58" s="68"/>
      <c r="U58" s="68"/>
      <c r="V58" s="69">
        <f>IF(J58=1,装备拆分数值生成!$AF$46,0)+装备拆分数值生成!$AF$10*能力数值!K58</f>
        <v>390.52777777777777</v>
      </c>
      <c r="W58" s="69">
        <f>IF(H58=1,装备拆分数值生成!$AG$40,0)+能力数值!I58*装备拆分数值生成!$AG$4</f>
        <v>140.6</v>
      </c>
      <c r="X58" s="69">
        <f>IF(H58=1,装备拆分数值生成!$AH$40,0)+能力数值!I58*装备拆分数值生成!$AH$4</f>
        <v>140.6</v>
      </c>
      <c r="Y58" s="69">
        <f>IF(L58=1,装备拆分数值生成!$AI$52,0)+装备拆分数值生成!$AI$16*能力数值!M58</f>
        <v>104.08333333333333</v>
      </c>
      <c r="AA58" s="69"/>
      <c r="AB58" s="68"/>
      <c r="AC58" s="68"/>
      <c r="AD58" s="68">
        <f>VLOOKUP(D57,宠物成长生成表!$B$5:$J$103,3,0)*$AN$2</f>
        <v>1785.6</v>
      </c>
      <c r="AE58" s="68">
        <f>VLOOKUP(D57,宠物成长生成表!$B$5:$J$103,4,0)*$AN$3</f>
        <v>456.3</v>
      </c>
      <c r="AF58" s="68">
        <f>VLOOKUP(D57,宠物成长生成表!$B$5:$J$103,4,0)*$AN$4</f>
        <v>456.3</v>
      </c>
      <c r="AG58" s="68">
        <f>VLOOKUP(D57,宠物成长生成表!$B$5:$J$103,7,0)*$AN$5</f>
        <v>425.92</v>
      </c>
      <c r="AH58" s="68">
        <f>VLOOKUP(D58,宠物成长生成表!$B$5:$J$103,6,0)</f>
        <v>62</v>
      </c>
      <c r="AI58" s="68"/>
      <c r="AJ58" s="68"/>
      <c r="AK58" s="68"/>
      <c r="AL58" s="68"/>
      <c r="AM58" s="68"/>
      <c r="AN58" s="68"/>
      <c r="AO58" s="68"/>
      <c r="AP58" s="68"/>
      <c r="AQ58" s="68"/>
      <c r="AR58" s="68"/>
      <c r="AS58" s="69">
        <f t="shared" si="13"/>
        <v>2176.1277777777777</v>
      </c>
      <c r="AT58" s="69">
        <f t="shared" si="14"/>
        <v>596.9</v>
      </c>
      <c r="AU58" s="69">
        <f t="shared" si="15"/>
        <v>596.9</v>
      </c>
      <c r="AV58" s="71">
        <f t="shared" si="16"/>
        <v>530.00333333333333</v>
      </c>
      <c r="AW58" s="69"/>
      <c r="AX58" s="69"/>
      <c r="AY58" s="69"/>
      <c r="AZ58" s="69"/>
      <c r="BA58" s="69"/>
      <c r="BB58" s="69"/>
    </row>
    <row r="59" spans="2:54">
      <c r="B59" s="98"/>
      <c r="C59" s="68" t="s">
        <v>427</v>
      </c>
      <c r="D59" s="68">
        <v>7</v>
      </c>
      <c r="E59" s="92"/>
      <c r="F59" s="68"/>
      <c r="G59" s="68"/>
      <c r="H59" s="68"/>
      <c r="I59" s="68"/>
      <c r="J59" s="68">
        <v>1</v>
      </c>
      <c r="K59" s="68">
        <v>5</v>
      </c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9">
        <f>IF(能力数值!J59=1,装备拆分数值生成!$Y$10,0)+能力数值!K59*装备拆分数值生成!$Y$10</f>
        <v>226.13333333333335</v>
      </c>
      <c r="W59" s="69">
        <f>IF(H59=0,0,装备拆分数值生成!$Z$40)+装备拆分数值生成!$Z$4*能力数值!I59</f>
        <v>0</v>
      </c>
      <c r="X59" s="69">
        <f>IF(H59=0,0,装备拆分数值生成!$AA$40)+装备拆分数值生成!$AA$4*能力数值!I59</f>
        <v>0</v>
      </c>
      <c r="Y59" s="69">
        <f>IF(L59=0,0,装备拆分数值生成!$AB$52)+装备拆分数值生成!$AB$16*能力数值!M59</f>
        <v>0</v>
      </c>
      <c r="AA59" s="69"/>
      <c r="AB59" s="68"/>
      <c r="AC59" s="68"/>
      <c r="AD59" s="68">
        <f>VLOOKUP(D59,宠物成长生成表!$B$5:$J$103,3,0)*$AM$2</f>
        <v>1761.5</v>
      </c>
      <c r="AE59" s="68">
        <f>VLOOKUP(D59,宠物成长生成表!$B$5:$J$103,4,0)*$AM$3</f>
        <v>369.6</v>
      </c>
      <c r="AF59" s="68">
        <f>VLOOKUP(D59,宠物成长生成表!$B$5:$J$103,4,0)*$AM$4</f>
        <v>369.6</v>
      </c>
      <c r="AG59" s="68">
        <f>VLOOKUP(D59,宠物成长生成表!$B$5:$J$103,7,0)*$AM$5</f>
        <v>582.12</v>
      </c>
      <c r="AH59" s="68">
        <f>VLOOKUP(D59,宠物成长生成表!$B$5:$J$103,6,0)</f>
        <v>61</v>
      </c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9">
        <f t="shared" si="13"/>
        <v>1987.6333333333334</v>
      </c>
      <c r="AT59" s="69">
        <f t="shared" si="14"/>
        <v>369.6</v>
      </c>
      <c r="AU59" s="69">
        <f t="shared" si="15"/>
        <v>369.6</v>
      </c>
      <c r="AV59" s="71">
        <f t="shared" si="16"/>
        <v>582.12</v>
      </c>
      <c r="AW59" s="69"/>
      <c r="AX59" s="69"/>
      <c r="AY59" s="69"/>
      <c r="AZ59" s="69"/>
      <c r="BA59" s="69"/>
      <c r="BB59" s="69"/>
    </row>
    <row r="60" spans="2:54" ht="17.25" thickBot="1">
      <c r="B60" s="99"/>
      <c r="C60" s="72" t="s">
        <v>430</v>
      </c>
      <c r="D60" s="72">
        <v>2</v>
      </c>
      <c r="E60" s="93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3"/>
      <c r="W60" s="73"/>
      <c r="X60" s="73"/>
      <c r="Y60" s="73"/>
      <c r="Z60" s="72"/>
      <c r="AA60" s="73"/>
      <c r="AB60" s="72"/>
      <c r="AC60" s="72"/>
      <c r="AD60" s="72">
        <f>VLOOKUP(D60,宠物成长生成表!$B$5:$J$103,3,0)*$AL$2</f>
        <v>1100.95</v>
      </c>
      <c r="AE60" s="72">
        <f>VLOOKUP(D60,宠物成长生成表!$B$5:$J$103,4,0)*$AL$3</f>
        <v>344.43</v>
      </c>
      <c r="AF60" s="72">
        <f>VLOOKUP(D60,宠物成长生成表!$B$5:$J$103,4,0)*$AL$4</f>
        <v>445.04999999999995</v>
      </c>
      <c r="AG60" s="72">
        <f>VLOOKUP(D60,宠物成长生成表!$B$5:$J$103,7,0)*$AL$5</f>
        <v>280.44</v>
      </c>
      <c r="AH60" s="81">
        <f>VLOOKUP(D60,宠物成长生成表!$B$5:$J$103,6,0)</f>
        <v>56</v>
      </c>
      <c r="AI60" s="72"/>
      <c r="AJ60" s="72"/>
      <c r="AK60" s="72"/>
      <c r="AL60" s="72"/>
      <c r="AM60" s="72"/>
      <c r="AN60" s="72"/>
      <c r="AO60" s="72"/>
      <c r="AP60" s="72"/>
      <c r="AQ60" s="72"/>
      <c r="AR60" s="72"/>
      <c r="AS60" s="73">
        <f t="shared" si="13"/>
        <v>1100.95</v>
      </c>
      <c r="AT60" s="73">
        <f t="shared" si="14"/>
        <v>344.43</v>
      </c>
      <c r="AU60" s="73">
        <f t="shared" si="15"/>
        <v>445.04999999999995</v>
      </c>
      <c r="AV60" s="75">
        <f t="shared" si="16"/>
        <v>280.44</v>
      </c>
      <c r="AW60" s="69"/>
      <c r="AX60" s="69"/>
      <c r="AY60" s="69"/>
      <c r="AZ60" s="69"/>
      <c r="BA60" s="69"/>
      <c r="BB60" s="69"/>
    </row>
    <row r="61" spans="2:54">
      <c r="B61" s="97" t="s">
        <v>389</v>
      </c>
      <c r="C61" s="64" t="s">
        <v>428</v>
      </c>
      <c r="D61" s="64">
        <v>8</v>
      </c>
      <c r="E61" s="91"/>
      <c r="F61" s="64"/>
      <c r="G61" s="64"/>
      <c r="H61" s="64">
        <v>1</v>
      </c>
      <c r="I61" s="66">
        <v>7</v>
      </c>
      <c r="J61" s="64">
        <v>1</v>
      </c>
      <c r="K61" s="66">
        <v>3</v>
      </c>
      <c r="L61" s="64">
        <v>1</v>
      </c>
      <c r="M61" s="66">
        <v>3</v>
      </c>
      <c r="N61" s="64"/>
      <c r="O61" s="64"/>
      <c r="P61" s="64"/>
      <c r="Q61" s="64"/>
      <c r="R61" s="64"/>
      <c r="S61" s="64"/>
      <c r="T61" s="64"/>
      <c r="U61" s="64"/>
      <c r="V61" s="69">
        <f>IF(J61=1,装备拆分数值生成!$R$46,0)+K61*装备拆分数值生成!$R$10</f>
        <v>343.41666666666669</v>
      </c>
      <c r="W61" s="65">
        <f>IF(H61=1,装备拆分数值生成!$S$40,0)+I61*装备拆分数值生成!$S$4</f>
        <v>119.51111111111112</v>
      </c>
      <c r="X61" s="65">
        <f>IF(H61=1,装备拆分数值生成!$T$40,0)+I61*装备拆分数值生成!$T$4</f>
        <v>239.02222222222224</v>
      </c>
      <c r="Y61" s="65">
        <f>IF(J61=1,装备拆分数值生成!$R$46,0)+K61*装备拆分数值生成!$R$10</f>
        <v>343.41666666666669</v>
      </c>
      <c r="AA61" s="65"/>
      <c r="AB61" s="64"/>
      <c r="AC61" s="64"/>
      <c r="AD61" s="68">
        <f>VLOOKUP(D61,宠物成长生成表!$B$5:$J$103,3,0)*$AL$2</f>
        <v>1357.03</v>
      </c>
      <c r="AE61" s="68">
        <f>VLOOKUP(D61,宠物成长生成表!$B$5:$J$103,4,0)*$AL$3</f>
        <v>424.53000000000003</v>
      </c>
      <c r="AF61" s="68">
        <f>VLOOKUP(D61,宠物成长生成表!$B$5:$J$103,4,0)*$AL$4</f>
        <v>548.54999999999995</v>
      </c>
      <c r="AG61" s="68">
        <f>VLOOKUP(D61,宠物成长生成表!$B$5:$J$103,7,0)*$AL$5</f>
        <v>345.8</v>
      </c>
      <c r="AH61" s="64">
        <f>VLOOKUP(D61,宠物成长生成表!$B$5:$J$103,6,0)</f>
        <v>62</v>
      </c>
      <c r="AI61" s="64"/>
      <c r="AJ61" s="64"/>
      <c r="AK61" s="64"/>
      <c r="AL61" s="64"/>
      <c r="AM61" s="64"/>
      <c r="AN61" s="64"/>
      <c r="AO61" s="64"/>
      <c r="AP61" s="64"/>
      <c r="AQ61" s="64"/>
      <c r="AR61" s="64"/>
      <c r="AS61" s="65">
        <f t="shared" si="13"/>
        <v>1700.4466666666667</v>
      </c>
      <c r="AT61" s="65">
        <f t="shared" si="14"/>
        <v>544.04111111111115</v>
      </c>
      <c r="AU61" s="65">
        <f t="shared" si="15"/>
        <v>787.57222222222219</v>
      </c>
      <c r="AV61" s="67">
        <f t="shared" si="16"/>
        <v>689.2166666666667</v>
      </c>
      <c r="AW61" s="69"/>
      <c r="AX61" s="69"/>
      <c r="AY61" s="69"/>
      <c r="AZ61" s="69"/>
      <c r="BA61" s="69"/>
      <c r="BB61" s="69"/>
    </row>
    <row r="62" spans="2:54">
      <c r="B62" s="98"/>
      <c r="C62" s="68" t="s">
        <v>426</v>
      </c>
      <c r="D62" s="68">
        <v>11</v>
      </c>
      <c r="E62" s="92"/>
      <c r="F62" s="68"/>
      <c r="G62" s="68"/>
      <c r="H62" s="68">
        <v>1</v>
      </c>
      <c r="I62" s="70">
        <v>4</v>
      </c>
      <c r="J62" s="68">
        <v>1</v>
      </c>
      <c r="K62" s="70">
        <v>2</v>
      </c>
      <c r="L62" s="68">
        <v>1</v>
      </c>
      <c r="M62" s="70">
        <v>1</v>
      </c>
      <c r="N62" s="68"/>
      <c r="O62" s="68"/>
      <c r="P62" s="68"/>
      <c r="Q62" s="68"/>
      <c r="R62" s="68"/>
      <c r="S62" s="68"/>
      <c r="T62" s="68"/>
      <c r="U62" s="68"/>
      <c r="V62" s="69">
        <f>IF(J62=1,装备拆分数值生成!$AF$46,0)+K62*装备拆分数值生成!$N$16</f>
        <v>285.01666666666665</v>
      </c>
      <c r="W62" s="69">
        <f>IF(H62=1,装备拆分数值生成!$L$40,0)+能力数值!I62*装备拆分数值生成!$L$4</f>
        <v>200.35555555555555</v>
      </c>
      <c r="X62" s="69">
        <f>IF(H62=1,装备拆分数值生成!$M$40,0)+能力数值!I62*装备拆分数值生成!$M$4</f>
        <v>100.17777777777778</v>
      </c>
      <c r="Y62" s="69">
        <f>IF(L62=1,装备拆分数值生成!$N$52,0)+装备拆分数值生成!$N$16*能力数值!M62</f>
        <v>77.13333333333334</v>
      </c>
      <c r="AA62" s="69"/>
      <c r="AB62" s="68"/>
      <c r="AC62" s="68"/>
      <c r="AD62" s="68">
        <f>VLOOKUP(D62,宠物成长生成表!$B$5:$J$103,3,0)*$AO$2</f>
        <v>1486.04</v>
      </c>
      <c r="AE62" s="68">
        <f>VLOOKUP(D62,宠物成长生成表!$B$5:$J$103,4,0)*$AO$3</f>
        <v>601.44999999999993</v>
      </c>
      <c r="AF62" s="68">
        <f>VLOOKUP(D62,宠物成长生成表!$B$5:$J$103,4,0)*$AO$4</f>
        <v>465.47</v>
      </c>
      <c r="AG62" s="68">
        <f>VLOOKUP(D62,宠物成长生成表!$B$5:$J$103,7,0)*$AO$5</f>
        <v>378.48</v>
      </c>
      <c r="AH62" s="68">
        <f>VLOOKUP(D62,宠物成长生成表!$B$5:$J$103,6,0)</f>
        <v>66</v>
      </c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9">
        <f t="shared" si="13"/>
        <v>1771.0566666666666</v>
      </c>
      <c r="AT62" s="69">
        <f t="shared" si="14"/>
        <v>801.80555555555543</v>
      </c>
      <c r="AU62" s="69">
        <f t="shared" si="15"/>
        <v>565.64777777777783</v>
      </c>
      <c r="AV62" s="71">
        <f t="shared" si="16"/>
        <v>455.61333333333334</v>
      </c>
      <c r="AW62" s="69"/>
      <c r="AX62" s="69"/>
      <c r="AY62" s="69"/>
      <c r="AZ62" s="69"/>
      <c r="BA62" s="69"/>
      <c r="BB62" s="69"/>
    </row>
    <row r="63" spans="2:54">
      <c r="B63" s="98"/>
      <c r="C63" s="68" t="s">
        <v>394</v>
      </c>
      <c r="D63" s="68">
        <v>7</v>
      </c>
      <c r="E63" s="92"/>
      <c r="F63" s="68"/>
      <c r="G63" s="68"/>
      <c r="H63" s="68">
        <v>1</v>
      </c>
      <c r="I63" s="70">
        <v>5</v>
      </c>
      <c r="J63" s="68">
        <v>1</v>
      </c>
      <c r="K63" s="70">
        <v>3</v>
      </c>
      <c r="L63" s="68">
        <v>1</v>
      </c>
      <c r="M63" s="70">
        <v>2</v>
      </c>
      <c r="N63" s="68"/>
      <c r="O63" s="68"/>
      <c r="P63" s="68"/>
      <c r="Q63" s="68"/>
      <c r="R63" s="68"/>
      <c r="S63" s="68"/>
      <c r="T63" s="68"/>
      <c r="U63" s="68"/>
      <c r="V63" s="69">
        <f>IF(J63=1,装备拆分数值生成!$AF$46,0)+装备拆分数值生成!$AF$10*能力数值!K63</f>
        <v>343.41666666666669</v>
      </c>
      <c r="W63" s="69">
        <f>IF(H63=1,装备拆分数值生成!$AG$40,0)+能力数值!I63*装备拆分数值生成!$AG$4</f>
        <v>159.93333333333334</v>
      </c>
      <c r="X63" s="69">
        <f>IF(H63=1,装备拆分数值生成!$AH$40,0)+能力数值!I63*装备拆分数值生成!$AH$4</f>
        <v>159.93333333333334</v>
      </c>
      <c r="Y63" s="69">
        <f>IF(L63=1,装备拆分数值生成!$AI$52,0)+装备拆分数值生成!$AI$16*能力数值!M63</f>
        <v>104.08333333333333</v>
      </c>
      <c r="AA63" s="69"/>
      <c r="AB63" s="68"/>
      <c r="AC63" s="68"/>
      <c r="AD63" s="68">
        <f>VLOOKUP(D62,宠物成长生成表!$B$5:$J$103,3,0)*$AN$2</f>
        <v>1838.3999999999999</v>
      </c>
      <c r="AE63" s="68">
        <f>VLOOKUP(D62,宠物成长生成表!$B$5:$J$103,4,0)*$AN$3</f>
        <v>470.7</v>
      </c>
      <c r="AF63" s="68">
        <f>VLOOKUP(D62,宠物成长生成表!$B$5:$J$103,4,0)*$AN$4</f>
        <v>470.7</v>
      </c>
      <c r="AG63" s="68">
        <f>VLOOKUP(D62,宠物成长生成表!$B$5:$J$103,7,0)*$AN$5</f>
        <v>438.24</v>
      </c>
      <c r="AH63" s="68">
        <f>VLOOKUP(D63,宠物成长生成表!$B$5:$J$103,6,0)</f>
        <v>61</v>
      </c>
      <c r="AI63" s="68"/>
      <c r="AJ63" s="68"/>
      <c r="AK63" s="68"/>
      <c r="AL63" s="68"/>
      <c r="AM63" s="68"/>
      <c r="AN63" s="68"/>
      <c r="AO63" s="68"/>
      <c r="AP63" s="68"/>
      <c r="AQ63" s="68"/>
      <c r="AR63" s="68"/>
      <c r="AS63" s="69">
        <f t="shared" si="13"/>
        <v>2181.8166666666666</v>
      </c>
      <c r="AT63" s="69">
        <f t="shared" si="14"/>
        <v>630.63333333333333</v>
      </c>
      <c r="AU63" s="69">
        <f t="shared" si="15"/>
        <v>630.63333333333333</v>
      </c>
      <c r="AV63" s="71">
        <f t="shared" si="16"/>
        <v>542.32333333333338</v>
      </c>
      <c r="AW63" s="69"/>
      <c r="AX63" s="69"/>
      <c r="AY63" s="69"/>
      <c r="AZ63" s="69"/>
      <c r="BA63" s="69"/>
      <c r="BB63" s="69"/>
    </row>
    <row r="64" spans="2:54">
      <c r="B64" s="98"/>
      <c r="C64" s="68" t="s">
        <v>427</v>
      </c>
      <c r="D64" s="68">
        <v>5</v>
      </c>
      <c r="E64" s="92"/>
      <c r="F64" s="68"/>
      <c r="G64" s="68"/>
      <c r="H64" s="68"/>
      <c r="I64" s="68"/>
      <c r="J64" s="68">
        <v>1</v>
      </c>
      <c r="K64" s="68">
        <v>5</v>
      </c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9">
        <f>IF(能力数值!J64=1,装备拆分数值生成!$Y$10,0)+能力数值!K64*装备拆分数值生成!$Y$10</f>
        <v>226.13333333333335</v>
      </c>
      <c r="W64" s="69">
        <f>IF(H64=0,0,装备拆分数值生成!$Z$40)+装备拆分数值生成!$Z$4*能力数值!I64</f>
        <v>0</v>
      </c>
      <c r="X64" s="69">
        <f>IF(H64=0,0,装备拆分数值生成!$AA$40)+装备拆分数值生成!$AA$4*能力数值!I64</f>
        <v>0</v>
      </c>
      <c r="Y64" s="69">
        <f>IF(L64=0,0,装备拆分数值生成!$AB$52)+装备拆分数值生成!$AB$16*能力数值!M64</f>
        <v>0</v>
      </c>
      <c r="AA64" s="69"/>
      <c r="AB64" s="68"/>
      <c r="AC64" s="68"/>
      <c r="AD64" s="68">
        <f>VLOOKUP(D64,宠物成长生成表!$B$5:$J$103,3,0)*$AM$2</f>
        <v>1647.1000000000001</v>
      </c>
      <c r="AE64" s="68">
        <f>VLOOKUP(D64,宠物成长生成表!$B$5:$J$103,4,0)*$AM$3</f>
        <v>345.6</v>
      </c>
      <c r="AF64" s="68">
        <f>VLOOKUP(D64,宠物成长生成表!$B$5:$J$103,4,0)*$AM$4</f>
        <v>345.6</v>
      </c>
      <c r="AG64" s="68">
        <f>VLOOKUP(D64,宠物成长生成表!$B$5:$J$103,7,0)*$AM$5</f>
        <v>543.84</v>
      </c>
      <c r="AH64" s="68">
        <f>VLOOKUP(D64,宠物成长生成表!$B$5:$J$103,6,0)</f>
        <v>59</v>
      </c>
      <c r="AI64" s="68"/>
      <c r="AJ64" s="68"/>
      <c r="AK64" s="68"/>
      <c r="AL64" s="68"/>
      <c r="AM64" s="68"/>
      <c r="AN64" s="68"/>
      <c r="AO64" s="68"/>
      <c r="AP64" s="68"/>
      <c r="AQ64" s="68"/>
      <c r="AR64" s="68"/>
      <c r="AS64" s="69">
        <f t="shared" si="13"/>
        <v>1873.2333333333336</v>
      </c>
      <c r="AT64" s="69">
        <f t="shared" si="14"/>
        <v>345.6</v>
      </c>
      <c r="AU64" s="69">
        <f t="shared" si="15"/>
        <v>345.6</v>
      </c>
      <c r="AV64" s="71">
        <f t="shared" si="16"/>
        <v>543.84</v>
      </c>
      <c r="AW64" s="69"/>
      <c r="AX64" s="69"/>
      <c r="AY64" s="69"/>
      <c r="AZ64" s="69"/>
      <c r="BA64" s="69"/>
      <c r="BB64" s="69"/>
    </row>
    <row r="65" spans="2:54" ht="17.25" thickBot="1">
      <c r="B65" s="99"/>
      <c r="C65" s="72" t="s">
        <v>430</v>
      </c>
      <c r="D65" s="72">
        <v>3</v>
      </c>
      <c r="E65" s="93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3"/>
      <c r="W65" s="73"/>
      <c r="X65" s="73"/>
      <c r="Y65" s="73"/>
      <c r="Z65" s="72"/>
      <c r="AA65" s="73"/>
      <c r="AB65" s="72"/>
      <c r="AC65" s="72"/>
      <c r="AD65" s="72">
        <f>VLOOKUP(D65,宠物成长生成表!$B$5:$J$103,3,0)*$AL$2</f>
        <v>1143.6299999999999</v>
      </c>
      <c r="AE65" s="72">
        <f>VLOOKUP(D65,宠物成长生成表!$B$5:$J$103,4,0)*$AL$3</f>
        <v>357.78000000000003</v>
      </c>
      <c r="AF65" s="72">
        <f>VLOOKUP(D65,宠物成长生成表!$B$5:$J$103,4,0)*$AL$4</f>
        <v>462.29999999999995</v>
      </c>
      <c r="AG65" s="72">
        <f>VLOOKUP(D65,宠物成长生成表!$B$5:$J$103,7,0)*$AL$5</f>
        <v>291.84000000000003</v>
      </c>
      <c r="AH65" s="81">
        <f>VLOOKUP(D65,宠物成长生成表!$B$5:$J$103,6,0)</f>
        <v>57</v>
      </c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3">
        <f t="shared" si="13"/>
        <v>1143.6299999999999</v>
      </c>
      <c r="AT65" s="73">
        <f t="shared" si="14"/>
        <v>357.78000000000003</v>
      </c>
      <c r="AU65" s="73">
        <f t="shared" si="15"/>
        <v>462.29999999999995</v>
      </c>
      <c r="AV65" s="75">
        <f t="shared" si="16"/>
        <v>291.84000000000003</v>
      </c>
      <c r="AW65" s="69"/>
      <c r="AX65" s="69"/>
      <c r="AY65" s="69"/>
      <c r="AZ65" s="69"/>
      <c r="BA65" s="69"/>
      <c r="BB65" s="69"/>
    </row>
    <row r="66" spans="2:54">
      <c r="B66" s="97" t="s">
        <v>390</v>
      </c>
      <c r="C66" s="64" t="s">
        <v>428</v>
      </c>
      <c r="D66" s="64">
        <v>7</v>
      </c>
      <c r="E66" s="91"/>
      <c r="F66" s="64"/>
      <c r="G66" s="64"/>
      <c r="H66" s="64">
        <v>1</v>
      </c>
      <c r="I66" s="66">
        <v>7</v>
      </c>
      <c r="J66" s="64">
        <v>1</v>
      </c>
      <c r="K66" s="66">
        <v>3</v>
      </c>
      <c r="L66" s="64">
        <v>1</v>
      </c>
      <c r="M66" s="66">
        <v>3</v>
      </c>
      <c r="N66" s="64"/>
      <c r="O66" s="64"/>
      <c r="P66" s="64"/>
      <c r="Q66" s="64"/>
      <c r="R66" s="64"/>
      <c r="S66" s="64"/>
      <c r="T66" s="64"/>
      <c r="U66" s="64"/>
      <c r="V66" s="69">
        <f>IF(J66=1,装备拆分数值生成!$R$46,0)+K66*装备拆分数值生成!$R$10</f>
        <v>343.41666666666669</v>
      </c>
      <c r="W66" s="65">
        <f>IF(H66=1,装备拆分数值生成!$S$40,0)+I66*装备拆分数值生成!$S$4</f>
        <v>119.51111111111112</v>
      </c>
      <c r="X66" s="65">
        <f>IF(H66=1,装备拆分数值生成!$T$40,0)+I66*装备拆分数值生成!$T$4</f>
        <v>239.02222222222224</v>
      </c>
      <c r="Y66" s="65">
        <f>IF(J66=1,装备拆分数值生成!$R$46,0)+K66*装备拆分数值生成!$R$10</f>
        <v>343.41666666666669</v>
      </c>
      <c r="AA66" s="65"/>
      <c r="AB66" s="64"/>
      <c r="AC66" s="64"/>
      <c r="AD66" s="68">
        <f>VLOOKUP(D66,宠物成长生成表!$B$5:$J$103,3,0)*$AL$2</f>
        <v>1314.35</v>
      </c>
      <c r="AE66" s="68">
        <f>VLOOKUP(D66,宠物成长生成表!$B$5:$J$103,4,0)*$AL$3</f>
        <v>411.18</v>
      </c>
      <c r="AF66" s="68">
        <f>VLOOKUP(D66,宠物成长生成表!$B$5:$J$103,4,0)*$AL$4</f>
        <v>531.29999999999995</v>
      </c>
      <c r="AG66" s="68">
        <f>VLOOKUP(D66,宠物成长生成表!$B$5:$J$103,7,0)*$AL$5</f>
        <v>335.16</v>
      </c>
      <c r="AH66" s="64">
        <f>VLOOKUP(D66,宠物成长生成表!$B$5:$J$103,6,0)+VLOOKUP(E66,宠物升阶生成表!$B$6:$F$21,5,0)</f>
        <v>61</v>
      </c>
      <c r="AI66" s="64"/>
      <c r="AJ66" s="64"/>
      <c r="AK66" s="64"/>
      <c r="AL66" s="64"/>
      <c r="AM66" s="64"/>
      <c r="AN66" s="64"/>
      <c r="AO66" s="64"/>
      <c r="AP66" s="64"/>
      <c r="AQ66" s="64"/>
      <c r="AR66" s="64"/>
      <c r="AS66" s="65">
        <f t="shared" si="13"/>
        <v>1657.7666666666667</v>
      </c>
      <c r="AT66" s="65">
        <f t="shared" si="14"/>
        <v>530.69111111111113</v>
      </c>
      <c r="AU66" s="65">
        <f t="shared" si="15"/>
        <v>770.32222222222219</v>
      </c>
      <c r="AV66" s="67">
        <f t="shared" si="16"/>
        <v>678.57666666666671</v>
      </c>
      <c r="AW66" s="69"/>
      <c r="AX66" s="69"/>
      <c r="AY66" s="69"/>
      <c r="AZ66" s="69"/>
      <c r="BA66" s="69"/>
      <c r="BB66" s="69"/>
    </row>
    <row r="67" spans="2:54">
      <c r="B67" s="98"/>
      <c r="C67" s="68" t="s">
        <v>426</v>
      </c>
      <c r="D67" s="68">
        <v>11</v>
      </c>
      <c r="E67" s="92"/>
      <c r="F67" s="68"/>
      <c r="G67" s="68"/>
      <c r="H67" s="68">
        <v>1</v>
      </c>
      <c r="I67" s="70">
        <v>2</v>
      </c>
      <c r="J67" s="68">
        <v>1</v>
      </c>
      <c r="K67" s="70">
        <v>5</v>
      </c>
      <c r="L67" s="68">
        <v>1</v>
      </c>
      <c r="M67" s="70">
        <v>1</v>
      </c>
      <c r="N67" s="68"/>
      <c r="O67" s="68"/>
      <c r="P67" s="68"/>
      <c r="Q67" s="68"/>
      <c r="R67" s="68"/>
      <c r="S67" s="68"/>
      <c r="T67" s="68"/>
      <c r="U67" s="68"/>
      <c r="V67" s="69">
        <f>IF(J67=1,装备拆分数值生成!$AF$46,0)+K67*装备拆分数值生成!$N$16</f>
        <v>303.41666666666669</v>
      </c>
      <c r="W67" s="69">
        <f>IF(H67=1,装备拆分数值生成!$L$40,0)+能力数值!I67*装备拆分数值生成!$L$4</f>
        <v>174.57777777777778</v>
      </c>
      <c r="X67" s="69">
        <f>IF(H67=1,装备拆分数值生成!$M$40,0)+能力数值!I67*装备拆分数值生成!$M$4</f>
        <v>87.288888888888891</v>
      </c>
      <c r="Y67" s="69">
        <f>IF(L67=1,装备拆分数值生成!$N$52,0)+装备拆分数值生成!$N$16*能力数值!M67</f>
        <v>77.13333333333334</v>
      </c>
      <c r="AA67" s="69"/>
      <c r="AB67" s="68"/>
      <c r="AC67" s="68"/>
      <c r="AD67" s="68">
        <f>VLOOKUP(D67,宠物成长生成表!$B$5:$J$103,3,0)*$AO$2</f>
        <v>1486.04</v>
      </c>
      <c r="AE67" s="68">
        <f>VLOOKUP(D67,宠物成长生成表!$B$5:$J$103,4,0)*$AO$3</f>
        <v>601.44999999999993</v>
      </c>
      <c r="AF67" s="68">
        <f>VLOOKUP(D67,宠物成长生成表!$B$5:$J$103,4,0)*$AO$4</f>
        <v>465.47</v>
      </c>
      <c r="AG67" s="68">
        <f>VLOOKUP(D67,宠物成长生成表!$B$5:$J$103,7,0)*$AO$5</f>
        <v>378.48</v>
      </c>
      <c r="AH67" s="68">
        <f>VLOOKUP(D67,宠物成长生成表!$B$5:$J$103,6,0)+VLOOKUP(E67,宠物升阶生成表!$B$6:$F$21,5,0)</f>
        <v>66</v>
      </c>
      <c r="AI67" s="68"/>
      <c r="AJ67" s="68"/>
      <c r="AK67" s="68"/>
      <c r="AL67" s="68"/>
      <c r="AM67" s="68"/>
      <c r="AN67" s="68"/>
      <c r="AO67" s="68"/>
      <c r="AP67" s="68"/>
      <c r="AQ67" s="68"/>
      <c r="AR67" s="68"/>
      <c r="AS67" s="69">
        <f t="shared" si="13"/>
        <v>1789.4566666666667</v>
      </c>
      <c r="AT67" s="69">
        <f t="shared" si="14"/>
        <v>776.02777777777771</v>
      </c>
      <c r="AU67" s="69">
        <f t="shared" si="15"/>
        <v>552.75888888888892</v>
      </c>
      <c r="AV67" s="71">
        <f t="shared" si="16"/>
        <v>455.61333333333334</v>
      </c>
      <c r="AW67" s="69"/>
      <c r="AX67" s="69"/>
      <c r="AY67" s="69"/>
      <c r="AZ67" s="69"/>
      <c r="BA67" s="69"/>
      <c r="BB67" s="69"/>
    </row>
    <row r="68" spans="2:54">
      <c r="B68" s="98"/>
      <c r="C68" s="68" t="s">
        <v>394</v>
      </c>
      <c r="D68" s="68">
        <v>9</v>
      </c>
      <c r="E68" s="92"/>
      <c r="F68" s="68"/>
      <c r="G68" s="68"/>
      <c r="H68" s="68">
        <v>1</v>
      </c>
      <c r="I68" s="70">
        <v>7</v>
      </c>
      <c r="J68" s="68">
        <v>1</v>
      </c>
      <c r="K68" s="70">
        <v>3</v>
      </c>
      <c r="L68" s="68">
        <v>1</v>
      </c>
      <c r="M68" s="70">
        <v>2</v>
      </c>
      <c r="N68" s="68"/>
      <c r="O68" s="68"/>
      <c r="P68" s="68"/>
      <c r="Q68" s="68"/>
      <c r="R68" s="68"/>
      <c r="S68" s="68"/>
      <c r="T68" s="68"/>
      <c r="U68" s="68"/>
      <c r="V68" s="69">
        <f>IF(J68=1,装备拆分数值生成!$AF$46,0)+装备拆分数值生成!$AF$10*能力数值!K68</f>
        <v>343.41666666666669</v>
      </c>
      <c r="W68" s="69">
        <f>IF(H68=1,装备拆分数值生成!$AG$40,0)+能力数值!I68*装备拆分数值生成!$AG$4</f>
        <v>179.26666666666665</v>
      </c>
      <c r="X68" s="69">
        <f>IF(H68=1,装备拆分数值生成!$AH$40,0)+能力数值!I68*装备拆分数值生成!$AH$4</f>
        <v>179.26666666666665</v>
      </c>
      <c r="Y68" s="69">
        <f>IF(L68=1,装备拆分数值生成!$AI$52,0)+装备拆分数值生成!$AI$16*能力数值!M68</f>
        <v>104.08333333333333</v>
      </c>
      <c r="AA68" s="69"/>
      <c r="AB68" s="68"/>
      <c r="AC68" s="68"/>
      <c r="AD68" s="68">
        <f>VLOOKUP(D67,宠物成长生成表!$B$5:$J$103,3,0)*$AN$2</f>
        <v>1838.3999999999999</v>
      </c>
      <c r="AE68" s="68">
        <f>VLOOKUP(D67,宠物成长生成表!$B$5:$J$103,4,0)*$AN$3</f>
        <v>470.7</v>
      </c>
      <c r="AF68" s="68">
        <f>VLOOKUP(D67,宠物成长生成表!$B$5:$J$103,4,0)*$AN$4</f>
        <v>470.7</v>
      </c>
      <c r="AG68" s="68">
        <f>VLOOKUP(D67,宠物成长生成表!$B$5:$J$103,7,0)*$AN$5</f>
        <v>438.24</v>
      </c>
      <c r="AH68" s="68">
        <f>VLOOKUP(D68,宠物成长生成表!$B$5:$J$103,6,0)+VLOOKUP(E68,宠物升阶生成表!$B$6:$F$21,5,0)</f>
        <v>63</v>
      </c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9">
        <f t="shared" si="13"/>
        <v>2181.8166666666666</v>
      </c>
      <c r="AT68" s="69">
        <f t="shared" si="14"/>
        <v>649.9666666666667</v>
      </c>
      <c r="AU68" s="69">
        <f t="shared" si="15"/>
        <v>649.9666666666667</v>
      </c>
      <c r="AV68" s="71">
        <f t="shared" si="16"/>
        <v>542.32333333333338</v>
      </c>
      <c r="AW68" s="69"/>
      <c r="AX68" s="69"/>
      <c r="AY68" s="69"/>
      <c r="AZ68" s="69"/>
      <c r="BA68" s="69"/>
      <c r="BB68" s="69"/>
    </row>
    <row r="69" spans="2:54">
      <c r="B69" s="98"/>
      <c r="C69" s="68" t="s">
        <v>427</v>
      </c>
      <c r="D69" s="68">
        <v>7</v>
      </c>
      <c r="E69" s="92"/>
      <c r="F69" s="68"/>
      <c r="G69" s="68"/>
      <c r="H69" s="68"/>
      <c r="I69" s="70"/>
      <c r="J69" s="68">
        <v>1</v>
      </c>
      <c r="K69" s="68">
        <v>5</v>
      </c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9">
        <f>IF(能力数值!J69=1,装备拆分数值生成!$Y$10,0)+能力数值!K69*装备拆分数值生成!$Y$10</f>
        <v>226.13333333333335</v>
      </c>
      <c r="W69" s="69">
        <f>IF(H69=0,0,装备拆分数值生成!$Z$40)+装备拆分数值生成!$Z$4*能力数值!I69</f>
        <v>0</v>
      </c>
      <c r="X69" s="69">
        <f>IF(H69=0,0,装备拆分数值生成!$AA$40)+装备拆分数值生成!$AA$4*能力数值!I69</f>
        <v>0</v>
      </c>
      <c r="Y69" s="69">
        <f>IF(L69=0,0,装备拆分数值生成!$AB$52)+装备拆分数值生成!$AB$16*能力数值!M69</f>
        <v>0</v>
      </c>
      <c r="AA69" s="69"/>
      <c r="AB69" s="68"/>
      <c r="AC69" s="68"/>
      <c r="AD69" s="68">
        <f>VLOOKUP(D69,宠物成长生成表!$B$5:$J$103,3,0)*$AM$2</f>
        <v>1761.5</v>
      </c>
      <c r="AE69" s="68">
        <f>VLOOKUP(D69,宠物成长生成表!$B$5:$J$103,4,0)*$AM$3</f>
        <v>369.6</v>
      </c>
      <c r="AF69" s="68">
        <f>VLOOKUP(D69,宠物成长生成表!$B$5:$J$103,4,0)*$AM$4</f>
        <v>369.6</v>
      </c>
      <c r="AG69" s="68">
        <f>VLOOKUP(D69,宠物成长生成表!$B$5:$J$103,7,0)*$AM$5</f>
        <v>582.12</v>
      </c>
      <c r="AH69" s="68">
        <f>VLOOKUP(D69,宠物成长生成表!$B$5:$J$103,6,0)+VLOOKUP(E69,宠物升阶生成表!$B$6:$F$21,5,0)</f>
        <v>61</v>
      </c>
      <c r="AI69" s="68"/>
      <c r="AJ69" s="68"/>
      <c r="AK69" s="68"/>
      <c r="AL69" s="68"/>
      <c r="AM69" s="68"/>
      <c r="AN69" s="68"/>
      <c r="AO69" s="68"/>
      <c r="AP69" s="68"/>
      <c r="AQ69" s="68"/>
      <c r="AR69" s="68"/>
      <c r="AS69" s="69">
        <f t="shared" si="13"/>
        <v>1987.6333333333334</v>
      </c>
      <c r="AT69" s="69">
        <f t="shared" si="14"/>
        <v>369.6</v>
      </c>
      <c r="AU69" s="69">
        <f t="shared" si="15"/>
        <v>369.6</v>
      </c>
      <c r="AV69" s="71">
        <f t="shared" si="16"/>
        <v>582.12</v>
      </c>
      <c r="AW69" s="69"/>
      <c r="AX69" s="69"/>
      <c r="AY69" s="69"/>
      <c r="AZ69" s="69"/>
      <c r="BA69" s="69"/>
      <c r="BB69" s="69"/>
    </row>
    <row r="70" spans="2:54" ht="17.25" thickBot="1">
      <c r="B70" s="99"/>
      <c r="C70" s="72" t="s">
        <v>430</v>
      </c>
      <c r="D70" s="72">
        <v>3</v>
      </c>
      <c r="E70" s="93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3"/>
      <c r="W70" s="73"/>
      <c r="X70" s="73"/>
      <c r="Y70" s="73"/>
      <c r="Z70" s="72"/>
      <c r="AA70" s="73"/>
      <c r="AB70" s="72"/>
      <c r="AC70" s="72"/>
      <c r="AD70" s="72">
        <f>VLOOKUP(D70,宠物成长生成表!$B$5:$J$103,3,0)*$AL$2</f>
        <v>1143.6299999999999</v>
      </c>
      <c r="AE70" s="72">
        <f>VLOOKUP(D70,宠物成长生成表!$B$5:$J$103,4,0)*$AL$3</f>
        <v>357.78000000000003</v>
      </c>
      <c r="AF70" s="72">
        <f>VLOOKUP(D70,宠物成长生成表!$B$5:$J$103,4,0)*$AL$4</f>
        <v>462.29999999999995</v>
      </c>
      <c r="AG70" s="72">
        <f>VLOOKUP(D70,宠物成长生成表!$B$5:$J$103,7,0)*$AL$5</f>
        <v>291.84000000000003</v>
      </c>
      <c r="AH70" s="68">
        <f>VLOOKUP(D70,宠物成长生成表!$B$5:$J$103,6,0)+VLOOKUP(E70,宠物升阶生成表!$B$6:$F$21,5,0)</f>
        <v>57</v>
      </c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3">
        <f t="shared" si="13"/>
        <v>1143.6299999999999</v>
      </c>
      <c r="AT70" s="73">
        <f t="shared" si="14"/>
        <v>357.78000000000003</v>
      </c>
      <c r="AU70" s="73">
        <f t="shared" si="15"/>
        <v>462.29999999999995</v>
      </c>
      <c r="AV70" s="75">
        <f t="shared" si="16"/>
        <v>291.84000000000003</v>
      </c>
      <c r="AW70" s="69"/>
      <c r="AX70" s="69"/>
      <c r="AY70" s="69"/>
      <c r="AZ70" s="69"/>
      <c r="BA70" s="69"/>
      <c r="BB70" s="69"/>
    </row>
    <row r="71" spans="2:54">
      <c r="B71" s="97" t="s">
        <v>386</v>
      </c>
      <c r="C71" s="64" t="s">
        <v>428</v>
      </c>
      <c r="D71" s="64">
        <v>8</v>
      </c>
      <c r="E71" s="91"/>
      <c r="F71" s="64"/>
      <c r="G71" s="64"/>
      <c r="H71" s="64">
        <v>1</v>
      </c>
      <c r="I71" s="66">
        <v>7</v>
      </c>
      <c r="J71" s="64">
        <v>1</v>
      </c>
      <c r="K71" s="66">
        <v>3</v>
      </c>
      <c r="L71" s="64">
        <v>1</v>
      </c>
      <c r="M71" s="66">
        <v>3</v>
      </c>
      <c r="N71" s="64"/>
      <c r="O71" s="64"/>
      <c r="P71" s="64"/>
      <c r="Q71" s="64"/>
      <c r="R71" s="64"/>
      <c r="S71" s="64"/>
      <c r="T71" s="64"/>
      <c r="U71" s="64"/>
      <c r="V71" s="69">
        <f>IF(J71=1,装备拆分数值生成!$R$46,0)+K71*装备拆分数值生成!$R$10</f>
        <v>343.41666666666669</v>
      </c>
      <c r="W71" s="65">
        <f>IF(H71=1,装备拆分数值生成!$S$40,0)+I71*装备拆分数值生成!$S$4</f>
        <v>119.51111111111112</v>
      </c>
      <c r="X71" s="65">
        <f>IF(H71=1,装备拆分数值生成!$T$40,0)+I71*装备拆分数值生成!$T$4</f>
        <v>239.02222222222224</v>
      </c>
      <c r="Y71" s="65">
        <f>IF(J71=1,装备拆分数值生成!$R$46,0)+K71*装备拆分数值生成!$R$10</f>
        <v>343.41666666666669</v>
      </c>
      <c r="AA71" s="65"/>
      <c r="AB71" s="64"/>
      <c r="AC71" s="64"/>
      <c r="AD71" s="68">
        <f>VLOOKUP(D71,宠物成长生成表!$B$5:$J$103,3,0)*$AL$2</f>
        <v>1357.03</v>
      </c>
      <c r="AE71" s="68">
        <f>VLOOKUP(D71,宠物成长生成表!$B$5:$J$103,4,0)*$AL$3</f>
        <v>424.53000000000003</v>
      </c>
      <c r="AF71" s="68">
        <f>VLOOKUP(D71,宠物成长生成表!$B$5:$J$103,4,0)*$AL$4</f>
        <v>548.54999999999995</v>
      </c>
      <c r="AG71" s="68">
        <f>VLOOKUP(D71,宠物成长生成表!$B$5:$J$103,7,0)*$AL$5</f>
        <v>345.8</v>
      </c>
      <c r="AH71" s="64">
        <f>VLOOKUP(D71,宠物成长生成表!$B$5:$J$103,6,0)+VLOOKUP(E71,宠物升阶生成表!$B$6:$F$21,5,0)</f>
        <v>62</v>
      </c>
      <c r="AI71" s="64"/>
      <c r="AJ71" s="64"/>
      <c r="AK71" s="64"/>
      <c r="AL71" s="64"/>
      <c r="AM71" s="64"/>
      <c r="AN71" s="64"/>
      <c r="AO71" s="64"/>
      <c r="AP71" s="64"/>
      <c r="AQ71" s="64"/>
      <c r="AR71" s="64"/>
      <c r="AS71" s="65">
        <f t="shared" si="13"/>
        <v>1700.4466666666667</v>
      </c>
      <c r="AT71" s="65">
        <f t="shared" si="14"/>
        <v>544.04111111111115</v>
      </c>
      <c r="AU71" s="65">
        <f t="shared" si="15"/>
        <v>787.57222222222219</v>
      </c>
      <c r="AV71" s="67">
        <f t="shared" si="16"/>
        <v>689.2166666666667</v>
      </c>
      <c r="AW71" s="69"/>
      <c r="AX71" s="69"/>
      <c r="AY71" s="69"/>
      <c r="AZ71" s="69"/>
      <c r="BA71" s="69"/>
      <c r="BB71" s="69"/>
    </row>
    <row r="72" spans="2:54">
      <c r="B72" s="98"/>
      <c r="C72" s="68" t="s">
        <v>426</v>
      </c>
      <c r="D72" s="68">
        <v>10</v>
      </c>
      <c r="E72" s="92">
        <v>1</v>
      </c>
      <c r="F72" s="68"/>
      <c r="G72" s="68"/>
      <c r="H72" s="68">
        <v>1</v>
      </c>
      <c r="I72" s="70">
        <v>3</v>
      </c>
      <c r="J72" s="68">
        <v>1</v>
      </c>
      <c r="K72" s="70">
        <v>6</v>
      </c>
      <c r="L72" s="68">
        <v>1</v>
      </c>
      <c r="M72" s="70">
        <v>2</v>
      </c>
      <c r="N72" s="68"/>
      <c r="O72" s="68"/>
      <c r="P72" s="68"/>
      <c r="Q72" s="68"/>
      <c r="R72" s="68"/>
      <c r="S72" s="68"/>
      <c r="T72" s="68"/>
      <c r="U72" s="68"/>
      <c r="V72" s="69">
        <f>IF(J72=1,装备拆分数值生成!$AF$46,0)+K72*装备拆分数值生成!$N$16</f>
        <v>309.55</v>
      </c>
      <c r="W72" s="69">
        <f>IF(H72=1,装备拆分数值生成!$L$40,0)+能力数值!I72*装备拆分数值生成!$L$4</f>
        <v>187.4666666666667</v>
      </c>
      <c r="X72" s="69">
        <f>IF(H72=1,装备拆分数值生成!$M$40,0)+能力数值!I72*装备拆分数值生成!$M$4</f>
        <v>93.733333333333348</v>
      </c>
      <c r="Y72" s="69">
        <f>IF(L72=1,装备拆分数值生成!$N$52,0)+装备拆分数值生成!$N$16*能力数值!M72</f>
        <v>83.266666666666666</v>
      </c>
      <c r="AA72" s="69"/>
      <c r="AB72" s="68"/>
      <c r="AC72" s="68"/>
      <c r="AD72" s="68">
        <f>VLOOKUP(D72,宠物成长生成表!$B$5:$J$103,3,0)*$AO$2</f>
        <v>1443.36</v>
      </c>
      <c r="AE72" s="68">
        <f>VLOOKUP(D72,宠物成长生成表!$B$5:$J$103,4,0)*$AO$3</f>
        <v>583.04999999999995</v>
      </c>
      <c r="AF72" s="68">
        <f>VLOOKUP(D72,宠物成长生成表!$B$5:$J$103,4,0)*$AO$4</f>
        <v>451.23</v>
      </c>
      <c r="AG72" s="68">
        <f>VLOOKUP(D72,宠物成长生成表!$B$5:$J$103,7,0)*$AO$5</f>
        <v>367.84000000000003</v>
      </c>
      <c r="AH72" s="68">
        <f>VLOOKUP(D72,宠物成长生成表!$B$5:$J$103,6,0)+VLOOKUP(E72,宠物升阶生成表!$B$6:$F$21,5,0)</f>
        <v>74</v>
      </c>
      <c r="AI72" s="68"/>
      <c r="AJ72" s="68"/>
      <c r="AK72" s="68"/>
      <c r="AL72" s="68"/>
      <c r="AM72" s="68"/>
      <c r="AN72" s="68"/>
      <c r="AO72" s="68"/>
      <c r="AP72" s="68"/>
      <c r="AQ72" s="68"/>
      <c r="AR72" s="68"/>
      <c r="AS72" s="69">
        <f t="shared" si="13"/>
        <v>1752.9099999999999</v>
      </c>
      <c r="AT72" s="69">
        <f t="shared" si="14"/>
        <v>770.51666666666665</v>
      </c>
      <c r="AU72" s="69">
        <f t="shared" si="15"/>
        <v>544.96333333333337</v>
      </c>
      <c r="AV72" s="71">
        <f t="shared" si="16"/>
        <v>451.10666666666668</v>
      </c>
      <c r="AW72" s="69"/>
      <c r="AX72" s="69"/>
      <c r="AY72" s="69"/>
      <c r="AZ72" s="69"/>
      <c r="BA72" s="69"/>
      <c r="BB72" s="69"/>
    </row>
    <row r="73" spans="2:54">
      <c r="B73" s="98"/>
      <c r="C73" s="68" t="s">
        <v>394</v>
      </c>
      <c r="D73" s="68">
        <v>6</v>
      </c>
      <c r="E73" s="92"/>
      <c r="F73" s="68"/>
      <c r="G73" s="68"/>
      <c r="H73" s="68">
        <v>1</v>
      </c>
      <c r="I73" s="70">
        <v>7</v>
      </c>
      <c r="J73" s="68">
        <v>1</v>
      </c>
      <c r="K73" s="70">
        <v>7</v>
      </c>
      <c r="L73" s="68">
        <v>1</v>
      </c>
      <c r="M73" s="70">
        <v>3</v>
      </c>
      <c r="N73" s="68"/>
      <c r="O73" s="68"/>
      <c r="P73" s="68"/>
      <c r="Q73" s="68"/>
      <c r="R73" s="68"/>
      <c r="S73" s="68"/>
      <c r="T73" s="68"/>
      <c r="U73" s="68"/>
      <c r="V73" s="69">
        <f>IF(J73=1,装备拆分数值生成!$AF$46,0)+装备拆分数值生成!$AF$10*能力数值!K73</f>
        <v>437.63888888888891</v>
      </c>
      <c r="W73" s="69">
        <f>IF(H73=1,装备拆分数值生成!$AG$40,0)+能力数值!I73*装备拆分数值生成!$AG$4</f>
        <v>179.26666666666665</v>
      </c>
      <c r="X73" s="69">
        <f>IF(H73=1,装备拆分数值生成!$AH$40,0)+能力数值!I73*装备拆分数值生成!$AH$4</f>
        <v>179.26666666666665</v>
      </c>
      <c r="Y73" s="69">
        <f>IF(L73=1,装备拆分数值生成!$AI$52,0)+装备拆分数值生成!$AI$16*能力数值!M73</f>
        <v>111.75</v>
      </c>
      <c r="AA73" s="69"/>
      <c r="AB73" s="68"/>
      <c r="AC73" s="68"/>
      <c r="AD73" s="68">
        <f>VLOOKUP(D72,宠物成长生成表!$B$5:$J$103,3,0)*$AN$2</f>
        <v>1785.6</v>
      </c>
      <c r="AE73" s="68">
        <f>VLOOKUP(D72,宠物成长生成表!$B$5:$J$103,4,0)*$AN$3</f>
        <v>456.3</v>
      </c>
      <c r="AF73" s="68">
        <f>VLOOKUP(D72,宠物成长生成表!$B$5:$J$103,4,0)*$AN$4</f>
        <v>456.3</v>
      </c>
      <c r="AG73" s="68">
        <f>VLOOKUP(D72,宠物成长生成表!$B$5:$J$103,7,0)*$AN$5</f>
        <v>425.92</v>
      </c>
      <c r="AH73" s="68">
        <f>VLOOKUP(D73,宠物成长生成表!$B$5:$J$103,6,0)+VLOOKUP(E73,宠物升阶生成表!$B$6:$F$21,5,0)</f>
        <v>60</v>
      </c>
      <c r="AI73" s="68"/>
      <c r="AJ73" s="68"/>
      <c r="AK73" s="68"/>
      <c r="AL73" s="68"/>
      <c r="AM73" s="68"/>
      <c r="AN73" s="68"/>
      <c r="AO73" s="68"/>
      <c r="AP73" s="68"/>
      <c r="AQ73" s="68"/>
      <c r="AR73" s="68"/>
      <c r="AS73" s="69">
        <f t="shared" si="13"/>
        <v>2223.2388888888891</v>
      </c>
      <c r="AT73" s="69">
        <f t="shared" si="14"/>
        <v>635.56666666666661</v>
      </c>
      <c r="AU73" s="69">
        <f t="shared" si="15"/>
        <v>635.56666666666661</v>
      </c>
      <c r="AV73" s="71">
        <f t="shared" si="16"/>
        <v>537.67000000000007</v>
      </c>
      <c r="AW73" s="69"/>
      <c r="AX73" s="69"/>
      <c r="AY73" s="69"/>
      <c r="AZ73" s="69"/>
      <c r="BA73" s="69"/>
      <c r="BB73" s="69"/>
    </row>
    <row r="74" spans="2:54">
      <c r="B74" s="98"/>
      <c r="C74" s="68" t="s">
        <v>427</v>
      </c>
      <c r="D74" s="68">
        <v>5</v>
      </c>
      <c r="E74" s="92"/>
      <c r="F74" s="68"/>
      <c r="G74" s="68"/>
      <c r="H74" s="68"/>
      <c r="I74" s="68"/>
      <c r="J74" s="68">
        <v>1</v>
      </c>
      <c r="K74" s="68">
        <v>5</v>
      </c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9">
        <f>IF(能力数值!J74=1,装备拆分数值生成!$Y$10,0)+能力数值!K74*装备拆分数值生成!$Y$10</f>
        <v>226.13333333333335</v>
      </c>
      <c r="W74" s="69">
        <f>IF(H74=0,0,装备拆分数值生成!$Z$40)+装备拆分数值生成!$Z$4*能力数值!I74</f>
        <v>0</v>
      </c>
      <c r="X74" s="69">
        <f>IF(H74=0,0,装备拆分数值生成!$AA$40)+装备拆分数值生成!$AA$4*能力数值!I74</f>
        <v>0</v>
      </c>
      <c r="Y74" s="69">
        <f>IF(L74=0,0,装备拆分数值生成!$AB$52)+装备拆分数值生成!$AB$16*能力数值!M74</f>
        <v>0</v>
      </c>
      <c r="AA74" s="69"/>
      <c r="AB74" s="68"/>
      <c r="AC74" s="68"/>
      <c r="AD74" s="68">
        <f>VLOOKUP(D74,宠物成长生成表!$B$5:$J$103,3,0)*$AM$2</f>
        <v>1647.1000000000001</v>
      </c>
      <c r="AE74" s="68">
        <f>VLOOKUP(D74,宠物成长生成表!$B$5:$J$103,4,0)*$AM$3</f>
        <v>345.6</v>
      </c>
      <c r="AF74" s="68">
        <f>VLOOKUP(D74,宠物成长生成表!$B$5:$J$103,4,0)*$AM$4</f>
        <v>345.6</v>
      </c>
      <c r="AG74" s="68">
        <f>VLOOKUP(D74,宠物成长生成表!$B$5:$J$103,7,0)*$AM$5</f>
        <v>543.84</v>
      </c>
      <c r="AH74" s="68">
        <f>VLOOKUP(D74,宠物成长生成表!$B$5:$J$103,6,0)+VLOOKUP(E74,宠物升阶生成表!$B$6:$F$21,5,0)</f>
        <v>59</v>
      </c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9">
        <f t="shared" si="13"/>
        <v>1873.2333333333336</v>
      </c>
      <c r="AT74" s="69">
        <f t="shared" si="14"/>
        <v>345.6</v>
      </c>
      <c r="AU74" s="69">
        <f t="shared" si="15"/>
        <v>345.6</v>
      </c>
      <c r="AV74" s="71">
        <f t="shared" si="16"/>
        <v>543.84</v>
      </c>
      <c r="AW74" s="69"/>
      <c r="AX74" s="69"/>
      <c r="AY74" s="69"/>
      <c r="AZ74" s="69"/>
      <c r="BA74" s="69"/>
      <c r="BB74" s="69"/>
    </row>
    <row r="75" spans="2:54" ht="17.25" thickBot="1">
      <c r="B75" s="99"/>
      <c r="C75" s="72" t="s">
        <v>430</v>
      </c>
      <c r="D75" s="72">
        <v>4</v>
      </c>
      <c r="E75" s="93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3"/>
      <c r="W75" s="73"/>
      <c r="X75" s="73"/>
      <c r="Y75" s="73"/>
      <c r="Z75" s="72"/>
      <c r="AA75" s="73"/>
      <c r="AB75" s="72"/>
      <c r="AC75" s="72"/>
      <c r="AD75" s="72">
        <f>VLOOKUP(D75,宠物成长生成表!$B$5:$J$103,3,0)*$AL$2</f>
        <v>1186.31</v>
      </c>
      <c r="AE75" s="72">
        <f>VLOOKUP(D75,宠物成长生成表!$B$5:$J$103,4,0)*$AL$3</f>
        <v>371.13</v>
      </c>
      <c r="AF75" s="72">
        <f>VLOOKUP(D75,宠物成长生成表!$B$5:$J$103,4,0)*$AL$4</f>
        <v>479.54999999999995</v>
      </c>
      <c r="AG75" s="72">
        <f>VLOOKUP(D75,宠物成长生成表!$B$5:$J$103,7,0)*$AL$5</f>
        <v>302.48</v>
      </c>
      <c r="AH75" s="68">
        <f>VLOOKUP(D75,宠物成长生成表!$B$5:$J$103,6,0)+VLOOKUP(E75,宠物升阶生成表!$B$6:$F$21,5,0)</f>
        <v>58</v>
      </c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3">
        <f t="shared" si="13"/>
        <v>1186.31</v>
      </c>
      <c r="AT75" s="73">
        <f t="shared" si="14"/>
        <v>371.13</v>
      </c>
      <c r="AU75" s="73">
        <f t="shared" si="15"/>
        <v>479.54999999999995</v>
      </c>
      <c r="AV75" s="75">
        <f t="shared" si="16"/>
        <v>302.48</v>
      </c>
      <c r="AW75" s="69"/>
      <c r="AX75" s="69"/>
      <c r="AY75" s="69"/>
      <c r="AZ75" s="69"/>
      <c r="BA75" s="69"/>
      <c r="BB75" s="69"/>
    </row>
    <row r="76" spans="2:54">
      <c r="B76" s="97" t="s">
        <v>387</v>
      </c>
      <c r="C76" s="64" t="s">
        <v>428</v>
      </c>
      <c r="D76" s="64">
        <v>9</v>
      </c>
      <c r="E76" s="91"/>
      <c r="F76" s="64"/>
      <c r="G76" s="64"/>
      <c r="H76" s="64">
        <v>1</v>
      </c>
      <c r="I76" s="66">
        <v>7</v>
      </c>
      <c r="J76" s="64">
        <v>1</v>
      </c>
      <c r="K76" s="66">
        <v>3</v>
      </c>
      <c r="L76" s="64">
        <v>1</v>
      </c>
      <c r="M76" s="66">
        <v>3</v>
      </c>
      <c r="N76" s="64"/>
      <c r="O76" s="64"/>
      <c r="P76" s="64"/>
      <c r="Q76" s="64"/>
      <c r="R76" s="64"/>
      <c r="S76" s="64"/>
      <c r="T76" s="64"/>
      <c r="U76" s="64"/>
      <c r="V76" s="69">
        <f>IF(J76=1,装备拆分数值生成!$R$46,0)+K76*装备拆分数值生成!$R$10</f>
        <v>343.41666666666669</v>
      </c>
      <c r="W76" s="65">
        <f>IF(H76=1,装备拆分数值生成!$S$40,0)+I76*装备拆分数值生成!$S$4</f>
        <v>119.51111111111112</v>
      </c>
      <c r="X76" s="65">
        <f>IF(H76=1,装备拆分数值生成!$T$40,0)+I76*装备拆分数值生成!$T$4</f>
        <v>239.02222222222224</v>
      </c>
      <c r="Y76" s="65">
        <f>IF(J76=1,装备拆分数值生成!$R$46,0)+K76*装备拆分数值生成!$R$10</f>
        <v>343.41666666666669</v>
      </c>
      <c r="AA76" s="65"/>
      <c r="AB76" s="64"/>
      <c r="AC76" s="64"/>
      <c r="AD76" s="68">
        <f>VLOOKUP(D76,宠物成长生成表!$B$5:$J$103,3,0)*$AL$2</f>
        <v>1399.71</v>
      </c>
      <c r="AE76" s="68">
        <f>VLOOKUP(D76,宠物成长生成表!$B$5:$J$103,4,0)*$AL$3</f>
        <v>437.88</v>
      </c>
      <c r="AF76" s="68">
        <f>VLOOKUP(D76,宠物成长生成表!$B$5:$J$103,4,0)*$AL$4</f>
        <v>565.79999999999995</v>
      </c>
      <c r="AG76" s="68">
        <f>VLOOKUP(D76,宠物成长生成表!$B$5:$J$103,7,0)*$AL$5</f>
        <v>357.2</v>
      </c>
      <c r="AH76" s="64">
        <f>VLOOKUP(D76,宠物成长生成表!$B$5:$J$103,6,0)+VLOOKUP(E76,宠物升阶生成表!$B$6:$F$21,5,0)</f>
        <v>63</v>
      </c>
      <c r="AI76" s="64"/>
      <c r="AJ76" s="64"/>
      <c r="AK76" s="64"/>
      <c r="AL76" s="64"/>
      <c r="AM76" s="64"/>
      <c r="AN76" s="64"/>
      <c r="AO76" s="64"/>
      <c r="AP76" s="64"/>
      <c r="AQ76" s="64"/>
      <c r="AR76" s="64"/>
      <c r="AS76" s="65">
        <f t="shared" si="13"/>
        <v>1743.1266666666668</v>
      </c>
      <c r="AT76" s="65">
        <f t="shared" si="14"/>
        <v>557.39111111111106</v>
      </c>
      <c r="AU76" s="65">
        <f t="shared" si="15"/>
        <v>804.82222222222219</v>
      </c>
      <c r="AV76" s="67">
        <f t="shared" si="16"/>
        <v>700.61666666666667</v>
      </c>
      <c r="AW76" s="69"/>
      <c r="AX76" s="69"/>
      <c r="AY76" s="69"/>
      <c r="AZ76" s="69"/>
      <c r="BA76" s="69"/>
      <c r="BB76" s="69"/>
    </row>
    <row r="77" spans="2:54">
      <c r="B77" s="98"/>
      <c r="C77" s="68" t="s">
        <v>426</v>
      </c>
      <c r="D77" s="68">
        <v>12</v>
      </c>
      <c r="E77" s="92">
        <v>1</v>
      </c>
      <c r="F77" s="68"/>
      <c r="G77" s="68"/>
      <c r="H77" s="68">
        <v>1</v>
      </c>
      <c r="I77" s="70">
        <v>7</v>
      </c>
      <c r="J77" s="68">
        <v>1</v>
      </c>
      <c r="K77" s="70">
        <v>6</v>
      </c>
      <c r="L77" s="68">
        <v>1</v>
      </c>
      <c r="M77" s="70">
        <v>3</v>
      </c>
      <c r="N77" s="68"/>
      <c r="O77" s="68"/>
      <c r="P77" s="68"/>
      <c r="Q77" s="68"/>
      <c r="R77" s="68"/>
      <c r="S77" s="68"/>
      <c r="T77" s="68"/>
      <c r="U77" s="68"/>
      <c r="V77" s="69">
        <f>IF(J77=1,装备拆分数值生成!$AF$46,0)+K77*装备拆分数值生成!$N$16</f>
        <v>309.55</v>
      </c>
      <c r="W77" s="69">
        <f>IF(H77=1,装备拆分数值生成!$L$40,0)+能力数值!I77*装备拆分数值生成!$L$4</f>
        <v>239.02222222222224</v>
      </c>
      <c r="X77" s="69">
        <f>IF(H77=1,装备拆分数值生成!$M$40,0)+能力数值!I77*装备拆分数值生成!$M$4</f>
        <v>119.51111111111112</v>
      </c>
      <c r="Y77" s="69">
        <f>IF(L77=1,装备拆分数值生成!$N$52,0)+装备拆分数值生成!$N$16*能力数值!M77</f>
        <v>89.4</v>
      </c>
      <c r="AA77" s="69"/>
      <c r="AB77" s="68"/>
      <c r="AC77" s="68"/>
      <c r="AD77" s="68">
        <f>VLOOKUP(D77,宠物成长生成表!$B$5:$J$103,3,0)*$AO$2</f>
        <v>1528.72</v>
      </c>
      <c r="AE77" s="68">
        <f>VLOOKUP(D77,宠物成长生成表!$B$5:$J$103,4,0)*$AO$3</f>
        <v>618.69999999999993</v>
      </c>
      <c r="AF77" s="68">
        <f>VLOOKUP(D77,宠物成长生成表!$B$5:$J$103,4,0)*$AO$4</f>
        <v>478.82</v>
      </c>
      <c r="AG77" s="68">
        <f>VLOOKUP(D77,宠物成长生成表!$B$5:$J$103,7,0)*$AO$5</f>
        <v>389.88</v>
      </c>
      <c r="AH77" s="68">
        <f>VLOOKUP(D77,宠物成长生成表!$B$5:$J$103,6,0)+VLOOKUP(E77,宠物升阶生成表!$B$6:$F$21,5,0)</f>
        <v>77</v>
      </c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9">
        <f t="shared" si="13"/>
        <v>1838.27</v>
      </c>
      <c r="AT77" s="69">
        <f t="shared" si="14"/>
        <v>857.72222222222217</v>
      </c>
      <c r="AU77" s="69">
        <f t="shared" si="15"/>
        <v>598.33111111111111</v>
      </c>
      <c r="AV77" s="71">
        <f t="shared" si="16"/>
        <v>479.28</v>
      </c>
      <c r="AW77" s="69"/>
      <c r="AX77" s="69"/>
      <c r="AY77" s="69"/>
      <c r="AZ77" s="69"/>
      <c r="BA77" s="69"/>
      <c r="BB77" s="69"/>
    </row>
    <row r="78" spans="2:54">
      <c r="B78" s="98"/>
      <c r="C78" s="68" t="s">
        <v>394</v>
      </c>
      <c r="D78" s="68">
        <v>11</v>
      </c>
      <c r="E78" s="92"/>
      <c r="F78" s="68"/>
      <c r="G78" s="68"/>
      <c r="H78" s="68">
        <v>1</v>
      </c>
      <c r="I78" s="70">
        <v>7</v>
      </c>
      <c r="J78" s="68">
        <v>1</v>
      </c>
      <c r="K78" s="70">
        <v>7</v>
      </c>
      <c r="L78" s="68">
        <v>1</v>
      </c>
      <c r="M78" s="70">
        <v>3</v>
      </c>
      <c r="N78" s="68"/>
      <c r="O78" s="68"/>
      <c r="P78" s="68"/>
      <c r="Q78" s="68"/>
      <c r="R78" s="68"/>
      <c r="S78" s="68"/>
      <c r="T78" s="68"/>
      <c r="U78" s="68"/>
      <c r="V78" s="69">
        <f>IF(J78=1,装备拆分数值生成!$AF$46,0)+装备拆分数值生成!$AF$10*能力数值!K78</f>
        <v>437.63888888888891</v>
      </c>
      <c r="W78" s="69">
        <f>IF(H78=1,装备拆分数值生成!$AG$40,0)+能力数值!I78*装备拆分数值生成!$AG$4</f>
        <v>179.26666666666665</v>
      </c>
      <c r="X78" s="69">
        <f>IF(H78=1,装备拆分数值生成!$AH$40,0)+能力数值!I78*装备拆分数值生成!$AH$4</f>
        <v>179.26666666666665</v>
      </c>
      <c r="Y78" s="69">
        <f>IF(L78=1,装备拆分数值生成!$AI$52,0)+装备拆分数值生成!$AI$16*能力数值!M78</f>
        <v>111.75</v>
      </c>
      <c r="AA78" s="69"/>
      <c r="AB78" s="68"/>
      <c r="AC78" s="68"/>
      <c r="AD78" s="68">
        <f>VLOOKUP(D77,宠物成长生成表!$B$5:$J$103,3,0)*$AN$2</f>
        <v>1891.1999999999998</v>
      </c>
      <c r="AE78" s="68">
        <f>VLOOKUP(D77,宠物成长生成表!$B$5:$J$103,4,0)*$AN$3</f>
        <v>484.2</v>
      </c>
      <c r="AF78" s="68">
        <f>VLOOKUP(D77,宠物成长生成表!$B$5:$J$103,4,0)*$AN$4</f>
        <v>484.2</v>
      </c>
      <c r="AG78" s="68">
        <f>VLOOKUP(D77,宠物成长生成表!$B$5:$J$103,7,0)*$AN$5</f>
        <v>451.44</v>
      </c>
      <c r="AH78" s="68">
        <f>VLOOKUP(D78,宠物成长生成表!$B$5:$J$103,6,0)+VLOOKUP(E78,宠物升阶生成表!$B$6:$F$21,5,0)</f>
        <v>66</v>
      </c>
      <c r="AI78" s="68"/>
      <c r="AJ78" s="68"/>
      <c r="AK78" s="68"/>
      <c r="AL78" s="68"/>
      <c r="AM78" s="68"/>
      <c r="AN78" s="68"/>
      <c r="AO78" s="68"/>
      <c r="AP78" s="68"/>
      <c r="AQ78" s="68"/>
      <c r="AR78" s="68"/>
      <c r="AS78" s="69">
        <f t="shared" si="13"/>
        <v>2328.8388888888885</v>
      </c>
      <c r="AT78" s="69">
        <f t="shared" si="14"/>
        <v>663.4666666666667</v>
      </c>
      <c r="AU78" s="69">
        <f t="shared" si="15"/>
        <v>663.4666666666667</v>
      </c>
      <c r="AV78" s="71">
        <f t="shared" si="16"/>
        <v>563.19000000000005</v>
      </c>
      <c r="AW78" s="69"/>
      <c r="AX78" s="69"/>
      <c r="AY78" s="69"/>
      <c r="AZ78" s="69"/>
      <c r="BA78" s="69"/>
      <c r="BB78" s="69"/>
    </row>
    <row r="79" spans="2:54">
      <c r="B79" s="98"/>
      <c r="C79" s="68" t="s">
        <v>427</v>
      </c>
      <c r="D79" s="68">
        <v>8</v>
      </c>
      <c r="E79" s="92"/>
      <c r="F79" s="68"/>
      <c r="G79" s="68"/>
      <c r="H79" s="76">
        <v>1</v>
      </c>
      <c r="I79" s="77">
        <v>0</v>
      </c>
      <c r="J79" s="76">
        <v>1</v>
      </c>
      <c r="K79" s="77">
        <v>6</v>
      </c>
      <c r="L79" s="76">
        <v>1</v>
      </c>
      <c r="M79" s="77">
        <v>0</v>
      </c>
      <c r="N79" s="68"/>
      <c r="O79" s="68"/>
      <c r="P79" s="68"/>
      <c r="Q79" s="68"/>
      <c r="R79" s="68"/>
      <c r="S79" s="68"/>
      <c r="T79" s="68"/>
      <c r="U79" s="68"/>
      <c r="V79" s="69">
        <f>IF(能力数值!J79=1,装备拆分数值生成!$Y$10,0)+能力数值!K79*装备拆分数值生成!$Y$10</f>
        <v>263.82222222222219</v>
      </c>
      <c r="W79" s="69">
        <f>IF(H79=0,0,装备拆分数值生成!$Z$40)+装备拆分数值生成!$Z$4*能力数值!I79</f>
        <v>102.30000000000001</v>
      </c>
      <c r="X79" s="69">
        <f>IF(H79=0,0,装备拆分数值生成!$AA$40)+装备拆分数值生成!$AA$4*能力数值!I79</f>
        <v>102.30000000000001</v>
      </c>
      <c r="Y79" s="69">
        <f>IF(L79=0,0,装备拆分数值生成!$AB$52)+装备拆分数值生成!$AB$16*能力数值!M79</f>
        <v>106.5</v>
      </c>
      <c r="AA79" s="69"/>
      <c r="AB79" s="68"/>
      <c r="AC79" s="68"/>
      <c r="AD79" s="68">
        <f>VLOOKUP(D79,宠物成长生成表!$B$5:$J$103,3,0)*$AM$2</f>
        <v>1818.7</v>
      </c>
      <c r="AE79" s="68">
        <f>VLOOKUP(D79,宠物成长生成表!$B$5:$J$103,4,0)*$AM$3</f>
        <v>381.6</v>
      </c>
      <c r="AF79" s="68">
        <f>VLOOKUP(D79,宠物成长生成表!$B$5:$J$103,4,0)*$AM$4</f>
        <v>381.6</v>
      </c>
      <c r="AG79" s="68">
        <f>VLOOKUP(D79,宠物成长生成表!$B$5:$J$103,7,0)*$AM$5</f>
        <v>600.6</v>
      </c>
      <c r="AH79" s="68">
        <f>VLOOKUP(D79,宠物成长生成表!$B$5:$J$103,6,0)+VLOOKUP(E79,宠物升阶生成表!$B$6:$F$21,5,0)</f>
        <v>62</v>
      </c>
      <c r="AI79" s="68"/>
      <c r="AJ79" s="68"/>
      <c r="AK79" s="68"/>
      <c r="AL79" s="68"/>
      <c r="AM79" s="68"/>
      <c r="AN79" s="68"/>
      <c r="AO79" s="68"/>
      <c r="AP79" s="68"/>
      <c r="AQ79" s="68"/>
      <c r="AR79" s="68"/>
      <c r="AS79" s="69">
        <f t="shared" si="13"/>
        <v>2082.5222222222224</v>
      </c>
      <c r="AT79" s="69">
        <f t="shared" si="14"/>
        <v>483.90000000000003</v>
      </c>
      <c r="AU79" s="69">
        <f t="shared" si="15"/>
        <v>483.90000000000003</v>
      </c>
      <c r="AV79" s="71">
        <f t="shared" si="16"/>
        <v>707.1</v>
      </c>
      <c r="AW79" s="69"/>
      <c r="AX79" s="69"/>
      <c r="AY79" s="69"/>
      <c r="AZ79" s="69"/>
      <c r="BA79" s="69"/>
      <c r="BB79" s="69"/>
    </row>
    <row r="80" spans="2:54" ht="17.25" thickBot="1">
      <c r="B80" s="99"/>
      <c r="C80" s="72" t="s">
        <v>430</v>
      </c>
      <c r="D80" s="72">
        <v>5</v>
      </c>
      <c r="E80" s="93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3"/>
      <c r="X80" s="73"/>
      <c r="Y80" s="73"/>
      <c r="Z80" s="73"/>
      <c r="AA80" s="73"/>
      <c r="AB80" s="72"/>
      <c r="AC80" s="72"/>
      <c r="AD80" s="72">
        <f>VLOOKUP(D80,宠物成长生成表!$B$5:$J$103,3,0)*$AL$2</f>
        <v>1228.99</v>
      </c>
      <c r="AE80" s="72">
        <f>VLOOKUP(D80,宠物成长生成表!$B$5:$J$103,4,0)*$AL$3</f>
        <v>384.48</v>
      </c>
      <c r="AF80" s="72">
        <f>VLOOKUP(D80,宠物成长生成表!$B$5:$J$103,4,0)*$AL$4</f>
        <v>496.79999999999995</v>
      </c>
      <c r="AG80" s="72">
        <f>VLOOKUP(D80,宠物成长生成表!$B$5:$J$103,7,0)*$AL$5</f>
        <v>313.12</v>
      </c>
      <c r="AH80" s="68">
        <f>VLOOKUP(D80,宠物成长生成表!$B$5:$J$103,6,0)+VLOOKUP(E80,宠物升阶生成表!$B$6:$F$21,5,0)</f>
        <v>59</v>
      </c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8"/>
      <c r="AW80" s="68"/>
      <c r="AX80" s="68"/>
      <c r="AY80" s="68"/>
      <c r="AZ80" s="68"/>
      <c r="BA80" s="68"/>
      <c r="BB80" s="68"/>
    </row>
    <row r="81" spans="1:54">
      <c r="A81" s="61" t="s">
        <v>493</v>
      </c>
      <c r="B81" s="97" t="s">
        <v>436</v>
      </c>
      <c r="C81" s="64" t="s">
        <v>428</v>
      </c>
      <c r="D81" s="64">
        <v>9</v>
      </c>
      <c r="E81" s="91">
        <v>1</v>
      </c>
      <c r="F81" s="64"/>
      <c r="G81" s="64"/>
      <c r="H81" s="64">
        <v>1</v>
      </c>
      <c r="I81" s="66">
        <v>7</v>
      </c>
      <c r="J81" s="64">
        <v>1</v>
      </c>
      <c r="K81" s="66">
        <v>3</v>
      </c>
      <c r="L81" s="64">
        <v>1</v>
      </c>
      <c r="M81" s="66">
        <v>3</v>
      </c>
      <c r="N81" s="64"/>
      <c r="O81" s="64"/>
      <c r="P81" s="64"/>
      <c r="Q81" s="64"/>
      <c r="R81" s="64"/>
      <c r="S81" s="64"/>
      <c r="T81" s="64"/>
      <c r="U81" s="64"/>
      <c r="V81" s="69">
        <f>IF(J81=0,0,装备拆分数值生成!$R$46)+K81*装备拆分数值生成!$R$10+IF(能力数值!P81=0,0,装备拆分数值生成!R64)+Q81*装备拆分数值生成!$R$28+IF(能力数值!R81=0,0,装备拆分数值生成!R70)+S81*装备拆分数值生成!$R$34</f>
        <v>343.41666666666669</v>
      </c>
      <c r="W81" s="65">
        <f>IF(H81=0,0,装备拆分数值生成!$S$40)+I81*装备拆分数值生成!$S$4+IF(P81=0,0,装备拆分数值生成!$S$64)+能力数值!Q81*装备拆分数值生成!$S$28</f>
        <v>119.51111111111112</v>
      </c>
      <c r="X81" s="65">
        <f>IF(H81=0,0,装备拆分数值生成!$T$40)+I81*装备拆分数值生成!$T$4+IF(能力数值!N81=0,0,能力数值!$T$38)+能力数值!O81*装备拆分数值生成!$T$22+IF(R81=0,0,装备拆分数值生成!$T$70)+能力数值!S81*装备拆分数值生成!$T$34</f>
        <v>239.02222222222224</v>
      </c>
      <c r="Y81" s="65">
        <f>IF(J81=1,装备拆分数值生成!$R$46,0)+K81*装备拆分数值生成!$R$10</f>
        <v>343.41666666666669</v>
      </c>
      <c r="AA81" s="65"/>
      <c r="AB81" s="64"/>
      <c r="AC81" s="64"/>
      <c r="AD81" s="68">
        <f>VLOOKUP(D81,宠物成长生成表!$B$5:$J$103,3,0)*$AL$2*(VLOOKUP(E81,$AP$1:$AQ$6,2,0))</f>
        <v>1469.6955</v>
      </c>
      <c r="AE81" s="68">
        <f>VLOOKUP(D81,宠物成长生成表!$B$5:$J$103,4,0)*$AL$3*(VLOOKUP(E81,$AP$1:$AQ$6,2,0))</f>
        <v>459.774</v>
      </c>
      <c r="AF81" s="68">
        <f>VLOOKUP(D81,宠物成长生成表!$B$5:$J$103,4,0)*$AL$4*(VLOOKUP(E81,$AP$1:$AQ$6,2,0))</f>
        <v>594.09</v>
      </c>
      <c r="AG81" s="68">
        <f>VLOOKUP(D81,宠物成长生成表!$B$5:$J$103,7,0)*$AL$5*(VLOOKUP(E81,$AP$1:$AQ$6,2,0))</f>
        <v>375.06</v>
      </c>
      <c r="AH81" s="64">
        <f>VLOOKUP(D81,宠物成长生成表!$B$5:$J$103,6,0)+VLOOKUP(E81,宠物升阶生成表!$B$6:$F$21,5,0)</f>
        <v>73</v>
      </c>
      <c r="AI81" s="64"/>
      <c r="AJ81" s="64"/>
      <c r="AK81" s="64"/>
      <c r="AL81" s="64"/>
      <c r="AM81" s="64"/>
      <c r="AN81" s="64"/>
      <c r="AO81" s="64"/>
      <c r="AP81" s="64"/>
      <c r="AQ81" s="64"/>
      <c r="AR81" s="64"/>
      <c r="AS81" s="65">
        <f t="shared" ref="AS81:AS84" si="17">V81+AD81</f>
        <v>1813.1121666666668</v>
      </c>
      <c r="AT81" s="65">
        <f t="shared" ref="AT81:AT84" si="18">W81+AE81</f>
        <v>579.28511111111106</v>
      </c>
      <c r="AU81" s="65">
        <f t="shared" ref="AU81:AU84" si="19">X81+AF81</f>
        <v>833.11222222222227</v>
      </c>
      <c r="AV81" s="67">
        <f t="shared" ref="AV81:AV84" si="20">Y81+AG81</f>
        <v>718.47666666666669</v>
      </c>
      <c r="AW81" s="69"/>
      <c r="AX81" s="69"/>
      <c r="AY81" s="69"/>
      <c r="AZ81" s="69"/>
      <c r="BA81" s="69"/>
      <c r="BB81" s="69"/>
    </row>
    <row r="82" spans="1:54">
      <c r="B82" s="98"/>
      <c r="C82" s="68" t="s">
        <v>426</v>
      </c>
      <c r="D82" s="68">
        <v>12</v>
      </c>
      <c r="E82" s="92">
        <v>0</v>
      </c>
      <c r="F82" s="68"/>
      <c r="G82" s="68"/>
      <c r="H82" s="68">
        <v>1</v>
      </c>
      <c r="I82" s="70">
        <v>7</v>
      </c>
      <c r="J82" s="68">
        <v>1</v>
      </c>
      <c r="K82" s="70">
        <v>6</v>
      </c>
      <c r="L82" s="68">
        <v>1</v>
      </c>
      <c r="M82" s="70">
        <v>3</v>
      </c>
      <c r="N82" s="68"/>
      <c r="O82" s="68"/>
      <c r="P82" s="68"/>
      <c r="Q82" s="68"/>
      <c r="R82" s="68"/>
      <c r="S82" s="68"/>
      <c r="T82" s="68"/>
      <c r="U82" s="68"/>
      <c r="V82" s="69">
        <f>IF(J82=0,0,装备拆分数值生成!$AF$46)+K82*装备拆分数值生成!$N$16</f>
        <v>309.55</v>
      </c>
      <c r="W82" s="69">
        <f>IF(H82=1,装备拆分数值生成!$L$40,0)+能力数值!I82*装备拆分数值生成!$L$4</f>
        <v>239.02222222222224</v>
      </c>
      <c r="X82" s="69">
        <f>IF(H82=1,装备拆分数值生成!$M$40,0)+能力数值!I82*装备拆分数值生成!$M$4</f>
        <v>119.51111111111112</v>
      </c>
      <c r="Y82" s="69">
        <f>IF(L82=1,装备拆分数值生成!$N$52,0)+装备拆分数值生成!$N$16*能力数值!M82</f>
        <v>89.4</v>
      </c>
      <c r="AA82" s="69"/>
      <c r="AB82" s="68"/>
      <c r="AC82" s="68"/>
      <c r="AD82" s="68">
        <f>VLOOKUP(D82,宠物成长生成表!$B$5:$J$103,3,0)*$AO$2*(VLOOKUP(E82,$AP$1:$AQ$6,2,0))</f>
        <v>1528.72</v>
      </c>
      <c r="AE82" s="68">
        <f>VLOOKUP(D82,宠物成长生成表!$B$5:$J$103,4,0)*(VLOOKUP(E82,$AP$1:$AQ$6,2,0))</f>
        <v>538</v>
      </c>
      <c r="AF82" s="68">
        <f>VLOOKUP(D82,宠物成长生成表!$B$5:$J$103,4,0)*$AO$4*(VLOOKUP(E82,$AP$1:$AQ$6,2,0))</f>
        <v>478.82</v>
      </c>
      <c r="AG82" s="68">
        <f>VLOOKUP(D82,宠物成长生成表!$B$5:$J$103,7,0)*$AO$5*(VLOOKUP(E82,$AP$1:$AQ$6,2,0))</f>
        <v>389.88</v>
      </c>
      <c r="AH82" s="68">
        <f>VLOOKUP(D82,宠物成长生成表!$B$5:$J$103,6,0)+VLOOKUP(E82,宠物升阶生成表!$B$6:$F$21,5,0)</f>
        <v>67</v>
      </c>
      <c r="AI82" s="68"/>
      <c r="AJ82" s="68"/>
      <c r="AK82" s="68"/>
      <c r="AL82" s="68"/>
      <c r="AM82" s="68"/>
      <c r="AN82" s="68"/>
      <c r="AO82" s="68"/>
      <c r="AP82" s="68"/>
      <c r="AQ82" s="68"/>
      <c r="AR82" s="68"/>
      <c r="AS82" s="69">
        <f t="shared" si="17"/>
        <v>1838.27</v>
      </c>
      <c r="AT82" s="69">
        <f t="shared" si="18"/>
        <v>777.02222222222224</v>
      </c>
      <c r="AU82" s="69">
        <f t="shared" si="19"/>
        <v>598.33111111111111</v>
      </c>
      <c r="AV82" s="71">
        <f t="shared" si="20"/>
        <v>479.28</v>
      </c>
      <c r="AW82" s="69"/>
      <c r="AX82" s="69"/>
      <c r="AY82" s="69"/>
      <c r="AZ82" s="69"/>
      <c r="BA82" s="69"/>
      <c r="BB82" s="69"/>
    </row>
    <row r="83" spans="1:54">
      <c r="B83" s="98"/>
      <c r="C83" s="68" t="s">
        <v>394</v>
      </c>
      <c r="D83" s="68">
        <v>11</v>
      </c>
      <c r="E83" s="92"/>
      <c r="F83" s="68"/>
      <c r="G83" s="68"/>
      <c r="H83" s="68">
        <v>1</v>
      </c>
      <c r="I83" s="70">
        <v>7</v>
      </c>
      <c r="J83" s="68">
        <v>1</v>
      </c>
      <c r="K83" s="70">
        <v>7</v>
      </c>
      <c r="L83" s="68">
        <v>1</v>
      </c>
      <c r="M83" s="70">
        <v>3</v>
      </c>
      <c r="N83" s="68"/>
      <c r="O83" s="68"/>
      <c r="P83" s="68"/>
      <c r="Q83" s="68"/>
      <c r="R83" s="68"/>
      <c r="S83" s="68"/>
      <c r="T83" s="68"/>
      <c r="U83" s="68"/>
      <c r="V83" s="69">
        <f>IF(J83=1,装备拆分数值生成!$AF$46,0)+装备拆分数值生成!$AF$10*能力数值!K83</f>
        <v>437.63888888888891</v>
      </c>
      <c r="W83" s="69">
        <f>IF(H83=1,装备拆分数值生成!$AG$40,0)+能力数值!I83*装备拆分数值生成!$AG$4</f>
        <v>179.26666666666665</v>
      </c>
      <c r="X83" s="69">
        <f>IF(H83=1,装备拆分数值生成!$AH$40,0)+能力数值!I83*装备拆分数值生成!$AH$4</f>
        <v>179.26666666666665</v>
      </c>
      <c r="Y83" s="69">
        <f>IF(L83=1,装备拆分数值生成!$AI$52,0)+装备拆分数值生成!$AI$16*能力数值!M83</f>
        <v>111.75</v>
      </c>
      <c r="AA83" s="69"/>
      <c r="AB83" s="68"/>
      <c r="AC83" s="68"/>
      <c r="AD83" s="68">
        <f>VLOOKUP(D82,宠物成长生成表!$B$5:$J$103,3,0)*$AN$2*(VLOOKUP(E83,$AP$1:$AQ$6,2,0))</f>
        <v>1891.1999999999998</v>
      </c>
      <c r="AE83" s="68">
        <f>VLOOKUP(D82,宠物成长生成表!$B$5:$J$103,4,0)*$AN$3*(VLOOKUP(E83,$AP$1:$AQ$6,2,0))</f>
        <v>484.2</v>
      </c>
      <c r="AF83" s="68">
        <f>VLOOKUP(D82,宠物成长生成表!$B$5:$J$103,4,0)*$AN$4*(VLOOKUP(E83,$AP$1:$AQ$6,2,0))</f>
        <v>484.2</v>
      </c>
      <c r="AG83" s="68">
        <f>VLOOKUP(D82,宠物成长生成表!$B$5:$J$103,7,0)*$AN$5*(VLOOKUP(E83,$AP$1:$AQ$6,2,0))</f>
        <v>451.44</v>
      </c>
      <c r="AH83" s="68">
        <f>VLOOKUP(D83,宠物成长生成表!$B$5:$J$103,6,0)+VLOOKUP(E83,宠物升阶生成表!$B$6:$F$21,5,0)</f>
        <v>66</v>
      </c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9">
        <f t="shared" si="17"/>
        <v>2328.8388888888885</v>
      </c>
      <c r="AT83" s="69">
        <f t="shared" si="18"/>
        <v>663.4666666666667</v>
      </c>
      <c r="AU83" s="69">
        <f t="shared" si="19"/>
        <v>663.4666666666667</v>
      </c>
      <c r="AV83" s="71">
        <f t="shared" si="20"/>
        <v>563.19000000000005</v>
      </c>
      <c r="AW83" s="69"/>
      <c r="AX83" s="69"/>
      <c r="AY83" s="69"/>
      <c r="AZ83" s="69"/>
      <c r="BA83" s="69"/>
      <c r="BB83" s="69"/>
    </row>
    <row r="84" spans="1:54">
      <c r="B84" s="98"/>
      <c r="C84" s="68" t="s">
        <v>427</v>
      </c>
      <c r="D84" s="68">
        <v>8</v>
      </c>
      <c r="E84" s="92"/>
      <c r="F84" s="68"/>
      <c r="G84" s="68"/>
      <c r="H84" s="76">
        <v>1</v>
      </c>
      <c r="I84" s="77">
        <v>4</v>
      </c>
      <c r="J84" s="76">
        <v>1</v>
      </c>
      <c r="K84" s="77">
        <v>6</v>
      </c>
      <c r="L84" s="76">
        <v>1</v>
      </c>
      <c r="M84" s="77">
        <v>0</v>
      </c>
      <c r="N84" s="68"/>
      <c r="O84" s="68"/>
      <c r="P84" s="68"/>
      <c r="Q84" s="68"/>
      <c r="R84" s="68"/>
      <c r="S84" s="68"/>
      <c r="T84" s="68"/>
      <c r="U84" s="68"/>
      <c r="V84" s="69">
        <f>IF(能力数值!J84=1,装备拆分数值生成!$Y$10,0)+能力数值!K84*装备拆分数值生成!$Y$10</f>
        <v>263.82222222222219</v>
      </c>
      <c r="W84" s="69">
        <f>IF(H84=0,0,装备拆分数值生成!$Z$40)+装备拆分数值生成!$Z$4*能力数值!I84</f>
        <v>137.74444444444447</v>
      </c>
      <c r="X84" s="69">
        <f>IF(H84=0,0,装备拆分数值生成!$AA$40)+装备拆分数值生成!$AA$4*能力数值!I84</f>
        <v>137.74444444444447</v>
      </c>
      <c r="Y84" s="69">
        <f>IF(L84=0,0,装备拆分数值生成!$AB$52)+装备拆分数值生成!$AB$16*能力数值!M84</f>
        <v>106.5</v>
      </c>
      <c r="AA84" s="69"/>
      <c r="AB84" s="68"/>
      <c r="AC84" s="68"/>
      <c r="AD84" s="68">
        <f>VLOOKUP(D84,宠物成长生成表!$B$5:$J$103,3,0)*$AM$2*(VLOOKUP(E84,$AP$1:$AQ$6,2,0))</f>
        <v>1818.7</v>
      </c>
      <c r="AE84" s="68">
        <f>VLOOKUP(D84,宠物成长生成表!$B$5:$J$103,4,0)*$AM$3*(VLOOKUP(E84,$AP$1:$AQ$6,2,0))</f>
        <v>381.6</v>
      </c>
      <c r="AF84" s="68">
        <f>VLOOKUP(D84,宠物成长生成表!$B$5:$J$103,4,0)*$AM$4*(VLOOKUP(E84,$AP$1:$AQ$6,2,0))</f>
        <v>381.6</v>
      </c>
      <c r="AG84" s="68">
        <f>VLOOKUP(D84,宠物成长生成表!$B$5:$J$103,7,0)*$AM$5*(VLOOKUP(E84,$AP$1:$AQ$6,2,0))</f>
        <v>600.6</v>
      </c>
      <c r="AH84" s="68">
        <f>VLOOKUP(D84,宠物成长生成表!$B$5:$J$103,6,0)+VLOOKUP(E84,宠物升阶生成表!$B$6:$F$21,5,0)</f>
        <v>62</v>
      </c>
      <c r="AI84" s="68"/>
      <c r="AJ84" s="68"/>
      <c r="AK84" s="68"/>
      <c r="AL84" s="68"/>
      <c r="AM84" s="68"/>
      <c r="AN84" s="68"/>
      <c r="AO84" s="68"/>
      <c r="AP84" s="68"/>
      <c r="AQ84" s="68"/>
      <c r="AR84" s="68"/>
      <c r="AS84" s="69">
        <f t="shared" si="17"/>
        <v>2082.5222222222224</v>
      </c>
      <c r="AT84" s="69">
        <f t="shared" si="18"/>
        <v>519.34444444444443</v>
      </c>
      <c r="AU84" s="69">
        <f t="shared" si="19"/>
        <v>519.34444444444443</v>
      </c>
      <c r="AV84" s="71">
        <f t="shared" si="20"/>
        <v>707.1</v>
      </c>
      <c r="AW84" s="69"/>
      <c r="AX84" s="69"/>
      <c r="AY84" s="69"/>
      <c r="AZ84" s="69"/>
      <c r="BA84" s="69"/>
      <c r="BB84" s="69"/>
    </row>
    <row r="85" spans="1:54" ht="17.25" thickBot="1">
      <c r="B85" s="99"/>
      <c r="C85" s="72" t="s">
        <v>425</v>
      </c>
      <c r="D85" s="72">
        <v>5</v>
      </c>
      <c r="E85" s="93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3"/>
      <c r="X85" s="73"/>
      <c r="Y85" s="73"/>
      <c r="Z85" s="73"/>
      <c r="AA85" s="73"/>
      <c r="AB85" s="72"/>
      <c r="AC85" s="72"/>
      <c r="AD85" s="72">
        <f>VLOOKUP(D85,宠物成长生成表!$B$5:$J$103,3,0)*$AL$2*(VLOOKUP(E85,$AP$1:$AQ$6,2,0))</f>
        <v>1228.99</v>
      </c>
      <c r="AE85" s="72">
        <f>VLOOKUP(D85,宠物成长生成表!$B$5:$J$103,4,0)*$AL$3*(VLOOKUP(E85,$AP$1:$AQ$6,2,0))</f>
        <v>384.48</v>
      </c>
      <c r="AF85" s="72">
        <f>VLOOKUP(D85,宠物成长生成表!$B$5:$J$103,4,0)*$AL$4*(VLOOKUP(E85,$AP$1:$AQ$6,2,0))</f>
        <v>496.79999999999995</v>
      </c>
      <c r="AG85" s="72">
        <f>VLOOKUP(D85,宠物成长生成表!$B$5:$J$103,7,0)*$AL$5*(VLOOKUP(E85,$AP$1:$AQ$6,2,0))</f>
        <v>313.12</v>
      </c>
      <c r="AH85" s="68">
        <f>VLOOKUP(D85,宠物成长生成表!$B$5:$J$103,6,0)+VLOOKUP(E85,宠物升阶生成表!$B$6:$F$21,5,0)</f>
        <v>59</v>
      </c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8"/>
      <c r="AW85" s="68"/>
      <c r="AX85" s="68"/>
      <c r="AY85" s="68"/>
      <c r="AZ85" s="68"/>
      <c r="BA85" s="68"/>
      <c r="BB85" s="68"/>
    </row>
    <row r="86" spans="1:54">
      <c r="B86" s="97" t="s">
        <v>437</v>
      </c>
      <c r="C86" s="64" t="s">
        <v>428</v>
      </c>
      <c r="D86" s="64">
        <v>12</v>
      </c>
      <c r="E86" s="91">
        <v>1</v>
      </c>
      <c r="F86" s="64"/>
      <c r="G86" s="64"/>
      <c r="H86" s="89">
        <v>13</v>
      </c>
      <c r="I86" s="64"/>
      <c r="J86" s="64">
        <v>9</v>
      </c>
      <c r="K86" s="64"/>
      <c r="L86" s="64">
        <v>6</v>
      </c>
      <c r="M86" s="64"/>
      <c r="N86" s="64"/>
      <c r="O86" s="64"/>
      <c r="P86" s="64">
        <v>3</v>
      </c>
      <c r="Q86" s="64"/>
      <c r="R86" s="64">
        <v>1</v>
      </c>
      <c r="S86" s="64"/>
      <c r="T86" s="64"/>
      <c r="U86" s="64"/>
      <c r="V86" s="65">
        <f>IF(J86=0,0,VLOOKUP(能力数值!J86,装备拆分数值生成!$AK$58:$AV$107,5,0))+IF(P86=0,0,VLOOKUP(P86,装备拆分数值生成!$AK$58:$AV$107,9,0))+IF(R86=0,0,VLOOKUP(R86,装备拆分数值生成!$AK$58:$AV$107,11,0))</f>
        <v>770</v>
      </c>
      <c r="W86" s="65">
        <f>IF(H86=0,0,VLOOKUP(H86,装备拆分数值生成!$AK$58:$AV$107,3,0))+IF(P86=0,0,VLOOKUP(P86,装备拆分数值生成!$AK$58:$AV$107,10,0))</f>
        <v>180</v>
      </c>
      <c r="X86" s="65">
        <f>IF(H86=0,0,VLOOKUP(H86,装备拆分数值生成!$AK$58:$AV$107,4,0))+IF(N86=0,0,VLOOKUP(N86,装备拆分数值生成!$AK$58:$AV$107,7,0))+IF(R86=0,0,VLOOKUP(R86,装备拆分数值生成!$AK$58:$AV$107,12,0))</f>
        <v>393</v>
      </c>
      <c r="Y86" s="65">
        <f>IF(L86=0,0,VLOOKUP(L86,装备拆分数值生成!$AK$58:$AV$107,6,0))+IF(N86=0,0,VLOOKUP(N86,装备拆分数值生成!$AK$58:$AV$107,8,0))</f>
        <v>101</v>
      </c>
      <c r="Z86" s="64"/>
      <c r="AA86" s="64"/>
      <c r="AB86" s="64"/>
      <c r="AC86" s="64"/>
      <c r="AD86" s="68">
        <f>VLOOKUP(D86,宠物成长生成表!$B$5:$J$103,3,0)*$AL$2*(VLOOKUP(E86,$AP$1:$AQ$6,2,0))</f>
        <v>1605.1560000000002</v>
      </c>
      <c r="AE86" s="68">
        <f>VLOOKUP(D86,宠物成长生成表!$B$5:$J$103,4,0)*$AL$3*(VLOOKUP(E86,$AP$1:$AQ$6,2,0))</f>
        <v>502.76100000000002</v>
      </c>
      <c r="AF86" s="68">
        <f>VLOOKUP(D86,宠物成长生成表!$B$5:$J$103,4,0)*$AL$4*(VLOOKUP(E86,$AP$1:$AQ$6,2,0))</f>
        <v>649.63499999999999</v>
      </c>
      <c r="AG86" s="68">
        <f>VLOOKUP(D86,宠物成长生成表!$B$5:$J$103,7,0)*$AL$5*(VLOOKUP(E86,$AP$1:$AQ$6,2,0))</f>
        <v>409.37400000000002</v>
      </c>
      <c r="AH86" s="64">
        <f>VLOOKUP(D86,宠物成长生成表!$B$5:$J$103,6,0)+VLOOKUP(E86,宠物升阶生成表!$B$6:$F$21,5,0)</f>
        <v>77</v>
      </c>
      <c r="AI86" s="64"/>
      <c r="AJ86" s="64"/>
      <c r="AK86" s="64"/>
      <c r="AL86" s="64"/>
      <c r="AM86" s="64"/>
      <c r="AN86" s="64"/>
      <c r="AO86" s="64"/>
      <c r="AP86" s="64"/>
      <c r="AQ86" s="64"/>
      <c r="AR86" s="64"/>
      <c r="AS86" s="65">
        <f t="shared" ref="AS86:AS89" si="21">V86+AD86</f>
        <v>2375.1559999999999</v>
      </c>
      <c r="AT86" s="65">
        <f t="shared" ref="AT86:AT89" si="22">W86+AE86</f>
        <v>682.76099999999997</v>
      </c>
      <c r="AU86" s="65">
        <f t="shared" ref="AU86:AU89" si="23">X86+AF86</f>
        <v>1042.635</v>
      </c>
      <c r="AV86" s="67">
        <f t="shared" ref="AV86:AV89" si="24">Y86+AG86</f>
        <v>510.37400000000002</v>
      </c>
      <c r="AW86" s="68"/>
      <c r="AX86" s="68"/>
      <c r="AY86" s="68"/>
      <c r="AZ86" s="68"/>
      <c r="BA86" s="68"/>
      <c r="BB86" s="68"/>
    </row>
    <row r="87" spans="1:54">
      <c r="B87" s="98"/>
      <c r="C87" s="68" t="s">
        <v>426</v>
      </c>
      <c r="D87" s="68">
        <v>12</v>
      </c>
      <c r="E87" s="92">
        <v>1</v>
      </c>
      <c r="F87" s="68"/>
      <c r="G87" s="68"/>
      <c r="H87" s="68">
        <v>10</v>
      </c>
      <c r="I87" s="68"/>
      <c r="J87" s="68">
        <v>9</v>
      </c>
      <c r="K87" s="68"/>
      <c r="L87" s="68">
        <v>6</v>
      </c>
      <c r="M87" s="68"/>
      <c r="N87" s="68">
        <v>0</v>
      </c>
      <c r="O87" s="68"/>
      <c r="P87" s="68"/>
      <c r="Q87" s="68"/>
      <c r="R87" s="68"/>
      <c r="S87" s="68"/>
      <c r="T87" s="68"/>
      <c r="U87" s="68"/>
      <c r="V87" s="69">
        <f>IF(J87=0,0,VLOOKUP(能力数值!J87,装备拆分数值生成!$AK$4:$AV$53,5,0))+IF(P87=0,0,VLOOKUP(能力数值!P87,装备拆分数值生成!$AK$4:$AV$53,9,0))+IF(R87=0,0,VLOOKUP(能力数值!R87,装备拆分数值生成!$AK$4:$AV$53,11,0))</f>
        <v>461</v>
      </c>
      <c r="W87" s="69">
        <f>IF(H87=0,0,VLOOKUP(能力数值!H87,装备拆分数值生成!$AK$4:$AV$53,3,0))+IF(N87=0,0,VLOOKUP(能力数值!N87,装备拆分数值生成!$AK$4:$AV$53,7,0))+IF(R87=0,0,VLOOKUP(能力数值!R87,装备拆分数值生成!$AK$4:$AV$53,12,0))</f>
        <v>264</v>
      </c>
      <c r="X87" s="69">
        <f>IF(H87=0,0,VLOOKUP(能力数值!H87,装备拆分数值生成!$AK$4:$AV$53,4,0))+IF(P87=0,0,VLOOKUP(能力数值!P87,装备拆分数值生成!$AK$4:$AV$53,10,0))</f>
        <v>132</v>
      </c>
      <c r="Y87" s="69">
        <f>IF(L87=0,0,VLOOKUP(能力数值!L87,装备拆分数值生成!$AK$4:$AV$53,6,0))+IF(N87=0,0,VLOOKUP(能力数值!N87,装备拆分数值生成!$AK$4:$AV$53,8,0))</f>
        <v>101</v>
      </c>
      <c r="Z87" s="68"/>
      <c r="AA87" s="68"/>
      <c r="AB87" s="68"/>
      <c r="AC87" s="68"/>
      <c r="AD87" s="68">
        <f>VLOOKUP(D87,宠物成长生成表!$B$5:$J$103,3,0)*$AO$2*(VLOOKUP(E87,$AP$1:$AQ$6,2,0))</f>
        <v>1605.1560000000002</v>
      </c>
      <c r="AE87" s="68">
        <f>VLOOKUP(D87,宠物成长生成表!$B$5:$J$103,4,0)*(VLOOKUP(E87,$AP$1:$AQ$6,2,0))</f>
        <v>564.9</v>
      </c>
      <c r="AF87" s="68">
        <f>VLOOKUP(D87,宠物成长生成表!$B$5:$J$103,4,0)*$AO$4*(VLOOKUP(E87,$AP$1:$AQ$6,2,0))</f>
        <v>502.76100000000002</v>
      </c>
      <c r="AG87" s="68">
        <f>VLOOKUP(D87,宠物成长生成表!$B$5:$J$103,7,0)*$AO$5*(VLOOKUP(E87,$AP$1:$AQ$6,2,0))</f>
        <v>409.37400000000002</v>
      </c>
      <c r="AH87" s="68">
        <f>VLOOKUP(D87,宠物成长生成表!$B$5:$J$103,6,0)+VLOOKUP(E87,宠物升阶生成表!$B$6:$F$21,5,0)</f>
        <v>77</v>
      </c>
      <c r="AI87" s="68"/>
      <c r="AJ87" s="68"/>
      <c r="AK87" s="68"/>
      <c r="AL87" s="68"/>
      <c r="AM87" s="68"/>
      <c r="AN87" s="68"/>
      <c r="AO87" s="68"/>
      <c r="AP87" s="68"/>
      <c r="AQ87" s="68"/>
      <c r="AR87" s="68"/>
      <c r="AS87" s="69">
        <f t="shared" si="21"/>
        <v>2066.1559999999999</v>
      </c>
      <c r="AT87" s="69">
        <f t="shared" si="22"/>
        <v>828.9</v>
      </c>
      <c r="AU87" s="69">
        <f t="shared" si="23"/>
        <v>634.76099999999997</v>
      </c>
      <c r="AV87" s="71">
        <f t="shared" si="24"/>
        <v>510.37400000000002</v>
      </c>
      <c r="AW87" s="68"/>
      <c r="AX87" s="68"/>
      <c r="AY87" s="68"/>
      <c r="AZ87" s="68"/>
      <c r="BA87" s="68"/>
      <c r="BB87" s="68"/>
    </row>
    <row r="88" spans="1:54">
      <c r="B88" s="98"/>
      <c r="C88" s="68" t="s">
        <v>394</v>
      </c>
      <c r="D88" s="68">
        <v>12</v>
      </c>
      <c r="E88" s="92">
        <v>1</v>
      </c>
      <c r="F88" s="68"/>
      <c r="G88" s="68"/>
      <c r="H88" s="68">
        <v>10</v>
      </c>
      <c r="I88" s="68"/>
      <c r="J88" s="68">
        <v>9</v>
      </c>
      <c r="K88" s="68"/>
      <c r="L88" s="68">
        <v>6</v>
      </c>
      <c r="M88" s="68"/>
      <c r="N88" s="68"/>
      <c r="O88" s="68"/>
      <c r="P88" s="68">
        <v>3</v>
      </c>
      <c r="Q88" s="68"/>
      <c r="R88" s="68"/>
      <c r="S88" s="68"/>
      <c r="T88" s="68"/>
      <c r="U88" s="68"/>
      <c r="V88" s="69">
        <f>IF(J88=0,0,VLOOKUP(能力数值!J88,装备拆分数值生成!$AK$165:$AV$214,5,0))+IF(P88=0,0,VLOOKUP(能力数值!P88,装备拆分数值生成!$AK$165:$AV$214,9,0))+IF(R88=0,0,VLOOKUP(能力数值!R88,装备拆分数值生成!$AK$165:$AV$214,11,0))</f>
        <v>652</v>
      </c>
      <c r="W88" s="69">
        <f>IF(H88=0,0,VLOOKUP(能力数值!H88,装备拆分数值生成!$AK$165:$AV$214,3,0))</f>
        <v>198</v>
      </c>
      <c r="X88" s="69">
        <f>IF(H88=0,0,VLOOKUP(能力数值!H88,装备拆分数值生成!$AK$165:$AV$214,4,0))+IF(P88=0,0,VLOOKUP(能力数值!P88,装备拆分数值生成!$AK$165:$AV$214,10,0))</f>
        <v>241</v>
      </c>
      <c r="Y88" s="69">
        <f>IF(L88=0,0,VLOOKUP(能力数值!L88,装备拆分数值生成!$AK$165:$AV$214,6,0))+IF(N88=0,0,VLOOKUP(能力数值!N88,装备拆分数值生成!$AK$165:$AV$214,8,0))+IF(R88=0,0,VLOOKUP(能力数值!R88,装备拆分数值生成!$AK$165:$AV$214,12,0))</f>
        <v>127</v>
      </c>
      <c r="Z88" s="68"/>
      <c r="AA88" s="68"/>
      <c r="AB88" s="68"/>
      <c r="AC88" s="68"/>
      <c r="AD88" s="68">
        <f>VLOOKUP(D87,宠物成长生成表!$B$5:$J$103,3,0)*$AN$2*(VLOOKUP(E88,$AP$1:$AQ$6,2,0))</f>
        <v>1985.76</v>
      </c>
      <c r="AE88" s="68">
        <f>VLOOKUP(D87,宠物成长生成表!$B$5:$J$103,4,0)*$AN$3*(VLOOKUP(E88,$AP$1:$AQ$6,2,0))</f>
        <v>508.41</v>
      </c>
      <c r="AF88" s="68">
        <f>VLOOKUP(D87,宠物成长生成表!$B$5:$J$103,4,0)*$AN$4*(VLOOKUP(E88,$AP$1:$AQ$6,2,0))</f>
        <v>508.41</v>
      </c>
      <c r="AG88" s="68">
        <f>VLOOKUP(D87,宠物成长生成表!$B$5:$J$103,7,0)*$AN$5*(VLOOKUP(E88,$AP$1:$AQ$6,2,0))</f>
        <v>474.012</v>
      </c>
      <c r="AH88" s="68">
        <f>VLOOKUP(D88,宠物成长生成表!$B$5:$J$103,6,0)+VLOOKUP(E88,宠物升阶生成表!$B$6:$F$21,5,0)</f>
        <v>77</v>
      </c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9">
        <f t="shared" si="21"/>
        <v>2637.76</v>
      </c>
      <c r="AT88" s="69">
        <f t="shared" si="22"/>
        <v>706.41000000000008</v>
      </c>
      <c r="AU88" s="69">
        <f t="shared" si="23"/>
        <v>749.41000000000008</v>
      </c>
      <c r="AV88" s="71">
        <f t="shared" si="24"/>
        <v>601.01199999999994</v>
      </c>
      <c r="AW88" s="68"/>
      <c r="AX88" s="68"/>
      <c r="AY88" s="68"/>
      <c r="AZ88" s="68"/>
      <c r="BA88" s="68"/>
      <c r="BB88" s="68"/>
    </row>
    <row r="89" spans="1:54">
      <c r="B89" s="98"/>
      <c r="C89" s="68" t="s">
        <v>427</v>
      </c>
      <c r="D89" s="68">
        <v>8</v>
      </c>
      <c r="E89" s="92"/>
      <c r="F89" s="68"/>
      <c r="G89" s="68"/>
      <c r="H89" s="68">
        <v>7</v>
      </c>
      <c r="I89" s="68"/>
      <c r="J89" s="68">
        <v>10</v>
      </c>
      <c r="K89" s="68"/>
      <c r="L89" s="88">
        <v>13</v>
      </c>
      <c r="M89" s="68"/>
      <c r="N89" s="68"/>
      <c r="O89" s="68"/>
      <c r="P89" s="68">
        <v>2</v>
      </c>
      <c r="Q89" s="68"/>
      <c r="R89" s="68"/>
      <c r="S89" s="68"/>
      <c r="T89" s="68"/>
      <c r="U89" s="68"/>
      <c r="V89" s="69">
        <f>IF(J89=0,0,VLOOKUP(能力数值!J89,装备拆分数值生成!$AK$112:$AV$161,5,0))+IF(P89=0,0,VLOOKUP(能力数值!P89,装备拆分数值生成!$AK$112:$AV$161,5,0))+IF(R89=0,0,VLOOKUP(能力数值!R89,装备拆分数值生成!$AK$112:$AV$161,11,0))</f>
        <v>1249</v>
      </c>
      <c r="W89" s="69">
        <f>IF(H89=0,0,VLOOKUP(能力数值!H89,装备拆分数值生成!$AK$112:$AV$161,3,0))</f>
        <v>155</v>
      </c>
      <c r="X89" s="69">
        <f>IF(H89=0,0,VLOOKUP(能力数值!H89,装备拆分数值生成!$AK$112:$AV$161,4,0))</f>
        <v>155</v>
      </c>
      <c r="Y89" s="69">
        <f>IF(L89=0,0,VLOOKUP(能力数值!L89,装备拆分数值生成!$AK$112:$AV$161,6,0))+IF(N89=0,0,VLOOKUP(能力数值!N89,装备拆分数值生成!$AK$112:$AV$161,8,0))+IF(R89=0,0,VLOOKUP(能力数值!R89,装备拆分数值生成!$AK$112:$AV$161,12,0))</f>
        <v>228</v>
      </c>
      <c r="Z89" s="68"/>
      <c r="AA89" s="68"/>
      <c r="AB89" s="68"/>
      <c r="AC89" s="68"/>
      <c r="AD89" s="68">
        <f>VLOOKUP(D89,宠物成长生成表!$B$5:$J$103,3,0)*$AM$2*(VLOOKUP(E89,$AP$1:$AQ$6,2,0))</f>
        <v>1818.7</v>
      </c>
      <c r="AE89" s="68">
        <f>VLOOKUP(D89,宠物成长生成表!$B$5:$J$103,4,0)*$AM$3*(VLOOKUP(E89,$AP$1:$AQ$6,2,0))</f>
        <v>381.6</v>
      </c>
      <c r="AF89" s="68">
        <f>VLOOKUP(D89,宠物成长生成表!$B$5:$J$103,4,0)*$AM$4*(VLOOKUP(E89,$AP$1:$AQ$6,2,0))</f>
        <v>381.6</v>
      </c>
      <c r="AG89" s="68">
        <f>VLOOKUP(D89,宠物成长生成表!$B$5:$J$103,7,0)*$AM$5*(VLOOKUP(E89,$AP$1:$AQ$6,2,0))</f>
        <v>600.6</v>
      </c>
      <c r="AH89" s="68">
        <f>VLOOKUP(D89,宠物成长生成表!$B$5:$J$103,6,0)+VLOOKUP(E89,宠物升阶生成表!$B$6:$F$21,5,0)</f>
        <v>62</v>
      </c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9">
        <f t="shared" si="21"/>
        <v>3067.7</v>
      </c>
      <c r="AT89" s="69">
        <f t="shared" si="22"/>
        <v>536.6</v>
      </c>
      <c r="AU89" s="69">
        <f t="shared" si="23"/>
        <v>536.6</v>
      </c>
      <c r="AV89" s="71">
        <f t="shared" si="24"/>
        <v>828.6</v>
      </c>
      <c r="AW89" s="68"/>
      <c r="AX89" s="68"/>
      <c r="AY89" s="68"/>
      <c r="AZ89" s="68"/>
      <c r="BA89" s="68"/>
      <c r="BB89" s="68"/>
    </row>
    <row r="90" spans="1:54" ht="17.25" thickBot="1">
      <c r="B90" s="99"/>
      <c r="C90" s="72" t="s">
        <v>425</v>
      </c>
      <c r="D90" s="72">
        <v>5</v>
      </c>
      <c r="E90" s="93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69"/>
      <c r="W90" s="69"/>
      <c r="X90" s="69"/>
      <c r="Y90" s="69"/>
      <c r="Z90" s="72"/>
      <c r="AA90" s="72"/>
      <c r="AB90" s="72"/>
      <c r="AC90" s="72"/>
      <c r="AD90" s="72">
        <f>VLOOKUP(D90,宠物成长生成表!$B$5:$J$103,3,0)*$AL$2*(VLOOKUP(E90,$AP$1:$AQ$6,2,0))</f>
        <v>1228.99</v>
      </c>
      <c r="AE90" s="72">
        <f>VLOOKUP(D90,宠物成长生成表!$B$5:$J$103,4,0)*$AL$3*(VLOOKUP(E90,$AP$1:$AQ$6,2,0))</f>
        <v>384.48</v>
      </c>
      <c r="AF90" s="72">
        <f>VLOOKUP(D90,宠物成长生成表!$B$5:$J$103,4,0)*$AL$4*(VLOOKUP(E90,$AP$1:$AQ$6,2,0))</f>
        <v>496.79999999999995</v>
      </c>
      <c r="AG90" s="72">
        <f>VLOOKUP(D90,宠物成长生成表!$B$5:$J$103,7,0)*$AL$5*(VLOOKUP(E90,$AP$1:$AQ$6,2,0))</f>
        <v>313.12</v>
      </c>
      <c r="AH90" s="68">
        <f>VLOOKUP(D90,宠物成长生成表!$B$5:$J$103,6,0)+VLOOKUP(E90,宠物升阶生成表!$B$6:$F$21,5,0)</f>
        <v>59</v>
      </c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8"/>
      <c r="AW90" s="68"/>
      <c r="AX90" s="68"/>
      <c r="AY90" s="68"/>
      <c r="AZ90" s="68"/>
      <c r="BA90" s="68"/>
      <c r="BB90" s="68"/>
    </row>
    <row r="91" spans="1:54">
      <c r="B91" s="97" t="s">
        <v>438</v>
      </c>
      <c r="C91" s="64" t="s">
        <v>428</v>
      </c>
      <c r="D91" s="64">
        <v>12</v>
      </c>
      <c r="E91" s="91">
        <v>1</v>
      </c>
      <c r="F91" s="64"/>
      <c r="G91" s="64"/>
      <c r="H91" s="89">
        <v>15</v>
      </c>
      <c r="I91" s="64"/>
      <c r="J91" s="64">
        <v>9</v>
      </c>
      <c r="K91" s="64"/>
      <c r="L91" s="64">
        <v>8</v>
      </c>
      <c r="M91" s="64"/>
      <c r="N91" s="64"/>
      <c r="O91" s="64"/>
      <c r="P91" s="64">
        <v>3</v>
      </c>
      <c r="Q91" s="64"/>
      <c r="R91" s="64">
        <v>1</v>
      </c>
      <c r="S91" s="64"/>
      <c r="T91" s="64"/>
      <c r="U91" s="64"/>
      <c r="V91" s="65">
        <f>IF(J91=0,0,VLOOKUP(能力数值!J91,装备拆分数值生成!$AK$58:$AV$107,5,0))+IF(P91=0,0,VLOOKUP(P91,装备拆分数值生成!$AK$58:$AV$107,9,0))+IF(R91=0,0,VLOOKUP(R91,装备拆分数值生成!$AK$58:$AV$107,11,0))</f>
        <v>770</v>
      </c>
      <c r="W91" s="65">
        <f>IF(H91=0,0,VLOOKUP(H91,装备拆分数值生成!$AK$58:$AV$107,3,0))+IF(P91=0,0,VLOOKUP(P91,装备拆分数值生成!$AK$58:$AV$107,10,0))</f>
        <v>200</v>
      </c>
      <c r="X91" s="65">
        <f>IF(H91=0,0,VLOOKUP(H91,装备拆分数值生成!$AK$58:$AV$107,4,0))+IF(N91=0,0,VLOOKUP(N91,装备拆分数值生成!$AK$58:$AV$107,7,0))+IF(R91=0,0,VLOOKUP(R91,装备拆分数值生成!$AK$58:$AV$107,12,0))</f>
        <v>433</v>
      </c>
      <c r="Y91" s="65">
        <f>IF(L91=0,0,VLOOKUP(L91,装备拆分数值生成!$AK$58:$AV$107,6,0))+IF(N91=0,0,VLOOKUP(N91,装备拆分数值生成!$AK$58:$AV$107,8,0))</f>
        <v>113</v>
      </c>
      <c r="Z91" s="64"/>
      <c r="AA91" s="64"/>
      <c r="AB91" s="64"/>
      <c r="AC91" s="64"/>
      <c r="AD91" s="68">
        <f>VLOOKUP(D91,宠物成长生成表!$B$5:$J$103,3,0)*$AL$2*(VLOOKUP(E91,$AP$1:$AQ$6,2,0))</f>
        <v>1605.1560000000002</v>
      </c>
      <c r="AE91" s="68">
        <f>VLOOKUP(D91,宠物成长生成表!$B$5:$J$103,4,0)*$AL$3*(VLOOKUP(E91,$AP$1:$AQ$6,2,0))</f>
        <v>502.76100000000002</v>
      </c>
      <c r="AF91" s="68">
        <f>VLOOKUP(D91,宠物成长生成表!$B$5:$J$103,4,0)*$AL$4*(VLOOKUP(E91,$AP$1:$AQ$6,2,0))</f>
        <v>649.63499999999999</v>
      </c>
      <c r="AG91" s="68">
        <f>VLOOKUP(D91,宠物成长生成表!$B$5:$J$103,7,0)*$AL$5*(VLOOKUP(E91,$AP$1:$AQ$6,2,0))</f>
        <v>409.37400000000002</v>
      </c>
      <c r="AH91" s="64">
        <f>VLOOKUP(D91,宠物成长生成表!$B$5:$J$103,6,0)+VLOOKUP(E91,宠物升阶生成表!$B$6:$F$21,5,0)</f>
        <v>77</v>
      </c>
      <c r="AI91" s="64"/>
      <c r="AJ91" s="64"/>
      <c r="AK91" s="64"/>
      <c r="AL91" s="64"/>
      <c r="AM91" s="64"/>
      <c r="AN91" s="64"/>
      <c r="AO91" s="64"/>
      <c r="AP91" s="64"/>
      <c r="AQ91" s="64"/>
      <c r="AR91" s="64"/>
      <c r="AS91" s="65">
        <f t="shared" ref="AS91:AS94" si="25">V91+AD91</f>
        <v>2375.1559999999999</v>
      </c>
      <c r="AT91" s="65">
        <f t="shared" ref="AT91:AT94" si="26">W91+AE91</f>
        <v>702.76099999999997</v>
      </c>
      <c r="AU91" s="65">
        <f t="shared" ref="AU91:AU94" si="27">X91+AF91</f>
        <v>1082.635</v>
      </c>
      <c r="AV91" s="67">
        <f t="shared" ref="AV91:AV94" si="28">Y91+AG91</f>
        <v>522.37400000000002</v>
      </c>
      <c r="AW91" s="68"/>
      <c r="AX91" s="68"/>
      <c r="AY91" s="68"/>
      <c r="AZ91" s="68"/>
      <c r="BA91" s="68"/>
      <c r="BB91" s="68"/>
    </row>
    <row r="92" spans="1:54">
      <c r="B92" s="98"/>
      <c r="C92" s="68" t="s">
        <v>426</v>
      </c>
      <c r="D92" s="68">
        <v>12</v>
      </c>
      <c r="E92" s="92">
        <v>1</v>
      </c>
      <c r="F92" s="68"/>
      <c r="G92" s="68"/>
      <c r="H92" s="68">
        <v>10</v>
      </c>
      <c r="I92" s="68"/>
      <c r="J92" s="68">
        <v>9</v>
      </c>
      <c r="K92" s="68"/>
      <c r="L92" s="68">
        <v>8</v>
      </c>
      <c r="M92" s="68"/>
      <c r="N92" s="68">
        <v>0</v>
      </c>
      <c r="O92" s="68"/>
      <c r="P92" s="68"/>
      <c r="Q92" s="68"/>
      <c r="R92" s="68"/>
      <c r="S92" s="68"/>
      <c r="T92" s="68"/>
      <c r="U92" s="68"/>
      <c r="V92" s="69">
        <f>IF(J92=0,0,VLOOKUP(能力数值!J92,装备拆分数值生成!$AK$4:$AV$53,5,0))+IF(P92=0,0,VLOOKUP(能力数值!P92,装备拆分数值生成!$AK$4:$AV$53,9,0))+IF(R92=0,0,VLOOKUP(能力数值!R92,装备拆分数值生成!$AK$4:$AV$53,11,0))</f>
        <v>461</v>
      </c>
      <c r="W92" s="69">
        <f>IF(H92=0,0,VLOOKUP(能力数值!H92,装备拆分数值生成!$AK$4:$AV$53,3,0))+IF(N92=0,0,VLOOKUP(能力数值!N92,装备拆分数值生成!$AK$4:$AV$53,7,0))+IF(R92=0,0,VLOOKUP(能力数值!R92,装备拆分数值生成!$AK$4:$AV$53,12,0))</f>
        <v>264</v>
      </c>
      <c r="X92" s="69">
        <f>IF(H92=0,0,VLOOKUP(能力数值!H92,装备拆分数值生成!$AK$4:$AV$53,4,0))+IF(P92=0,0,VLOOKUP(能力数值!P92,装备拆分数值生成!$AK$4:$AV$53,10,0))</f>
        <v>132</v>
      </c>
      <c r="Y92" s="69">
        <f>IF(L92=0,0,VLOOKUP(能力数值!L92,装备拆分数值生成!$AK$4:$AV$53,6,0))+IF(N92=0,0,VLOOKUP(能力数值!N92,装备拆分数值生成!$AK$4:$AV$53,8,0))</f>
        <v>113</v>
      </c>
      <c r="Z92" s="68"/>
      <c r="AA92" s="68"/>
      <c r="AB92" s="68"/>
      <c r="AC92" s="68"/>
      <c r="AD92" s="68">
        <f>VLOOKUP(D92,宠物成长生成表!$B$5:$J$103,3,0)*$AO$2*(VLOOKUP(E92,$AP$1:$AQ$6,2,0))</f>
        <v>1605.1560000000002</v>
      </c>
      <c r="AE92" s="68">
        <f>VLOOKUP(D92,宠物成长生成表!$B$5:$J$103,4,0)*(VLOOKUP(E92,$AP$1:$AQ$6,2,0))</f>
        <v>564.9</v>
      </c>
      <c r="AF92" s="68">
        <f>VLOOKUP(D92,宠物成长生成表!$B$5:$J$103,4,0)*$AO$4*(VLOOKUP(E92,$AP$1:$AQ$6,2,0))</f>
        <v>502.76100000000002</v>
      </c>
      <c r="AG92" s="68">
        <f>VLOOKUP(D92,宠物成长生成表!$B$5:$J$103,7,0)*$AO$5*(VLOOKUP(E92,$AP$1:$AQ$6,2,0))</f>
        <v>409.37400000000002</v>
      </c>
      <c r="AH92" s="68">
        <f>VLOOKUP(D92,宠物成长生成表!$B$5:$J$103,6,0)+VLOOKUP(E92,宠物升阶生成表!$B$6:$F$21,5,0)</f>
        <v>77</v>
      </c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9">
        <f t="shared" si="25"/>
        <v>2066.1559999999999</v>
      </c>
      <c r="AT92" s="69">
        <f t="shared" si="26"/>
        <v>828.9</v>
      </c>
      <c r="AU92" s="69">
        <f t="shared" si="27"/>
        <v>634.76099999999997</v>
      </c>
      <c r="AV92" s="71">
        <f t="shared" si="28"/>
        <v>522.37400000000002</v>
      </c>
      <c r="AW92" s="68"/>
      <c r="AX92" s="68"/>
      <c r="AY92" s="68"/>
      <c r="AZ92" s="68"/>
      <c r="BA92" s="68"/>
      <c r="BB92" s="68"/>
    </row>
    <row r="93" spans="1:54">
      <c r="B93" s="98"/>
      <c r="C93" s="68" t="s">
        <v>394</v>
      </c>
      <c r="D93" s="68">
        <v>13</v>
      </c>
      <c r="E93" s="92">
        <v>1</v>
      </c>
      <c r="F93" s="68"/>
      <c r="G93" s="68"/>
      <c r="H93" s="88">
        <v>11</v>
      </c>
      <c r="I93" s="68"/>
      <c r="J93" s="68">
        <v>9</v>
      </c>
      <c r="K93" s="68"/>
      <c r="L93" s="68">
        <v>8</v>
      </c>
      <c r="M93" s="68"/>
      <c r="N93" s="68"/>
      <c r="O93" s="68"/>
      <c r="P93" s="68">
        <v>3</v>
      </c>
      <c r="Q93" s="68"/>
      <c r="R93" s="68"/>
      <c r="S93" s="68"/>
      <c r="T93" s="68"/>
      <c r="U93" s="68"/>
      <c r="V93" s="69">
        <f>IF(J93=0,0,VLOOKUP(能力数值!J93,装备拆分数值生成!$AK$165:$AV$214,5,0))+IF(P93=0,0,VLOOKUP(能力数值!P93,装备拆分数值生成!$AK$165:$AV$214,9,0))+IF(R93=0,0,VLOOKUP(能力数值!R93,装备拆分数值生成!$AK$165:$AV$214,11,0))</f>
        <v>652</v>
      </c>
      <c r="W93" s="69">
        <f>IF(H93=0,0,VLOOKUP(能力数值!H93,装备拆分数值生成!$AK$165:$AV$214,3,0))</f>
        <v>210</v>
      </c>
      <c r="X93" s="69">
        <f>IF(H93=0,0,VLOOKUP(能力数值!H93,装备拆分数值生成!$AK$165:$AV$214,4,0))+IF(P93=0,0,VLOOKUP(能力数值!P93,装备拆分数值生成!$AK$165:$AV$214,10,0))</f>
        <v>253</v>
      </c>
      <c r="Y93" s="69">
        <f>IF(L93=0,0,VLOOKUP(能力数值!L93,装备拆分数值生成!$AK$165:$AV$214,6,0))+IF(N93=0,0,VLOOKUP(能力数值!N93,装备拆分数值生成!$AK$165:$AV$214,8,0))+IF(R93=0,0,VLOOKUP(能力数值!R93,装备拆分数值生成!$AK$165:$AV$214,12,0))</f>
        <v>142</v>
      </c>
      <c r="Z93" s="68"/>
      <c r="AA93" s="68"/>
      <c r="AB93" s="68"/>
      <c r="AC93" s="68"/>
      <c r="AD93" s="68">
        <f>VLOOKUP(D92,宠物成长生成表!$B$5:$J$103,3,0)*$AN$2*(VLOOKUP(E93,$AP$1:$AQ$6,2,0))</f>
        <v>1985.76</v>
      </c>
      <c r="AE93" s="68">
        <f>VLOOKUP(D92,宠物成长生成表!$B$5:$J$103,4,0)*$AN$3*(VLOOKUP(E93,$AP$1:$AQ$6,2,0))</f>
        <v>508.41</v>
      </c>
      <c r="AF93" s="68">
        <f>VLOOKUP(D92,宠物成长生成表!$B$5:$J$103,4,0)*$AN$4*(VLOOKUP(E93,$AP$1:$AQ$6,2,0))</f>
        <v>508.41</v>
      </c>
      <c r="AG93" s="68">
        <f>VLOOKUP(D92,宠物成长生成表!$B$5:$J$103,7,0)*$AN$5*(VLOOKUP(E93,$AP$1:$AQ$6,2,0))</f>
        <v>474.012</v>
      </c>
      <c r="AH93" s="68">
        <f>VLOOKUP(D93,宠物成长生成表!$B$5:$J$103,6,0)+VLOOKUP(E93,宠物升阶生成表!$B$6:$F$21,5,0)</f>
        <v>78</v>
      </c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9">
        <f t="shared" si="25"/>
        <v>2637.76</v>
      </c>
      <c r="AT93" s="69">
        <f t="shared" si="26"/>
        <v>718.41000000000008</v>
      </c>
      <c r="AU93" s="69">
        <f t="shared" si="27"/>
        <v>761.41000000000008</v>
      </c>
      <c r="AV93" s="71">
        <f t="shared" si="28"/>
        <v>616.01199999999994</v>
      </c>
      <c r="AW93" s="68"/>
      <c r="AX93" s="68"/>
      <c r="AY93" s="68"/>
      <c r="AZ93" s="68"/>
      <c r="BA93" s="68"/>
      <c r="BB93" s="68"/>
    </row>
    <row r="94" spans="1:54">
      <c r="B94" s="98"/>
      <c r="C94" s="68" t="s">
        <v>427</v>
      </c>
      <c r="D94" s="68">
        <v>8</v>
      </c>
      <c r="E94" s="92"/>
      <c r="F94" s="68"/>
      <c r="G94" s="68"/>
      <c r="H94" s="68">
        <v>7</v>
      </c>
      <c r="I94" s="68"/>
      <c r="J94" s="68">
        <v>10</v>
      </c>
      <c r="K94" s="68"/>
      <c r="L94" s="88">
        <v>13</v>
      </c>
      <c r="M94" s="68"/>
      <c r="N94" s="68"/>
      <c r="O94" s="68"/>
      <c r="P94" s="68">
        <v>4</v>
      </c>
      <c r="Q94" s="68"/>
      <c r="R94" s="68">
        <v>2</v>
      </c>
      <c r="S94" s="68"/>
      <c r="T94" s="68"/>
      <c r="U94" s="68"/>
      <c r="V94" s="69">
        <f>IF(J94=0,0,VLOOKUP(能力数值!J94,装备拆分数值生成!$AK$112:$AV$161,5,0))+IF(P94=0,0,VLOOKUP(能力数值!P94,装备拆分数值生成!$AK$112:$AV$161,5,0))+IF(R94=0,0,VLOOKUP(能力数值!R94,装备拆分数值生成!$AK$112:$AV$161,11,0))</f>
        <v>1383</v>
      </c>
      <c r="W94" s="69">
        <f>IF(H94=0,0,VLOOKUP(能力数值!H94,装备拆分数值生成!$AK$112:$AV$161,3,0))</f>
        <v>155</v>
      </c>
      <c r="X94" s="69">
        <f>IF(H94=0,0,VLOOKUP(能力数值!H94,装备拆分数值生成!$AK$112:$AV$161,4,0))</f>
        <v>155</v>
      </c>
      <c r="Y94" s="69">
        <f>IF(L94=0,0,VLOOKUP(能力数值!L94,装备拆分数值生成!$AK$112:$AV$161,6,0))+IF(N94=0,0,VLOOKUP(能力数值!N94,装备拆分数值生成!$AK$112:$AV$161,8,0))+IF(R94=0,0,VLOOKUP(能力数值!R94,装备拆分数值生成!$AK$112:$AV$161,12,0))</f>
        <v>308</v>
      </c>
      <c r="Z94" s="68"/>
      <c r="AA94" s="68"/>
      <c r="AB94" s="68"/>
      <c r="AC94" s="68"/>
      <c r="AD94" s="68">
        <f>VLOOKUP(D94,宠物成长生成表!$B$5:$J$103,3,0)*$AM$2*(VLOOKUP(E94,$AP$1:$AQ$6,2,0))</f>
        <v>1818.7</v>
      </c>
      <c r="AE94" s="68">
        <f>VLOOKUP(D94,宠物成长生成表!$B$5:$J$103,4,0)*$AM$3*(VLOOKUP(E94,$AP$1:$AQ$6,2,0))</f>
        <v>381.6</v>
      </c>
      <c r="AF94" s="68">
        <f>VLOOKUP(D94,宠物成长生成表!$B$5:$J$103,4,0)*$AM$4*(VLOOKUP(E94,$AP$1:$AQ$6,2,0))</f>
        <v>381.6</v>
      </c>
      <c r="AG94" s="68">
        <f>VLOOKUP(D94,宠物成长生成表!$B$5:$J$103,7,0)*$AM$5*(VLOOKUP(E94,$AP$1:$AQ$6,2,0))</f>
        <v>600.6</v>
      </c>
      <c r="AH94" s="68">
        <f>VLOOKUP(D94,宠物成长生成表!$B$5:$J$103,6,0)+VLOOKUP(E94,宠物升阶生成表!$B$6:$F$21,5,0)</f>
        <v>62</v>
      </c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9">
        <f t="shared" si="25"/>
        <v>3201.7</v>
      </c>
      <c r="AT94" s="69">
        <f t="shared" si="26"/>
        <v>536.6</v>
      </c>
      <c r="AU94" s="69">
        <f t="shared" si="27"/>
        <v>536.6</v>
      </c>
      <c r="AV94" s="71">
        <f t="shared" si="28"/>
        <v>908.6</v>
      </c>
      <c r="AW94" s="68"/>
      <c r="AX94" s="68"/>
      <c r="AY94" s="68"/>
      <c r="AZ94" s="68"/>
      <c r="BA94" s="68"/>
      <c r="BB94" s="68"/>
    </row>
    <row r="95" spans="1:54" ht="17.25" thickBot="1">
      <c r="B95" s="99"/>
      <c r="C95" s="72" t="s">
        <v>425</v>
      </c>
      <c r="D95" s="72">
        <v>5</v>
      </c>
      <c r="E95" s="93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69"/>
      <c r="W95" s="69"/>
      <c r="X95" s="69"/>
      <c r="Y95" s="69"/>
      <c r="Z95" s="72"/>
      <c r="AA95" s="72"/>
      <c r="AB95" s="72"/>
      <c r="AC95" s="72"/>
      <c r="AD95" s="72">
        <f>VLOOKUP(D95,宠物成长生成表!$B$5:$J$103,3,0)*$AL$2*(VLOOKUP(E95,$AP$1:$AQ$6,2,0))</f>
        <v>1228.99</v>
      </c>
      <c r="AE95" s="72">
        <f>VLOOKUP(D95,宠物成长生成表!$B$5:$J$103,4,0)*$AL$3*(VLOOKUP(E95,$AP$1:$AQ$6,2,0))</f>
        <v>384.48</v>
      </c>
      <c r="AF95" s="72">
        <f>VLOOKUP(D95,宠物成长生成表!$B$5:$J$103,4,0)*$AL$4*(VLOOKUP(E95,$AP$1:$AQ$6,2,0))</f>
        <v>496.79999999999995</v>
      </c>
      <c r="AG95" s="72">
        <f>VLOOKUP(D95,宠物成长生成表!$B$5:$J$103,7,0)*$AL$5*(VLOOKUP(E95,$AP$1:$AQ$6,2,0))</f>
        <v>313.12</v>
      </c>
      <c r="AH95" s="68">
        <f>VLOOKUP(D95,宠物成长生成表!$B$5:$J$103,6,0)+VLOOKUP(E95,宠物升阶生成表!$B$6:$F$21,5,0)</f>
        <v>59</v>
      </c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8"/>
      <c r="AW95" s="68"/>
      <c r="AX95" s="68"/>
      <c r="AY95" s="68"/>
      <c r="AZ95" s="68"/>
      <c r="BA95" s="68"/>
      <c r="BB95" s="68"/>
    </row>
    <row r="96" spans="1:54">
      <c r="B96" s="97" t="s">
        <v>439</v>
      </c>
      <c r="C96" s="64" t="s">
        <v>428</v>
      </c>
      <c r="D96" s="64">
        <v>16</v>
      </c>
      <c r="E96" s="91">
        <v>2</v>
      </c>
      <c r="F96" s="64"/>
      <c r="G96" s="64"/>
      <c r="H96" s="89">
        <v>16</v>
      </c>
      <c r="I96" s="64"/>
      <c r="J96" s="64">
        <v>9</v>
      </c>
      <c r="K96" s="64"/>
      <c r="L96" s="64">
        <v>11</v>
      </c>
      <c r="M96" s="64"/>
      <c r="N96" s="64">
        <v>9</v>
      </c>
      <c r="O96" s="64"/>
      <c r="P96" s="64">
        <v>6</v>
      </c>
      <c r="Q96" s="64"/>
      <c r="R96" s="64">
        <v>5</v>
      </c>
      <c r="S96" s="64"/>
      <c r="T96" s="64"/>
      <c r="U96" s="64"/>
      <c r="V96" s="65">
        <f>IF(J96=0,0,VLOOKUP(能力数值!J96,装备拆分数值生成!$AK$58:$AV$107,5,0))+IF(P96=0,0,VLOOKUP(P96,装备拆分数值生成!$AK$58:$AV$107,9,0))+IF(R96=0,0,VLOOKUP(R96,装备拆分数值生成!$AK$58:$AV$107,11,0))</f>
        <v>846</v>
      </c>
      <c r="W96" s="65">
        <f>IF(H96=0,0,VLOOKUP(H96,装备拆分数值生成!$AK$58:$AV$107,3,0))+IF(P96=0,0,VLOOKUP(P96,装备拆分数值生成!$AK$58:$AV$107,10,0))</f>
        <v>215</v>
      </c>
      <c r="X96" s="65">
        <f>IF(H96=0,0,VLOOKUP(H96,装备拆分数值生成!$AK$58:$AV$107,4,0))+IF(N96=0,0,VLOOKUP(N96,装备拆分数值生成!$AK$58:$AV$107,7,0))+IF(R96=0,0,VLOOKUP(R96,装备拆分数值生成!$AK$58:$AV$107,12,0))</f>
        <v>541</v>
      </c>
      <c r="Y96" s="65">
        <f>IF(L96=0,0,VLOOKUP(L96,装备拆分数值生成!$AK$58:$AV$107,6,0))+IF(N96=0,0,VLOOKUP(N96,装备拆分数值生成!$AK$58:$AV$107,8,0))</f>
        <v>223</v>
      </c>
      <c r="Z96" s="64"/>
      <c r="AA96" s="64"/>
      <c r="AB96" s="64"/>
      <c r="AC96" s="64"/>
      <c r="AD96" s="68">
        <f>VLOOKUP(D96,宠物成长生成表!$B$5:$J$103,3,0)*$AL$2*(VLOOKUP(E96,$AP$1:$AQ$6,2,0))</f>
        <v>1954.356</v>
      </c>
      <c r="AE96" s="68">
        <f>VLOOKUP(D96,宠物成长生成表!$B$5:$J$103,4,0)*$AL$3*(VLOOKUP(E96,$AP$1:$AQ$6,2,0))</f>
        <v>612.053</v>
      </c>
      <c r="AF96" s="68">
        <f>VLOOKUP(D96,宠物成长生成表!$B$5:$J$103,4,0)*$AL$4*(VLOOKUP(E96,$AP$1:$AQ$6,2,0))</f>
        <v>790.8549999999999</v>
      </c>
      <c r="AG96" s="68">
        <f>VLOOKUP(D96,宠物成长生成表!$B$5:$J$103,7,0)*$AL$5*(VLOOKUP(E96,$AP$1:$AQ$6,2,0))</f>
        <v>498.17999999999995</v>
      </c>
      <c r="AH96" s="64">
        <f>VLOOKUP(D96,宠物成长生成表!$B$5:$J$103,6,0)+VLOOKUP(E96,宠物升阶生成表!$B$6:$F$21,5,0)</f>
        <v>99</v>
      </c>
      <c r="AI96" s="64"/>
      <c r="AJ96" s="64"/>
      <c r="AK96" s="64"/>
      <c r="AL96" s="64"/>
      <c r="AM96" s="64"/>
      <c r="AN96" s="64"/>
      <c r="AO96" s="64"/>
      <c r="AP96" s="64"/>
      <c r="AQ96" s="64"/>
      <c r="AR96" s="64"/>
      <c r="AS96" s="65">
        <f t="shared" ref="AS96:AS99" si="29">V96+AD96</f>
        <v>2800.3559999999998</v>
      </c>
      <c r="AT96" s="65">
        <f t="shared" ref="AT96:AT99" si="30">W96+AE96</f>
        <v>827.053</v>
      </c>
      <c r="AU96" s="65">
        <f t="shared" ref="AU96:AU99" si="31">X96+AF96</f>
        <v>1331.855</v>
      </c>
      <c r="AV96" s="67">
        <f t="shared" ref="AV96:AV99" si="32">Y96+AG96</f>
        <v>721.18</v>
      </c>
      <c r="AW96" s="68"/>
      <c r="AX96" s="68"/>
      <c r="AY96" s="68"/>
      <c r="AZ96" s="68"/>
      <c r="BA96" s="68"/>
      <c r="BB96" s="68"/>
    </row>
    <row r="97" spans="2:54">
      <c r="B97" s="98"/>
      <c r="C97" s="68" t="s">
        <v>426</v>
      </c>
      <c r="D97" s="68">
        <v>15</v>
      </c>
      <c r="E97" s="92">
        <v>2</v>
      </c>
      <c r="F97" s="68"/>
      <c r="G97" s="68"/>
      <c r="H97" s="68">
        <v>17</v>
      </c>
      <c r="I97" s="68"/>
      <c r="J97" s="68">
        <v>9</v>
      </c>
      <c r="K97" s="68"/>
      <c r="L97" s="68">
        <v>8</v>
      </c>
      <c r="M97" s="68"/>
      <c r="N97" s="68">
        <v>9</v>
      </c>
      <c r="O97" s="68"/>
      <c r="P97" s="68">
        <v>12</v>
      </c>
      <c r="Q97" s="68"/>
      <c r="R97" s="68">
        <v>5</v>
      </c>
      <c r="S97" s="68"/>
      <c r="T97" s="68"/>
      <c r="U97" s="68"/>
      <c r="V97" s="69">
        <f>IF(J97=0,0,VLOOKUP(能力数值!J97,装备拆分数值生成!$AK$4:$AV$53,5,0))+IF(P97=0,0,VLOOKUP(能力数值!P97,装备拆分数值生成!$AK$4:$AV$53,9,0))+IF(R97=0,0,VLOOKUP(能力数值!R97,装备拆分数值生成!$AK$4:$AV$53,11,0))</f>
        <v>974</v>
      </c>
      <c r="W97" s="69">
        <f>IF(H97=0,0,VLOOKUP(能力数值!H97,装备拆分数值生成!$AK$4:$AV$53,3,0))+IF(N97=0,0,VLOOKUP(能力数值!N97,装备拆分数值生成!$AK$4:$AV$53,7,0))+IF(R97=0,0,VLOOKUP(能力数值!R97,装备拆分数值生成!$AK$4:$AV$53,12,0))</f>
        <v>560</v>
      </c>
      <c r="X97" s="69">
        <f>IF(H97=0,0,VLOOKUP(能力数值!H97,装备拆分数值生成!$AK$4:$AV$53,4,0))+IF(P97=0,0,VLOOKUP(能力数值!P97,装备拆分数值生成!$AK$4:$AV$53,10,0))</f>
        <v>236</v>
      </c>
      <c r="Y97" s="69">
        <f>IF(L97=0,0,VLOOKUP(能力数值!L97,装备拆分数值生成!$AK$4:$AV$53,6,0))+IF(N97=0,0,VLOOKUP(能力数值!N97,装备拆分数值生成!$AK$4:$AV$53,8,0))</f>
        <v>203</v>
      </c>
      <c r="Z97" s="68"/>
      <c r="AA97" s="68"/>
      <c r="AB97" s="68"/>
      <c r="AC97" s="68"/>
      <c r="AD97" s="68">
        <f>VLOOKUP(D97,宠物成长生成表!$B$5:$J$103,3,0)*$AO$2*(VLOOKUP(E97,$AP$1:$AQ$6,2,0))</f>
        <v>1905.2739999999999</v>
      </c>
      <c r="AE97" s="68">
        <f>VLOOKUP(D97,宠物成长生成表!$B$5:$J$103,4,0)*(VLOOKUP(E97,$AP$1:$AQ$6,2,0))</f>
        <v>670.44999999999993</v>
      </c>
      <c r="AF97" s="68">
        <f>VLOOKUP(D97,宠物成长生成表!$B$5:$J$103,4,0)*$AO$4*(VLOOKUP(E97,$AP$1:$AQ$6,2,0))</f>
        <v>596.70049999999992</v>
      </c>
      <c r="AG97" s="68">
        <f>VLOOKUP(D97,宠物成长生成表!$B$5:$J$103,7,0)*$AO$5*(VLOOKUP(E97,$AP$1:$AQ$6,2,0))</f>
        <v>485.94399999999996</v>
      </c>
      <c r="AH97" s="68">
        <f>VLOOKUP(D97,宠物成长生成表!$B$5:$J$103,6,0)+VLOOKUP(E97,宠物升阶生成表!$B$6:$F$21,5,0)</f>
        <v>98</v>
      </c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9">
        <f t="shared" si="29"/>
        <v>2879.2739999999999</v>
      </c>
      <c r="AT97" s="69">
        <f t="shared" si="30"/>
        <v>1230.4499999999998</v>
      </c>
      <c r="AU97" s="69">
        <f t="shared" si="31"/>
        <v>832.70049999999992</v>
      </c>
      <c r="AV97" s="71">
        <f t="shared" si="32"/>
        <v>688.94399999999996</v>
      </c>
      <c r="AW97" s="68"/>
      <c r="AX97" s="68"/>
      <c r="AY97" s="68"/>
      <c r="AZ97" s="68"/>
      <c r="BA97" s="68"/>
      <c r="BB97" s="68"/>
    </row>
    <row r="98" spans="2:54">
      <c r="B98" s="98"/>
      <c r="C98" s="68" t="s">
        <v>394</v>
      </c>
      <c r="D98" s="68">
        <v>13</v>
      </c>
      <c r="E98" s="92">
        <v>1</v>
      </c>
      <c r="F98" s="68"/>
      <c r="G98" s="68"/>
      <c r="H98" s="68">
        <v>14</v>
      </c>
      <c r="I98" s="68"/>
      <c r="J98" s="68">
        <v>9</v>
      </c>
      <c r="K98" s="68"/>
      <c r="L98" s="68">
        <v>10</v>
      </c>
      <c r="M98" s="68"/>
      <c r="N98" s="68">
        <v>9</v>
      </c>
      <c r="O98" s="68"/>
      <c r="P98" s="68">
        <v>4</v>
      </c>
      <c r="Q98" s="68"/>
      <c r="R98" s="68">
        <v>5</v>
      </c>
      <c r="S98" s="68"/>
      <c r="T98" s="68"/>
      <c r="U98" s="68"/>
      <c r="V98" s="69">
        <f>IF(J98=0,0,VLOOKUP(能力数值!J98,装备拆分数值生成!$AK$165:$AV$214,5,0))+IF(P98=0,0,VLOOKUP(能力数值!P98,装备拆分数值生成!$AK$165:$AV$214,9,0))+IF(R98=0,0,VLOOKUP(能力数值!R98,装备拆分数值生成!$AK$165:$AV$214,11,0))</f>
        <v>813</v>
      </c>
      <c r="W98" s="69">
        <f>IF(H98=0,0,VLOOKUP(能力数值!H98,装备拆分数值生成!$AK$165:$AV$214,3,0))</f>
        <v>254</v>
      </c>
      <c r="X98" s="69">
        <f>IF(H98=0,0,VLOOKUP(能力数值!H98,装备拆分数值生成!$AK$165:$AV$214,4,0))+IF(P98=0,0,VLOOKUP(能力数值!P98,装备拆分数值生成!$AK$165:$AV$214,10,0))</f>
        <v>300</v>
      </c>
      <c r="Y98" s="69">
        <f>IF(L98=0,0,VLOOKUP(能力数值!L98,装备拆分数值生成!$AK$165:$AV$214,6,0))+IF(N98=0,0,VLOOKUP(能力数值!N98,装备拆分数值生成!$AK$165:$AV$214,8,0))+IF(R98=0,0,VLOOKUP(能力数值!R98,装备拆分数值生成!$AK$165:$AV$214,12,0))</f>
        <v>270</v>
      </c>
      <c r="Z98" s="68"/>
      <c r="AA98" s="68"/>
      <c r="AB98" s="68"/>
      <c r="AC98" s="68"/>
      <c r="AD98" s="68">
        <f>VLOOKUP(D97,宠物成长生成表!$B$5:$J$103,3,0)*$AN$2*(VLOOKUP(E98,$AP$1:$AQ$6,2,0))</f>
        <v>2152.08</v>
      </c>
      <c r="AE98" s="68">
        <f>VLOOKUP(D97,宠物成长生成表!$B$5:$J$103,4,0)*$AN$3*(VLOOKUP(E98,$AP$1:$AQ$6,2,0))</f>
        <v>550.93500000000006</v>
      </c>
      <c r="AF98" s="68">
        <f>VLOOKUP(D97,宠物成长生成表!$B$5:$J$103,4,0)*$AN$4*(VLOOKUP(E98,$AP$1:$AQ$6,2,0))</f>
        <v>550.93500000000006</v>
      </c>
      <c r="AG98" s="68">
        <f>VLOOKUP(D97,宠物成长生成表!$B$5:$J$103,7,0)*$AN$5*(VLOOKUP(E98,$AP$1:$AQ$6,2,0))</f>
        <v>513.74400000000003</v>
      </c>
      <c r="AH98" s="68">
        <f>VLOOKUP(D98,宠物成长生成表!$B$5:$J$103,6,0)+VLOOKUP(E98,宠物升阶生成表!$B$6:$F$21,5,0)</f>
        <v>78</v>
      </c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9">
        <f t="shared" si="29"/>
        <v>2965.08</v>
      </c>
      <c r="AT98" s="69">
        <f t="shared" si="30"/>
        <v>804.93500000000006</v>
      </c>
      <c r="AU98" s="69">
        <f t="shared" si="31"/>
        <v>850.93500000000006</v>
      </c>
      <c r="AV98" s="71">
        <f t="shared" si="32"/>
        <v>783.74400000000003</v>
      </c>
      <c r="AW98" s="68"/>
      <c r="AX98" s="68"/>
      <c r="AY98" s="68"/>
      <c r="AZ98" s="68"/>
      <c r="BA98" s="68"/>
      <c r="BB98" s="68"/>
    </row>
    <row r="99" spans="2:54">
      <c r="B99" s="98"/>
      <c r="C99" s="68" t="s">
        <v>427</v>
      </c>
      <c r="D99" s="68">
        <v>11</v>
      </c>
      <c r="E99" s="92">
        <v>1</v>
      </c>
      <c r="F99" s="68"/>
      <c r="G99" s="68"/>
      <c r="H99" s="68">
        <v>11</v>
      </c>
      <c r="I99" s="68"/>
      <c r="J99" s="68">
        <v>12</v>
      </c>
      <c r="K99" s="68"/>
      <c r="L99" s="88">
        <v>17</v>
      </c>
      <c r="M99" s="68"/>
      <c r="N99" s="68"/>
      <c r="O99" s="68"/>
      <c r="P99" s="68"/>
      <c r="Q99" s="68"/>
      <c r="R99" s="68"/>
      <c r="S99" s="68"/>
      <c r="T99" s="68"/>
      <c r="U99" s="68"/>
      <c r="V99" s="69">
        <f>IF(J99=0,0,VLOOKUP(能力数值!J99,装备拆分数值生成!$AK$112:$AV$161,5,0))+IF(P99=0,0,VLOOKUP(能力数值!P99,装备拆分数值生成!$AK$112:$AV$161,5,0))+IF(R99=0,0,VLOOKUP(能力数值!R99,装备拆分数值生成!$AK$112:$AV$161,11,0))</f>
        <v>880</v>
      </c>
      <c r="W99" s="69">
        <f>IF(H99=0,0,VLOOKUP(能力数值!H99,装备拆分数值生成!$AK$112:$AV$161,3,0))</f>
        <v>192</v>
      </c>
      <c r="X99" s="69">
        <f>IF(H99=0,0,VLOOKUP(能力数值!H99,装备拆分数值生成!$AK$112:$AV$161,4,0))</f>
        <v>192</v>
      </c>
      <c r="Y99" s="69">
        <f>IF(L99=0,0,VLOOKUP(能力数值!L99,装备拆分数值生成!$AK$112:$AV$161,6,0))+IF(N99=0,0,VLOOKUP(能力数值!N99,装备拆分数值生成!$AK$112:$AV$161,8,0))+IF(R99=0,0,VLOOKUP(能力数值!R99,装备拆分数值生成!$AK$112:$AV$161,12,0))</f>
        <v>285</v>
      </c>
      <c r="Z99" s="68"/>
      <c r="AA99" s="68"/>
      <c r="AB99" s="68"/>
      <c r="AC99" s="68"/>
      <c r="AD99" s="68">
        <f>VLOOKUP(D99,宠物成长生成表!$B$5:$J$103,3,0)*$AM$2*(VLOOKUP(E99,$AP$1:$AQ$6,2,0))</f>
        <v>2091.1800000000003</v>
      </c>
      <c r="AE99" s="68">
        <f>VLOOKUP(D99,宠物成长生成表!$B$5:$J$103,4,0)*$AM$3*(VLOOKUP(E99,$AP$1:$AQ$6,2,0))</f>
        <v>439.32000000000005</v>
      </c>
      <c r="AF99" s="68">
        <f>VLOOKUP(D99,宠物成长生成表!$B$5:$J$103,4,0)*$AM$4*(VLOOKUP(E99,$AP$1:$AQ$6,2,0))</f>
        <v>439.32000000000005</v>
      </c>
      <c r="AG99" s="68">
        <f>VLOOKUP(D99,宠物成长生成表!$B$5:$J$103,7,0)*$AM$5*(VLOOKUP(E99,$AP$1:$AQ$6,2,0))</f>
        <v>690.22800000000007</v>
      </c>
      <c r="AH99" s="68">
        <f>VLOOKUP(D99,宠物成长生成表!$B$5:$J$103,6,0)+VLOOKUP(E99,宠物升阶生成表!$B$6:$F$21,5,0)</f>
        <v>76</v>
      </c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9">
        <f t="shared" si="29"/>
        <v>2971.1800000000003</v>
      </c>
      <c r="AT99" s="69">
        <f t="shared" si="30"/>
        <v>631.32000000000005</v>
      </c>
      <c r="AU99" s="69">
        <f t="shared" si="31"/>
        <v>631.32000000000005</v>
      </c>
      <c r="AV99" s="71">
        <f t="shared" si="32"/>
        <v>975.22800000000007</v>
      </c>
      <c r="AW99" s="68"/>
      <c r="AX99" s="68"/>
      <c r="AY99" s="68"/>
      <c r="AZ99" s="68"/>
      <c r="BA99" s="68"/>
      <c r="BB99" s="68"/>
    </row>
    <row r="100" spans="2:54" ht="17.25" thickBot="1">
      <c r="B100" s="99"/>
      <c r="C100" s="72" t="s">
        <v>425</v>
      </c>
      <c r="D100" s="72">
        <v>7</v>
      </c>
      <c r="E100" s="93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69"/>
      <c r="W100" s="69"/>
      <c r="X100" s="69"/>
      <c r="Y100" s="69"/>
      <c r="Z100" s="72"/>
      <c r="AA100" s="72"/>
      <c r="AB100" s="72"/>
      <c r="AC100" s="72"/>
      <c r="AD100" s="72">
        <f>VLOOKUP(D100,宠物成长生成表!$B$5:$J$103,3,0)*$AL$2*(VLOOKUP(E100,$AP$1:$AQ$6,2,0))</f>
        <v>1314.35</v>
      </c>
      <c r="AE100" s="72">
        <f>VLOOKUP(D100,宠物成长生成表!$B$5:$J$103,4,0)*$AL$3*(VLOOKUP(E100,$AP$1:$AQ$6,2,0))</f>
        <v>411.18</v>
      </c>
      <c r="AF100" s="72">
        <f>VLOOKUP(D100,宠物成长生成表!$B$5:$J$103,4,0)*$AL$4*(VLOOKUP(E100,$AP$1:$AQ$6,2,0))</f>
        <v>531.29999999999995</v>
      </c>
      <c r="AG100" s="72">
        <f>VLOOKUP(D100,宠物成长生成表!$B$5:$J$103,7,0)*$AL$5*(VLOOKUP(E100,$AP$1:$AQ$6,2,0))</f>
        <v>335.16</v>
      </c>
      <c r="AH100" s="68">
        <f>VLOOKUP(D100,宠物成长生成表!$B$5:$J$103,6,0)+VLOOKUP(E100,宠物升阶生成表!$B$6:$F$21,5,0)</f>
        <v>61</v>
      </c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8"/>
      <c r="AW100" s="68"/>
      <c r="AX100" s="68"/>
      <c r="AY100" s="68"/>
      <c r="AZ100" s="68"/>
      <c r="BA100" s="68"/>
      <c r="BB100" s="68"/>
    </row>
    <row r="101" spans="2:54">
      <c r="B101" s="97" t="s">
        <v>440</v>
      </c>
      <c r="C101" s="64" t="s">
        <v>428</v>
      </c>
      <c r="D101" s="64">
        <v>15</v>
      </c>
      <c r="E101" s="91">
        <v>1</v>
      </c>
      <c r="F101" s="64"/>
      <c r="G101" s="64"/>
      <c r="H101" s="89">
        <v>15</v>
      </c>
      <c r="I101" s="64"/>
      <c r="J101" s="64">
        <v>9</v>
      </c>
      <c r="K101" s="64"/>
      <c r="L101" s="64">
        <v>11</v>
      </c>
      <c r="M101" s="64"/>
      <c r="N101" s="64">
        <v>6</v>
      </c>
      <c r="O101" s="64"/>
      <c r="P101" s="64">
        <v>6</v>
      </c>
      <c r="Q101" s="64"/>
      <c r="R101" s="64">
        <v>5</v>
      </c>
      <c r="S101" s="64"/>
      <c r="T101" s="64"/>
      <c r="U101" s="64"/>
      <c r="V101" s="65">
        <f>IF(J101=0,0,VLOOKUP(能力数值!J101,装备拆分数值生成!$AK$58:$AV$107,5,0))+IF(P101=0,0,VLOOKUP(P101,装备拆分数值生成!$AK$58:$AV$107,9,0))+IF(R101=0,0,VLOOKUP(R101,装备拆分数值生成!$AK$58:$AV$107,11,0))</f>
        <v>846</v>
      </c>
      <c r="W101" s="65">
        <f>IF(H101=0,0,VLOOKUP(H101,装备拆分数值生成!$AK$58:$AV$107,3,0))+IF(P101=0,0,VLOOKUP(P101,装备拆分数值生成!$AK$58:$AV$107,10,0))</f>
        <v>205</v>
      </c>
      <c r="X101" s="65">
        <f>IF(H101=0,0,VLOOKUP(H101,装备拆分数值生成!$AK$58:$AV$107,4,0))+IF(N101=0,0,VLOOKUP(N101,装备拆分数值生成!$AK$58:$AV$107,7,0))+IF(R101=0,0,VLOOKUP(R101,装备拆分数值生成!$AK$58:$AV$107,12,0))</f>
        <v>512</v>
      </c>
      <c r="Y101" s="65">
        <f>IF(L101=0,0,VLOOKUP(L101,装备拆分数值生成!$AK$58:$AV$107,6,0))+IF(N101=0,0,VLOOKUP(N101,装备拆分数值生成!$AK$58:$AV$107,8,0))</f>
        <v>209</v>
      </c>
      <c r="Z101" s="64"/>
      <c r="AA101" s="64"/>
      <c r="AB101" s="64"/>
      <c r="AC101" s="64"/>
      <c r="AD101" s="68">
        <f>VLOOKUP(D101,宠物成长生成表!$B$5:$J$103,3,0)*$AL$2*(VLOOKUP(E101,$AP$1:$AQ$6,2,0))</f>
        <v>1739.598</v>
      </c>
      <c r="AE101" s="68">
        <f>VLOOKUP(D101,宠物成长生成表!$B$5:$J$103,4,0)*$AL$3*(VLOOKUP(E101,$AP$1:$AQ$6,2,0))</f>
        <v>544.81349999999998</v>
      </c>
      <c r="AF101" s="68">
        <f>VLOOKUP(D101,宠物成长生成表!$B$5:$J$103,4,0)*$AL$4*(VLOOKUP(E101,$AP$1:$AQ$6,2,0))</f>
        <v>703.97249999999997</v>
      </c>
      <c r="AG101" s="68">
        <f>VLOOKUP(D101,宠物成长生成表!$B$5:$J$103,7,0)*$AL$5*(VLOOKUP(E101,$AP$1:$AQ$6,2,0))</f>
        <v>443.68800000000005</v>
      </c>
      <c r="AH101" s="64">
        <f>VLOOKUP(D101,宠物成长生成表!$B$5:$J$103,6,0)+VLOOKUP(E101,宠物升阶生成表!$B$6:$F$21,5,0)</f>
        <v>80</v>
      </c>
      <c r="AI101" s="64"/>
      <c r="AJ101" s="64"/>
      <c r="AK101" s="64"/>
      <c r="AL101" s="64"/>
      <c r="AM101" s="64"/>
      <c r="AN101" s="64"/>
      <c r="AO101" s="64"/>
      <c r="AP101" s="64"/>
      <c r="AQ101" s="64"/>
      <c r="AR101" s="64"/>
      <c r="AS101" s="65">
        <f t="shared" ref="AS101:AS104" si="33">V101+AD101</f>
        <v>2585.598</v>
      </c>
      <c r="AT101" s="65">
        <f t="shared" ref="AT101:AT104" si="34">W101+AE101</f>
        <v>749.81349999999998</v>
      </c>
      <c r="AU101" s="65">
        <f t="shared" ref="AU101:AU104" si="35">X101+AF101</f>
        <v>1215.9724999999999</v>
      </c>
      <c r="AV101" s="67">
        <f t="shared" ref="AV101:AV104" si="36">Y101+AG101</f>
        <v>652.6880000000001</v>
      </c>
      <c r="AW101" s="68"/>
      <c r="AX101" s="68"/>
      <c r="AY101" s="68"/>
      <c r="AZ101" s="68"/>
      <c r="BA101" s="68"/>
      <c r="BB101" s="68"/>
    </row>
    <row r="102" spans="2:54">
      <c r="B102" s="98"/>
      <c r="C102" s="68" t="s">
        <v>426</v>
      </c>
      <c r="D102" s="68">
        <v>15</v>
      </c>
      <c r="E102" s="92">
        <v>1</v>
      </c>
      <c r="F102" s="68"/>
      <c r="G102" s="68"/>
      <c r="H102" s="68">
        <v>12</v>
      </c>
      <c r="I102" s="68"/>
      <c r="J102" s="68">
        <v>9</v>
      </c>
      <c r="K102" s="68"/>
      <c r="L102" s="68">
        <v>8</v>
      </c>
      <c r="M102" s="68"/>
      <c r="N102" s="68">
        <v>6</v>
      </c>
      <c r="O102" s="68"/>
      <c r="P102" s="68">
        <v>12</v>
      </c>
      <c r="Q102" s="68"/>
      <c r="R102" s="68"/>
      <c r="S102" s="68"/>
      <c r="T102" s="68"/>
      <c r="U102" s="68"/>
      <c r="V102" s="69">
        <f>IF(J102=0,0,VLOOKUP(能力数值!J102,装备拆分数值生成!$AK$4:$AV$53,5,0))+IF(P102=0,0,VLOOKUP(能力数值!P102,装备拆分数值生成!$AK$4:$AV$53,9,0))+IF(R102=0,0,VLOOKUP(能力数值!R102,装备拆分数值生成!$AK$4:$AV$53,11,0))</f>
        <v>901</v>
      </c>
      <c r="W102" s="69">
        <f>IF(H102=0,0,VLOOKUP(能力数值!H102,装备拆分数值生成!$AK$4:$AV$53,3,0))+IF(N102=0,0,VLOOKUP(能力数值!N102,装备拆分数值生成!$AK$4:$AV$53,7,0))+IF(R102=0,0,VLOOKUP(能力数值!R102,装备拆分数值生成!$AK$4:$AV$53,12,0))</f>
        <v>353</v>
      </c>
      <c r="X102" s="69">
        <f>IF(H102=0,0,VLOOKUP(能力数值!H102,装备拆分数值生成!$AK$4:$AV$53,4,0))+IF(P102=0,0,VLOOKUP(能力数值!P102,装备拆分数值生成!$AK$4:$AV$53,10,0))</f>
        <v>187</v>
      </c>
      <c r="Y102" s="69">
        <f>IF(L102=0,0,VLOOKUP(能力数值!L102,装备拆分数值生成!$AK$4:$AV$53,6,0))+IF(N102=0,0,VLOOKUP(能力数值!N102,装备拆分数值生成!$AK$4:$AV$53,8,0))</f>
        <v>189</v>
      </c>
      <c r="Z102" s="68"/>
      <c r="AA102" s="68"/>
      <c r="AB102" s="68"/>
      <c r="AC102" s="68"/>
      <c r="AD102" s="68">
        <f>VLOOKUP(D102,宠物成长生成表!$B$5:$J$103,3,0)*$AO$2*(VLOOKUP(E102,$AP$1:$AQ$6,2,0))</f>
        <v>1739.598</v>
      </c>
      <c r="AE102" s="68">
        <f>VLOOKUP(D102,宠物成长生成表!$B$5:$J$103,4,0)*(VLOOKUP(E102,$AP$1:$AQ$6,2,0))</f>
        <v>612.15</v>
      </c>
      <c r="AF102" s="68">
        <f>VLOOKUP(D102,宠物成长生成表!$B$5:$J$103,4,0)*$AO$4*(VLOOKUP(E102,$AP$1:$AQ$6,2,0))</f>
        <v>544.81349999999998</v>
      </c>
      <c r="AG102" s="68">
        <f>VLOOKUP(D102,宠物成长生成表!$B$5:$J$103,7,0)*$AO$5*(VLOOKUP(E102,$AP$1:$AQ$6,2,0))</f>
        <v>443.68800000000005</v>
      </c>
      <c r="AH102" s="68">
        <f>VLOOKUP(D102,宠物成长生成表!$B$5:$J$103,6,0)+VLOOKUP(E102,宠物升阶生成表!$B$6:$F$21,5,0)</f>
        <v>80</v>
      </c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9">
        <f t="shared" si="33"/>
        <v>2640.598</v>
      </c>
      <c r="AT102" s="69">
        <f t="shared" si="34"/>
        <v>965.15</v>
      </c>
      <c r="AU102" s="69">
        <f t="shared" si="35"/>
        <v>731.81349999999998</v>
      </c>
      <c r="AV102" s="71">
        <f t="shared" si="36"/>
        <v>632.6880000000001</v>
      </c>
      <c r="AW102" s="68"/>
      <c r="AX102" s="68"/>
      <c r="AY102" s="68"/>
      <c r="AZ102" s="68"/>
      <c r="BA102" s="68"/>
      <c r="BB102" s="68"/>
    </row>
    <row r="103" spans="2:54">
      <c r="B103" s="98"/>
      <c r="C103" s="68" t="s">
        <v>394</v>
      </c>
      <c r="D103" s="68">
        <v>13</v>
      </c>
      <c r="E103" s="92">
        <v>1</v>
      </c>
      <c r="F103" s="68"/>
      <c r="G103" s="68"/>
      <c r="H103" s="68">
        <v>14</v>
      </c>
      <c r="I103" s="68"/>
      <c r="J103" s="68">
        <v>9</v>
      </c>
      <c r="K103" s="68"/>
      <c r="L103" s="68">
        <v>10</v>
      </c>
      <c r="M103" s="68"/>
      <c r="N103" s="68">
        <v>7</v>
      </c>
      <c r="O103" s="68"/>
      <c r="P103" s="68">
        <v>5</v>
      </c>
      <c r="Q103" s="68"/>
      <c r="R103" s="68"/>
      <c r="S103" s="68"/>
      <c r="T103" s="68"/>
      <c r="U103" s="68"/>
      <c r="V103" s="69">
        <f>IF(J103=0,0,VLOOKUP(能力数值!J103,装备拆分数值生成!$AK$165:$AV$214,5,0))+IF(P103=0,0,VLOOKUP(能力数值!P103,装备拆分数值生成!$AK$165:$AV$214,9,0))+IF(R103=0,0,VLOOKUP(能力数值!R103,装备拆分数值生成!$AK$165:$AV$214,11,0))</f>
        <v>681</v>
      </c>
      <c r="W103" s="69">
        <f>IF(H103=0,0,VLOOKUP(能力数值!H103,装备拆分数值生成!$AK$165:$AV$214,3,0))</f>
        <v>254</v>
      </c>
      <c r="X103" s="69">
        <f>IF(H103=0,0,VLOOKUP(能力数值!H103,装备拆分数值生成!$AK$165:$AV$214,4,0))+IF(P103=0,0,VLOOKUP(能力数值!P103,装备拆分数值生成!$AK$165:$AV$214,10,0))</f>
        <v>304</v>
      </c>
      <c r="Y103" s="69">
        <f>IF(L103=0,0,VLOOKUP(能力数值!L103,装备拆分数值生成!$AK$165:$AV$214,6,0))+IF(N103=0,0,VLOOKUP(能力数值!N103,装备拆分数值生成!$AK$165:$AV$214,8,0))+IF(R103=0,0,VLOOKUP(能力数值!R103,装备拆分数值生成!$AK$165:$AV$214,12,0))</f>
        <v>237</v>
      </c>
      <c r="Z103" s="68"/>
      <c r="AA103" s="68"/>
      <c r="AB103" s="68"/>
      <c r="AC103" s="68"/>
      <c r="AD103" s="68">
        <f>VLOOKUP(D102,宠物成长生成表!$B$5:$J$103,3,0)*$AN$2*(VLOOKUP(E103,$AP$1:$AQ$6,2,0))</f>
        <v>2152.08</v>
      </c>
      <c r="AE103" s="68">
        <f>VLOOKUP(D102,宠物成长生成表!$B$5:$J$103,4,0)*$AN$3*(VLOOKUP(E103,$AP$1:$AQ$6,2,0))</f>
        <v>550.93500000000006</v>
      </c>
      <c r="AF103" s="68">
        <f>VLOOKUP(D102,宠物成长生成表!$B$5:$J$103,4,0)*$AN$4*(VLOOKUP(E103,$AP$1:$AQ$6,2,0))</f>
        <v>550.93500000000006</v>
      </c>
      <c r="AG103" s="68">
        <f>VLOOKUP(D102,宠物成长生成表!$B$5:$J$103,7,0)*$AN$5*(VLOOKUP(E103,$AP$1:$AQ$6,2,0))</f>
        <v>513.74400000000003</v>
      </c>
      <c r="AH103" s="68">
        <f>VLOOKUP(D103,宠物成长生成表!$B$5:$J$103,6,0)+VLOOKUP(E103,宠物升阶生成表!$B$6:$F$21,5,0)</f>
        <v>78</v>
      </c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9">
        <f t="shared" si="33"/>
        <v>2833.08</v>
      </c>
      <c r="AT103" s="69">
        <f t="shared" si="34"/>
        <v>804.93500000000006</v>
      </c>
      <c r="AU103" s="69">
        <f t="shared" si="35"/>
        <v>854.93500000000006</v>
      </c>
      <c r="AV103" s="71">
        <f t="shared" si="36"/>
        <v>750.74400000000003</v>
      </c>
      <c r="AW103" s="68"/>
      <c r="AX103" s="68"/>
      <c r="AY103" s="68"/>
      <c r="AZ103" s="68"/>
      <c r="BA103" s="68"/>
      <c r="BB103" s="68"/>
    </row>
    <row r="104" spans="2:54">
      <c r="B104" s="98"/>
      <c r="C104" s="68" t="s">
        <v>427</v>
      </c>
      <c r="D104" s="68">
        <v>11</v>
      </c>
      <c r="E104" s="92"/>
      <c r="F104" s="68"/>
      <c r="G104" s="68"/>
      <c r="H104" s="68">
        <v>11</v>
      </c>
      <c r="I104" s="68"/>
      <c r="J104" s="68">
        <v>12</v>
      </c>
      <c r="K104" s="68"/>
      <c r="L104" s="88">
        <v>15</v>
      </c>
      <c r="M104" s="68"/>
      <c r="N104" s="68"/>
      <c r="O104" s="68"/>
      <c r="P104" s="68"/>
      <c r="Q104" s="68"/>
      <c r="R104" s="68"/>
      <c r="S104" s="68"/>
      <c r="T104" s="68"/>
      <c r="U104" s="68"/>
      <c r="V104" s="69">
        <f>IF(J104=0,0,VLOOKUP(能力数值!J104,装备拆分数值生成!$AK$112:$AV$161,5,0))+IF(P104=0,0,VLOOKUP(能力数值!P104,装备拆分数值生成!$AK$112:$AV$161,5,0))+IF(R104=0,0,VLOOKUP(能力数值!R104,装备拆分数值生成!$AK$112:$AV$161,11,0))</f>
        <v>880</v>
      </c>
      <c r="W104" s="69">
        <f>IF(H104=0,0,VLOOKUP(能力数值!H104,装备拆分数值生成!$AK$112:$AV$161,3,0))</f>
        <v>192</v>
      </c>
      <c r="X104" s="69">
        <f>IF(H104=0,0,VLOOKUP(能力数值!H104,装备拆分数值生成!$AK$112:$AV$161,4,0))</f>
        <v>192</v>
      </c>
      <c r="Y104" s="69">
        <f>IF(L104=0,0,VLOOKUP(能力数值!L104,装备拆分数值生成!$AK$112:$AV$161,6,0))+IF(N104=0,0,VLOOKUP(能力数值!N104,装备拆分数值生成!$AK$112:$AV$161,8,0))+IF(R104=0,0,VLOOKUP(能力数值!R104,装备拆分数值生成!$AK$112:$AV$161,12,0))</f>
        <v>257</v>
      </c>
      <c r="Z104" s="68"/>
      <c r="AA104" s="68"/>
      <c r="AB104" s="68"/>
      <c r="AC104" s="68"/>
      <c r="AD104" s="68">
        <f>VLOOKUP(D104,宠物成长生成表!$B$5:$J$103,3,0)*$AM$2*(VLOOKUP(E104,$AP$1:$AQ$6,2,0))</f>
        <v>1991.6000000000001</v>
      </c>
      <c r="AE104" s="68">
        <f>VLOOKUP(D104,宠物成长生成表!$B$5:$J$103,4,0)*$AM$3*(VLOOKUP(E104,$AP$1:$AQ$6,2,0))</f>
        <v>418.40000000000003</v>
      </c>
      <c r="AF104" s="68">
        <f>VLOOKUP(D104,宠物成长生成表!$B$5:$J$103,4,0)*$AM$4*(VLOOKUP(E104,$AP$1:$AQ$6,2,0))</f>
        <v>418.40000000000003</v>
      </c>
      <c r="AG104" s="68">
        <f>VLOOKUP(D104,宠物成长生成表!$B$5:$J$103,7,0)*$AM$5*(VLOOKUP(E104,$AP$1:$AQ$6,2,0))</f>
        <v>657.36</v>
      </c>
      <c r="AH104" s="68">
        <f>VLOOKUP(D104,宠物成长生成表!$B$5:$J$103,6,0)+VLOOKUP(E104,宠物升阶生成表!$B$6:$F$21,5,0)</f>
        <v>66</v>
      </c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9">
        <f t="shared" si="33"/>
        <v>2871.6000000000004</v>
      </c>
      <c r="AT104" s="69">
        <f t="shared" si="34"/>
        <v>610.40000000000009</v>
      </c>
      <c r="AU104" s="69">
        <f t="shared" si="35"/>
        <v>610.40000000000009</v>
      </c>
      <c r="AV104" s="71">
        <f t="shared" si="36"/>
        <v>914.36</v>
      </c>
      <c r="AW104" s="68"/>
      <c r="AX104" s="68"/>
      <c r="AY104" s="68"/>
      <c r="AZ104" s="68"/>
      <c r="BA104" s="68"/>
      <c r="BB104" s="68"/>
    </row>
    <row r="105" spans="2:54" ht="17.25" thickBot="1">
      <c r="B105" s="99"/>
      <c r="C105" s="72" t="s">
        <v>425</v>
      </c>
      <c r="D105" s="72">
        <v>7</v>
      </c>
      <c r="E105" s="93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69"/>
      <c r="W105" s="69"/>
      <c r="X105" s="69"/>
      <c r="Y105" s="69"/>
      <c r="Z105" s="72"/>
      <c r="AA105" s="72"/>
      <c r="AB105" s="72"/>
      <c r="AC105" s="72"/>
      <c r="AD105" s="72">
        <f>VLOOKUP(D105,宠物成长生成表!$B$5:$J$103,3,0)*$AL$2*(VLOOKUP(E105,$AP$1:$AQ$6,2,0))</f>
        <v>1314.35</v>
      </c>
      <c r="AE105" s="72">
        <f>VLOOKUP(D105,宠物成长生成表!$B$5:$J$103,4,0)*$AL$3*(VLOOKUP(E105,$AP$1:$AQ$6,2,0))</f>
        <v>411.18</v>
      </c>
      <c r="AF105" s="72">
        <f>VLOOKUP(D105,宠物成长生成表!$B$5:$J$103,4,0)*$AL$4*(VLOOKUP(E105,$AP$1:$AQ$6,2,0))</f>
        <v>531.29999999999995</v>
      </c>
      <c r="AG105" s="72">
        <f>VLOOKUP(D105,宠物成长生成表!$B$5:$J$103,7,0)*$AL$5*(VLOOKUP(E105,$AP$1:$AQ$6,2,0))</f>
        <v>335.16</v>
      </c>
      <c r="AH105" s="68">
        <f>VLOOKUP(D105,宠物成长生成表!$B$5:$J$103,6,0)+VLOOKUP(E105,宠物升阶生成表!$B$6:$F$21,5,0)</f>
        <v>61</v>
      </c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8"/>
      <c r="AW105" s="68"/>
      <c r="AX105" s="68"/>
      <c r="AY105" s="68"/>
      <c r="AZ105" s="68"/>
      <c r="BA105" s="68"/>
      <c r="BB105" s="68"/>
    </row>
    <row r="106" spans="2:54">
      <c r="B106" s="97" t="s">
        <v>441</v>
      </c>
      <c r="C106" s="64" t="s">
        <v>428</v>
      </c>
      <c r="D106" s="64">
        <v>16</v>
      </c>
      <c r="E106" s="91">
        <v>2</v>
      </c>
      <c r="F106" s="64"/>
      <c r="G106" s="64"/>
      <c r="H106" s="89">
        <v>16</v>
      </c>
      <c r="I106" s="64"/>
      <c r="J106" s="64">
        <v>9</v>
      </c>
      <c r="K106" s="64"/>
      <c r="L106" s="64">
        <v>11</v>
      </c>
      <c r="M106" s="64"/>
      <c r="N106" s="64">
        <v>6</v>
      </c>
      <c r="O106" s="64"/>
      <c r="P106" s="64">
        <v>6</v>
      </c>
      <c r="Q106" s="64"/>
      <c r="R106" s="64">
        <v>5</v>
      </c>
      <c r="S106" s="64"/>
      <c r="T106" s="64"/>
      <c r="U106" s="64"/>
      <c r="V106" s="65">
        <f>IF(J106=0,0,VLOOKUP(能力数值!J106,装备拆分数值生成!$AK$58:$AV$107,5,0))+IF(P106=0,0,VLOOKUP(P106,装备拆分数值生成!$AK$58:$AV$107,9,0))+IF(R106=0,0,VLOOKUP(R106,装备拆分数值生成!$AK$58:$AV$107,11,0))</f>
        <v>846</v>
      </c>
      <c r="W106" s="65">
        <f>IF(H106=0,0,VLOOKUP(H106,装备拆分数值生成!$AK$58:$AV$107,3,0))+IF(P106=0,0,VLOOKUP(P106,装备拆分数值生成!$AK$58:$AV$107,10,0))</f>
        <v>215</v>
      </c>
      <c r="X106" s="65">
        <f>IF(H106=0,0,VLOOKUP(H106,装备拆分数值生成!$AK$58:$AV$107,4,0))+IF(N106=0,0,VLOOKUP(N106,装备拆分数值生成!$AK$58:$AV$107,7,0))+IF(R106=0,0,VLOOKUP(R106,装备拆分数值生成!$AK$58:$AV$107,12,0))</f>
        <v>532</v>
      </c>
      <c r="Y106" s="65">
        <f>IF(L106=0,0,VLOOKUP(L106,装备拆分数值生成!$AK$58:$AV$107,6,0))+IF(N106=0,0,VLOOKUP(N106,装备拆分数值生成!$AK$58:$AV$107,8,0))</f>
        <v>209</v>
      </c>
      <c r="Z106" s="64"/>
      <c r="AA106" s="64"/>
      <c r="AB106" s="64"/>
      <c r="AC106" s="64"/>
      <c r="AD106" s="68">
        <f>VLOOKUP(D106,宠物成长生成表!$B$5:$J$103,3,0)*$AL$2*(VLOOKUP(E106,$AP$1:$AQ$6,2,0))</f>
        <v>1954.356</v>
      </c>
      <c r="AE106" s="68">
        <f>VLOOKUP(D106,宠物成长生成表!$B$5:$J$103,4,0)*$AL$3*(VLOOKUP(E106,$AP$1:$AQ$6,2,0))</f>
        <v>612.053</v>
      </c>
      <c r="AF106" s="68">
        <f>VLOOKUP(D106,宠物成长生成表!$B$5:$J$103,4,0)*$AL$4*(VLOOKUP(E106,$AP$1:$AQ$6,2,0))</f>
        <v>790.8549999999999</v>
      </c>
      <c r="AG106" s="68">
        <f>VLOOKUP(D106,宠物成长生成表!$B$5:$J$103,7,0)*$AL$5*(VLOOKUP(E106,$AP$1:$AQ$6,2,0))</f>
        <v>498.17999999999995</v>
      </c>
      <c r="AH106" s="64">
        <f>VLOOKUP(D106,宠物成长生成表!$B$5:$J$103,6,0)+VLOOKUP(E106,宠物升阶生成表!$B$6:$F$21,5,0)</f>
        <v>99</v>
      </c>
      <c r="AI106" s="64"/>
      <c r="AJ106" s="64"/>
      <c r="AK106" s="64"/>
      <c r="AL106" s="64"/>
      <c r="AM106" s="64"/>
      <c r="AN106" s="64"/>
      <c r="AO106" s="64"/>
      <c r="AP106" s="64"/>
      <c r="AQ106" s="64"/>
      <c r="AR106" s="64"/>
      <c r="AS106" s="65">
        <f t="shared" ref="AS106:AS109" si="37">V106+AD106</f>
        <v>2800.3559999999998</v>
      </c>
      <c r="AT106" s="65">
        <f t="shared" ref="AT106:AT109" si="38">W106+AE106</f>
        <v>827.053</v>
      </c>
      <c r="AU106" s="65">
        <f t="shared" ref="AU106:AU109" si="39">X106+AF106</f>
        <v>1322.855</v>
      </c>
      <c r="AV106" s="67">
        <f t="shared" ref="AV106:AV109" si="40">Y106+AG106</f>
        <v>707.18</v>
      </c>
      <c r="AW106" s="68"/>
      <c r="AX106" s="68"/>
      <c r="AY106" s="68"/>
      <c r="AZ106" s="68"/>
      <c r="BA106" s="68"/>
      <c r="BB106" s="68"/>
    </row>
    <row r="107" spans="2:54">
      <c r="B107" s="98"/>
      <c r="C107" s="68" t="s">
        <v>426</v>
      </c>
      <c r="D107" s="68">
        <v>15</v>
      </c>
      <c r="E107" s="92">
        <v>1</v>
      </c>
      <c r="F107" s="68"/>
      <c r="G107" s="68"/>
      <c r="H107" s="68">
        <v>18</v>
      </c>
      <c r="I107" s="68"/>
      <c r="J107" s="68">
        <v>9</v>
      </c>
      <c r="K107" s="68"/>
      <c r="L107" s="68">
        <v>8</v>
      </c>
      <c r="M107" s="68"/>
      <c r="N107" s="68">
        <v>6</v>
      </c>
      <c r="O107" s="68"/>
      <c r="P107" s="68">
        <v>12</v>
      </c>
      <c r="Q107" s="68"/>
      <c r="R107" s="68">
        <v>4</v>
      </c>
      <c r="S107" s="68"/>
      <c r="T107" s="68"/>
      <c r="U107" s="68"/>
      <c r="V107" s="69">
        <f>IF(J107=0,0,VLOOKUP(能力数值!J107,装备拆分数值生成!$AK$4:$AV$53,5,0))+IF(P107=0,0,VLOOKUP(能力数值!P107,装备拆分数值生成!$AK$4:$AV$53,9,0))+IF(R107=0,0,VLOOKUP(能力数值!R107,装备拆分数值生成!$AK$4:$AV$53,11,0))</f>
        <v>969</v>
      </c>
      <c r="W107" s="69">
        <f>IF(H107=0,0,VLOOKUP(能力数值!H107,装备拆分数值生成!$AK$4:$AV$53,3,0))+IF(N107=0,0,VLOOKUP(能力数值!N107,装备拆分数值生成!$AK$4:$AV$53,7,0))+IF(R107=0,0,VLOOKUP(能力数值!R107,装备拆分数值生成!$AK$4:$AV$53,12,0))</f>
        <v>564</v>
      </c>
      <c r="X107" s="69">
        <f>IF(H107=0,0,VLOOKUP(能力数值!H107,装备拆分数值生成!$AK$4:$AV$53,4,0))+IF(P107=0,0,VLOOKUP(能力数值!P107,装备拆分数值生成!$AK$4:$AV$53,10,0))</f>
        <v>246</v>
      </c>
      <c r="Y107" s="69">
        <f>IF(L107=0,0,VLOOKUP(能力数值!L107,装备拆分数值生成!$AK$4:$AV$53,6,0))+IF(N107=0,0,VLOOKUP(能力数值!N107,装备拆分数值生成!$AK$4:$AV$53,8,0))</f>
        <v>189</v>
      </c>
      <c r="Z107" s="68"/>
      <c r="AA107" s="68"/>
      <c r="AB107" s="68"/>
      <c r="AC107" s="68"/>
      <c r="AD107" s="68">
        <f>VLOOKUP(D107,宠物成长生成表!$B$5:$J$103,3,0)*$AO$2*(VLOOKUP(E107,$AP$1:$AQ$6,2,0))</f>
        <v>1739.598</v>
      </c>
      <c r="AE107" s="68">
        <f>VLOOKUP(D107,宠物成长生成表!$B$5:$J$103,4,0)*(VLOOKUP(E107,$AP$1:$AQ$6,2,0))</f>
        <v>612.15</v>
      </c>
      <c r="AF107" s="68">
        <f>VLOOKUP(D107,宠物成长生成表!$B$5:$J$103,4,0)*$AO$4*(VLOOKUP(E107,$AP$1:$AQ$6,2,0))</f>
        <v>544.81349999999998</v>
      </c>
      <c r="AG107" s="68">
        <f>VLOOKUP(D107,宠物成长生成表!$B$5:$J$103,7,0)*$AO$5*(VLOOKUP(E107,$AP$1:$AQ$6,2,0))</f>
        <v>443.68800000000005</v>
      </c>
      <c r="AH107" s="68">
        <f>VLOOKUP(D107,宠物成长生成表!$B$5:$J$103,6,0)+VLOOKUP(E107,宠物升阶生成表!$B$6:$F$21,5,0)</f>
        <v>80</v>
      </c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9">
        <f t="shared" si="37"/>
        <v>2708.598</v>
      </c>
      <c r="AT107" s="69">
        <f t="shared" si="38"/>
        <v>1176.1500000000001</v>
      </c>
      <c r="AU107" s="69">
        <f t="shared" si="39"/>
        <v>790.81349999999998</v>
      </c>
      <c r="AV107" s="71">
        <f t="shared" si="40"/>
        <v>632.6880000000001</v>
      </c>
      <c r="AW107" s="68"/>
      <c r="AX107" s="68"/>
      <c r="AY107" s="68"/>
      <c r="AZ107" s="68"/>
      <c r="BA107" s="68"/>
      <c r="BB107" s="68"/>
    </row>
    <row r="108" spans="2:54">
      <c r="B108" s="98"/>
      <c r="C108" s="68" t="s">
        <v>394</v>
      </c>
      <c r="D108" s="68">
        <v>13</v>
      </c>
      <c r="E108" s="92">
        <v>1</v>
      </c>
      <c r="F108" s="68"/>
      <c r="G108" s="68"/>
      <c r="H108" s="68">
        <v>15</v>
      </c>
      <c r="I108" s="68"/>
      <c r="J108" s="68">
        <v>9</v>
      </c>
      <c r="K108" s="68"/>
      <c r="L108" s="68">
        <v>10</v>
      </c>
      <c r="M108" s="68"/>
      <c r="N108" s="68">
        <v>7</v>
      </c>
      <c r="O108" s="68"/>
      <c r="P108" s="68">
        <v>6</v>
      </c>
      <c r="Q108" s="68"/>
      <c r="R108" s="68">
        <v>5</v>
      </c>
      <c r="S108" s="68"/>
      <c r="T108" s="68"/>
      <c r="U108" s="68"/>
      <c r="V108" s="69">
        <f>IF(J108=0,0,VLOOKUP(能力数值!J108,装备拆分数值生成!$AK$165:$AV$214,5,0))+IF(P108=0,0,VLOOKUP(能力数值!P108,装备拆分数值生成!$AK$165:$AV$214,9,0))+IF(R108=0,0,VLOOKUP(能力数值!R108,装备拆分数值生成!$AK$165:$AV$214,11,0))</f>
        <v>841</v>
      </c>
      <c r="W108" s="69">
        <f>IF(H108=0,0,VLOOKUP(能力数值!H108,装备拆分数值生成!$AK$165:$AV$214,3,0))</f>
        <v>269</v>
      </c>
      <c r="X108" s="69">
        <f>IF(H108=0,0,VLOOKUP(能力数值!H108,装备拆分数值生成!$AK$165:$AV$214,4,0))+IF(P108=0,0,VLOOKUP(能力数值!P108,装备拆分数值生成!$AK$165:$AV$214,10,0))</f>
        <v>322</v>
      </c>
      <c r="Y108" s="69">
        <f>IF(L108=0,0,VLOOKUP(能力数值!L108,装备拆分数值生成!$AK$165:$AV$214,6,0))+IF(N108=0,0,VLOOKUP(能力数值!N108,装备拆分数值生成!$AK$165:$AV$214,8,0))+IF(R108=0,0,VLOOKUP(能力数值!R108,装备拆分数值生成!$AK$165:$AV$214,12,0))</f>
        <v>260</v>
      </c>
      <c r="Z108" s="68"/>
      <c r="AA108" s="68"/>
      <c r="AB108" s="68"/>
      <c r="AC108" s="68"/>
      <c r="AD108" s="68">
        <f>VLOOKUP(D107,宠物成长生成表!$B$5:$J$103,3,0)*$AN$2*(VLOOKUP(E108,$AP$1:$AQ$6,2,0))</f>
        <v>2152.08</v>
      </c>
      <c r="AE108" s="68">
        <f>VLOOKUP(D107,宠物成长生成表!$B$5:$J$103,4,0)*$AN$3*(VLOOKUP(E108,$AP$1:$AQ$6,2,0))</f>
        <v>550.93500000000006</v>
      </c>
      <c r="AF108" s="68">
        <f>VLOOKUP(D107,宠物成长生成表!$B$5:$J$103,4,0)*$AN$4*(VLOOKUP(E108,$AP$1:$AQ$6,2,0))</f>
        <v>550.93500000000006</v>
      </c>
      <c r="AG108" s="68">
        <f>VLOOKUP(D107,宠物成长生成表!$B$5:$J$103,7,0)*$AN$5*(VLOOKUP(E108,$AP$1:$AQ$6,2,0))</f>
        <v>513.74400000000003</v>
      </c>
      <c r="AH108" s="68">
        <f>VLOOKUP(D108,宠物成长生成表!$B$5:$J$103,6,0)+VLOOKUP(E108,宠物升阶生成表!$B$6:$F$21,5,0)</f>
        <v>78</v>
      </c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9">
        <f t="shared" si="37"/>
        <v>2993.08</v>
      </c>
      <c r="AT108" s="69">
        <f t="shared" si="38"/>
        <v>819.93500000000006</v>
      </c>
      <c r="AU108" s="69">
        <f t="shared" si="39"/>
        <v>872.93500000000006</v>
      </c>
      <c r="AV108" s="71">
        <f t="shared" si="40"/>
        <v>773.74400000000003</v>
      </c>
      <c r="AW108" s="68"/>
      <c r="AX108" s="68"/>
      <c r="AY108" s="68"/>
      <c r="AZ108" s="68"/>
      <c r="BA108" s="68"/>
      <c r="BB108" s="68"/>
    </row>
    <row r="109" spans="2:54">
      <c r="B109" s="98"/>
      <c r="C109" s="68" t="s">
        <v>427</v>
      </c>
      <c r="D109" s="68">
        <v>11</v>
      </c>
      <c r="E109" s="92">
        <v>1</v>
      </c>
      <c r="F109" s="68"/>
      <c r="G109" s="68"/>
      <c r="H109" s="68">
        <v>14</v>
      </c>
      <c r="I109" s="68"/>
      <c r="J109" s="68">
        <v>12</v>
      </c>
      <c r="K109" s="68"/>
      <c r="L109" s="88">
        <v>17</v>
      </c>
      <c r="M109" s="68"/>
      <c r="N109" s="68">
        <v>2</v>
      </c>
      <c r="O109" s="68"/>
      <c r="P109" s="68">
        <v>4</v>
      </c>
      <c r="Q109" s="68"/>
      <c r="R109" s="68">
        <v>7</v>
      </c>
      <c r="S109" s="68"/>
      <c r="T109" s="68"/>
      <c r="U109" s="68"/>
      <c r="V109" s="69">
        <f>IF(J109=0,0,VLOOKUP(能力数值!J109,装备拆分数值生成!$AK$112:$AV$161,5,0))+IF(P109=0,0,VLOOKUP(能力数值!P109,装备拆分数值生成!$AK$112:$AV$161,5,0))+IF(R109=0,0,VLOOKUP(能力数值!R109,装备拆分数值生成!$AK$112:$AV$161,11,0))</f>
        <v>1511</v>
      </c>
      <c r="W109" s="69">
        <f>IF(H109=0,0,VLOOKUP(能力数值!H109,装备拆分数值生成!$AK$112:$AV$161,3,0))</f>
        <v>233</v>
      </c>
      <c r="X109" s="69">
        <f>IF(H109=0,0,VLOOKUP(能力数值!H109,装备拆分数值生成!$AK$112:$AV$161,4,0))</f>
        <v>233</v>
      </c>
      <c r="Y109" s="69">
        <f>IF(L109=0,0,VLOOKUP(能力数值!L109,装备拆分数值生成!$AK$112:$AV$161,6,0))+IF(N109=0,0,VLOOKUP(能力数值!N109,装备拆分数值生成!$AK$112:$AV$161,8,0))+IF(R109=0,0,VLOOKUP(能力数值!R109,装备拆分数值生成!$AK$112:$AV$161,12,0))</f>
        <v>484</v>
      </c>
      <c r="Z109" s="68"/>
      <c r="AA109" s="68"/>
      <c r="AB109" s="68"/>
      <c r="AC109" s="68"/>
      <c r="AD109" s="68">
        <f>VLOOKUP(D109,宠物成长生成表!$B$5:$J$103,3,0)*$AM$2*(VLOOKUP(E109,$AP$1:$AQ$6,2,0))</f>
        <v>2091.1800000000003</v>
      </c>
      <c r="AE109" s="68">
        <f>VLOOKUP(D109,宠物成长生成表!$B$5:$J$103,4,0)*$AM$3*(VLOOKUP(E109,$AP$1:$AQ$6,2,0))</f>
        <v>439.32000000000005</v>
      </c>
      <c r="AF109" s="68">
        <f>VLOOKUP(D109,宠物成长生成表!$B$5:$J$103,4,0)*$AM$4*(VLOOKUP(E109,$AP$1:$AQ$6,2,0))</f>
        <v>439.32000000000005</v>
      </c>
      <c r="AG109" s="68">
        <f>VLOOKUP(D109,宠物成长生成表!$B$5:$J$103,7,0)*$AM$5*(VLOOKUP(E109,$AP$1:$AQ$6,2,0))</f>
        <v>690.22800000000007</v>
      </c>
      <c r="AH109" s="68">
        <f>VLOOKUP(D109,宠物成长生成表!$B$5:$J$103,6,0)+VLOOKUP(E109,宠物升阶生成表!$B$6:$F$21,5,0)</f>
        <v>76</v>
      </c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9">
        <f t="shared" si="37"/>
        <v>3602.1800000000003</v>
      </c>
      <c r="AT109" s="69">
        <f t="shared" si="38"/>
        <v>672.32</v>
      </c>
      <c r="AU109" s="69">
        <f t="shared" si="39"/>
        <v>672.32</v>
      </c>
      <c r="AV109" s="71">
        <f t="shared" si="40"/>
        <v>1174.2280000000001</v>
      </c>
      <c r="AW109" s="68"/>
      <c r="AX109" s="68"/>
      <c r="AY109" s="68"/>
      <c r="AZ109" s="68"/>
      <c r="BA109" s="68"/>
      <c r="BB109" s="68"/>
    </row>
    <row r="110" spans="2:54" ht="17.25" thickBot="1">
      <c r="B110" s="99"/>
      <c r="C110" s="72" t="s">
        <v>425</v>
      </c>
      <c r="D110" s="72">
        <v>7</v>
      </c>
      <c r="E110" s="93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69"/>
      <c r="W110" s="69"/>
      <c r="X110" s="69"/>
      <c r="Y110" s="69"/>
      <c r="Z110" s="72"/>
      <c r="AA110" s="72"/>
      <c r="AB110" s="72"/>
      <c r="AC110" s="72"/>
      <c r="AD110" s="72">
        <f>VLOOKUP(D110,宠物成长生成表!$B$5:$J$103,3,0)*$AL$2*(VLOOKUP(E110,$AP$1:$AQ$6,2,0))</f>
        <v>1314.35</v>
      </c>
      <c r="AE110" s="72">
        <f>VLOOKUP(D110,宠物成长生成表!$B$5:$J$103,4,0)*$AL$3*(VLOOKUP(E110,$AP$1:$AQ$6,2,0))</f>
        <v>411.18</v>
      </c>
      <c r="AF110" s="72">
        <f>VLOOKUP(D110,宠物成长生成表!$B$5:$J$103,4,0)*$AL$4*(VLOOKUP(E110,$AP$1:$AQ$6,2,0))</f>
        <v>531.29999999999995</v>
      </c>
      <c r="AG110" s="72">
        <f>VLOOKUP(D110,宠物成长生成表!$B$5:$J$103,7,0)*$AL$5*(VLOOKUP(E110,$AP$1:$AQ$6,2,0))</f>
        <v>335.16</v>
      </c>
      <c r="AH110" s="68">
        <f>VLOOKUP(D110,宠物成长生成表!$B$5:$J$103,6,0)+VLOOKUP(E110,宠物升阶生成表!$B$6:$F$21,5,0)</f>
        <v>61</v>
      </c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8"/>
      <c r="AW110" s="68"/>
      <c r="AX110" s="68"/>
      <c r="AY110" s="68"/>
      <c r="AZ110" s="68"/>
      <c r="BA110" s="68"/>
      <c r="BB110" s="68"/>
    </row>
    <row r="111" spans="2:54">
      <c r="B111" s="97" t="s">
        <v>442</v>
      </c>
      <c r="C111" s="64" t="s">
        <v>428</v>
      </c>
      <c r="D111" s="64">
        <v>17</v>
      </c>
      <c r="E111" s="91">
        <v>2</v>
      </c>
      <c r="F111" s="64"/>
      <c r="G111" s="64"/>
      <c r="H111" s="89">
        <v>16</v>
      </c>
      <c r="I111" s="64"/>
      <c r="J111" s="64">
        <v>9</v>
      </c>
      <c r="K111" s="64"/>
      <c r="L111" s="64">
        <v>11</v>
      </c>
      <c r="M111" s="64"/>
      <c r="N111" s="64">
        <v>6</v>
      </c>
      <c r="O111" s="64"/>
      <c r="P111" s="64">
        <v>6</v>
      </c>
      <c r="Q111" s="64"/>
      <c r="R111" s="64">
        <v>5</v>
      </c>
      <c r="S111" s="64"/>
      <c r="T111" s="64"/>
      <c r="U111" s="64"/>
      <c r="V111" s="65">
        <f>IF(J111=0,0,VLOOKUP(能力数值!J111,装备拆分数值生成!$AK$58:$AV$107,5,0))+IF(P111=0,0,VLOOKUP(P111,装备拆分数值生成!$AK$58:$AV$107,9,0))+IF(R111=0,0,VLOOKUP(R111,装备拆分数值生成!$AK$58:$AV$107,11,0))</f>
        <v>846</v>
      </c>
      <c r="W111" s="65">
        <f>IF(H111=0,0,VLOOKUP(H111,装备拆分数值生成!$AK$58:$AV$107,3,0))+IF(P111=0,0,VLOOKUP(P111,装备拆分数值生成!$AK$58:$AV$107,10,0))</f>
        <v>215</v>
      </c>
      <c r="X111" s="65">
        <f>IF(H111=0,0,VLOOKUP(H111,装备拆分数值生成!$AK$58:$AV$107,4,0))+IF(N111=0,0,VLOOKUP(N111,装备拆分数值生成!$AK$58:$AV$107,7,0))+IF(R111=0,0,VLOOKUP(R111,装备拆分数值生成!$AK$58:$AV$107,12,0))</f>
        <v>532</v>
      </c>
      <c r="Y111" s="65">
        <f>IF(L111=0,0,VLOOKUP(L111,装备拆分数值生成!$AK$58:$AV$107,6,0))+IF(N111=0,0,VLOOKUP(N111,装备拆分数值生成!$AK$58:$AV$107,8,0))</f>
        <v>209</v>
      </c>
      <c r="Z111" s="64"/>
      <c r="AA111" s="64"/>
      <c r="AB111" s="64"/>
      <c r="AC111" s="64"/>
      <c r="AD111" s="68">
        <f>VLOOKUP(D111,宠物成长生成表!$B$5:$J$103,3,0)*$AL$2*(VLOOKUP(E111,$AP$1:$AQ$6,2,0))</f>
        <v>2003.4379999999996</v>
      </c>
      <c r="AE111" s="68">
        <f>VLOOKUP(D111,宠物成长生成表!$B$5:$J$103,4,0)*$AL$3*(VLOOKUP(E111,$AP$1:$AQ$6,2,0))</f>
        <v>627.40549999999996</v>
      </c>
      <c r="AF111" s="68">
        <f>VLOOKUP(D111,宠物成长生成表!$B$5:$J$103,4,0)*$AL$4*(VLOOKUP(E111,$AP$1:$AQ$6,2,0))</f>
        <v>810.69249999999988</v>
      </c>
      <c r="AG111" s="68">
        <f>VLOOKUP(D111,宠物成长生成表!$B$5:$J$103,7,0)*$AL$5*(VLOOKUP(E111,$AP$1:$AQ$6,2,0))</f>
        <v>510.416</v>
      </c>
      <c r="AH111" s="64">
        <f>VLOOKUP(D111,宠物成长生成表!$B$5:$J$103,6,0)+VLOOKUP(E111,宠物升阶生成表!$B$6:$F$21,5,0)</f>
        <v>100</v>
      </c>
      <c r="AI111" s="64"/>
      <c r="AJ111" s="64"/>
      <c r="AK111" s="64"/>
      <c r="AL111" s="64"/>
      <c r="AM111" s="64"/>
      <c r="AN111" s="64"/>
      <c r="AO111" s="64"/>
      <c r="AP111" s="64"/>
      <c r="AQ111" s="64"/>
      <c r="AR111" s="64"/>
      <c r="AS111" s="65">
        <f t="shared" ref="AS111:AS114" si="41">V111+AD111</f>
        <v>2849.4379999999996</v>
      </c>
      <c r="AT111" s="65">
        <f t="shared" ref="AT111:AT114" si="42">W111+AE111</f>
        <v>842.40549999999996</v>
      </c>
      <c r="AU111" s="65">
        <f t="shared" ref="AU111:AU114" si="43">X111+AF111</f>
        <v>1342.6924999999999</v>
      </c>
      <c r="AV111" s="67">
        <f t="shared" ref="AV111:AV114" si="44">Y111+AG111</f>
        <v>719.41599999999994</v>
      </c>
      <c r="AW111" s="68"/>
      <c r="AX111" s="68"/>
      <c r="AY111" s="68"/>
      <c r="AZ111" s="68"/>
      <c r="BA111" s="68"/>
      <c r="BB111" s="68"/>
    </row>
    <row r="112" spans="2:54">
      <c r="B112" s="98"/>
      <c r="C112" s="68" t="s">
        <v>426</v>
      </c>
      <c r="D112" s="68">
        <v>17</v>
      </c>
      <c r="E112" s="92">
        <v>2</v>
      </c>
      <c r="F112" s="68"/>
      <c r="G112" s="68"/>
      <c r="H112" s="68">
        <v>18</v>
      </c>
      <c r="I112" s="68"/>
      <c r="J112" s="68">
        <v>9</v>
      </c>
      <c r="K112" s="68"/>
      <c r="L112" s="68">
        <v>8</v>
      </c>
      <c r="M112" s="68"/>
      <c r="N112" s="68">
        <v>6</v>
      </c>
      <c r="O112" s="68"/>
      <c r="P112" s="68">
        <v>12</v>
      </c>
      <c r="Q112" s="68"/>
      <c r="R112" s="68">
        <v>4</v>
      </c>
      <c r="S112" s="68"/>
      <c r="T112" s="68"/>
      <c r="U112" s="68"/>
      <c r="V112" s="69">
        <f>IF(J112=0,0,VLOOKUP(能力数值!J112,装备拆分数值生成!$AK$4:$AV$53,5,0))+IF(P112=0,0,VLOOKUP(能力数值!P112,装备拆分数值生成!$AK$4:$AV$53,9,0))+IF(R112=0,0,VLOOKUP(能力数值!R112,装备拆分数值生成!$AK$4:$AV$53,11,0))</f>
        <v>969</v>
      </c>
      <c r="W112" s="69">
        <f>IF(H112=0,0,VLOOKUP(能力数值!H112,装备拆分数值生成!$AK$4:$AV$53,3,0))+IF(N112=0,0,VLOOKUP(能力数值!N112,装备拆分数值生成!$AK$4:$AV$53,7,0))+IF(R112=0,0,VLOOKUP(能力数值!R112,装备拆分数值生成!$AK$4:$AV$53,12,0))</f>
        <v>564</v>
      </c>
      <c r="X112" s="69">
        <f>IF(H112=0,0,VLOOKUP(能力数值!H112,装备拆分数值生成!$AK$4:$AV$53,4,0))+IF(P112=0,0,VLOOKUP(能力数值!P112,装备拆分数值生成!$AK$4:$AV$53,10,0))</f>
        <v>246</v>
      </c>
      <c r="Y112" s="69">
        <f>IF(L112=0,0,VLOOKUP(能力数值!L112,装备拆分数值生成!$AK$4:$AV$53,6,0))+IF(N112=0,0,VLOOKUP(能力数值!N112,装备拆分数值生成!$AK$4:$AV$53,8,0))</f>
        <v>189</v>
      </c>
      <c r="Z112" s="68"/>
      <c r="AA112" s="68"/>
      <c r="AB112" s="68"/>
      <c r="AC112" s="68"/>
      <c r="AD112" s="68">
        <f>VLOOKUP(D112,宠物成长生成表!$B$5:$J$103,3,0)*$AO$2*(VLOOKUP(E112,$AP$1:$AQ$6,2,0))</f>
        <v>2003.4379999999996</v>
      </c>
      <c r="AE112" s="68">
        <f>VLOOKUP(D112,宠物成长生成表!$B$5:$J$103,4,0)*(VLOOKUP(E112,$AP$1:$AQ$6,2,0))</f>
        <v>704.94999999999993</v>
      </c>
      <c r="AF112" s="68">
        <f>VLOOKUP(D112,宠物成长生成表!$B$5:$J$103,4,0)*$AO$4*(VLOOKUP(E112,$AP$1:$AQ$6,2,0))</f>
        <v>627.40549999999996</v>
      </c>
      <c r="AG112" s="68">
        <f>VLOOKUP(D112,宠物成长生成表!$B$5:$J$103,7,0)*$AO$5*(VLOOKUP(E112,$AP$1:$AQ$6,2,0))</f>
        <v>510.416</v>
      </c>
      <c r="AH112" s="68">
        <f>VLOOKUP(D112,宠物成长生成表!$B$5:$J$103,6,0)+VLOOKUP(E112,宠物升阶生成表!$B$6:$F$21,5,0)</f>
        <v>100</v>
      </c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9">
        <f t="shared" si="41"/>
        <v>2972.4379999999996</v>
      </c>
      <c r="AT112" s="69">
        <f t="shared" si="42"/>
        <v>1268.9499999999998</v>
      </c>
      <c r="AU112" s="69">
        <f t="shared" si="43"/>
        <v>873.40549999999996</v>
      </c>
      <c r="AV112" s="71">
        <f t="shared" si="44"/>
        <v>699.41599999999994</v>
      </c>
      <c r="AW112" s="68"/>
      <c r="AX112" s="68"/>
      <c r="AY112" s="68"/>
      <c r="AZ112" s="68"/>
      <c r="BA112" s="68"/>
      <c r="BB112" s="68"/>
    </row>
    <row r="113" spans="2:54">
      <c r="B113" s="98"/>
      <c r="C113" s="68" t="s">
        <v>394</v>
      </c>
      <c r="D113" s="68">
        <v>15</v>
      </c>
      <c r="E113" s="92">
        <v>2</v>
      </c>
      <c r="F113" s="68"/>
      <c r="G113" s="68"/>
      <c r="H113" s="68">
        <v>16</v>
      </c>
      <c r="I113" s="68"/>
      <c r="J113" s="68">
        <v>9</v>
      </c>
      <c r="K113" s="68"/>
      <c r="L113" s="68">
        <v>10</v>
      </c>
      <c r="M113" s="68"/>
      <c r="N113" s="68">
        <v>7</v>
      </c>
      <c r="O113" s="68"/>
      <c r="P113" s="68">
        <v>6</v>
      </c>
      <c r="Q113" s="68"/>
      <c r="R113" s="68">
        <v>5</v>
      </c>
      <c r="S113" s="68"/>
      <c r="T113" s="68"/>
      <c r="U113" s="68"/>
      <c r="V113" s="69">
        <f>IF(J113=0,0,VLOOKUP(能力数值!J113,装备拆分数值生成!$AK$165:$AV$214,5,0))+IF(P113=0,0,VLOOKUP(能力数值!P113,装备拆分数值生成!$AK$165:$AV$214,9,0))+IF(R113=0,0,VLOOKUP(能力数值!R113,装备拆分数值生成!$AK$165:$AV$214,11,0))</f>
        <v>841</v>
      </c>
      <c r="W113" s="69">
        <f>IF(H113=0,0,VLOOKUP(能力数值!H113,装备拆分数值生成!$AK$165:$AV$214,3,0))</f>
        <v>284</v>
      </c>
      <c r="X113" s="69">
        <f>IF(H113=0,0,VLOOKUP(能力数值!H113,装备拆分数值生成!$AK$165:$AV$214,4,0))+IF(P113=0,0,VLOOKUP(能力数值!P113,装备拆分数值生成!$AK$165:$AV$214,10,0))</f>
        <v>337</v>
      </c>
      <c r="Y113" s="69">
        <f>IF(L113=0,0,VLOOKUP(能力数值!L113,装备拆分数值生成!$AK$165:$AV$214,6,0))+IF(N113=0,0,VLOOKUP(能力数值!N113,装备拆分数值生成!$AK$165:$AV$214,8,0))+IF(R113=0,0,VLOOKUP(能力数值!R113,装备拆分数值生成!$AK$165:$AV$214,12,0))</f>
        <v>260</v>
      </c>
      <c r="Z113" s="68"/>
      <c r="AA113" s="68"/>
      <c r="AB113" s="68"/>
      <c r="AC113" s="68"/>
      <c r="AD113" s="68">
        <f>VLOOKUP(D112,宠物成长生成表!$B$5:$J$103,3,0)*$AN$2*(VLOOKUP(E113,$AP$1:$AQ$6,2,0))</f>
        <v>2478.4799999999996</v>
      </c>
      <c r="AE113" s="68">
        <f>VLOOKUP(D112,宠物成长生成表!$B$5:$J$103,4,0)*$AN$3*(VLOOKUP(E113,$AP$1:$AQ$6,2,0))</f>
        <v>634.45500000000004</v>
      </c>
      <c r="AF113" s="68">
        <f>VLOOKUP(D112,宠物成长生成表!$B$5:$J$103,4,0)*$AN$4*(VLOOKUP(E113,$AP$1:$AQ$6,2,0))</f>
        <v>634.45500000000004</v>
      </c>
      <c r="AG113" s="68">
        <f>VLOOKUP(D112,宠物成长生成表!$B$5:$J$103,7,0)*$AN$5*(VLOOKUP(E113,$AP$1:$AQ$6,2,0))</f>
        <v>591.00799999999992</v>
      </c>
      <c r="AH113" s="68">
        <f>VLOOKUP(D113,宠物成长生成表!$B$5:$J$103,6,0)+VLOOKUP(E113,宠物升阶生成表!$B$6:$F$21,5,0)</f>
        <v>98</v>
      </c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9">
        <f t="shared" si="41"/>
        <v>3319.4799999999996</v>
      </c>
      <c r="AT113" s="69">
        <f t="shared" si="42"/>
        <v>918.45500000000004</v>
      </c>
      <c r="AU113" s="69">
        <f t="shared" si="43"/>
        <v>971.45500000000004</v>
      </c>
      <c r="AV113" s="71">
        <f t="shared" si="44"/>
        <v>851.00799999999992</v>
      </c>
      <c r="AW113" s="68"/>
      <c r="AX113" s="68"/>
      <c r="AY113" s="68"/>
      <c r="AZ113" s="68"/>
      <c r="BA113" s="68"/>
      <c r="BB113" s="68"/>
    </row>
    <row r="114" spans="2:54">
      <c r="B114" s="98"/>
      <c r="C114" s="68" t="s">
        <v>427</v>
      </c>
      <c r="D114" s="68">
        <v>13</v>
      </c>
      <c r="E114" s="92">
        <v>1</v>
      </c>
      <c r="F114" s="68"/>
      <c r="G114" s="68"/>
      <c r="H114" s="68">
        <v>14</v>
      </c>
      <c r="I114" s="68"/>
      <c r="J114" s="68">
        <v>12</v>
      </c>
      <c r="K114" s="68"/>
      <c r="L114" s="88">
        <v>17</v>
      </c>
      <c r="M114" s="68"/>
      <c r="N114" s="68">
        <v>5</v>
      </c>
      <c r="O114" s="68"/>
      <c r="P114" s="68">
        <v>4</v>
      </c>
      <c r="Q114" s="68"/>
      <c r="R114" s="68">
        <v>7</v>
      </c>
      <c r="S114" s="68"/>
      <c r="T114" s="68"/>
      <c r="U114" s="68"/>
      <c r="V114" s="69">
        <f>IF(J114=0,0,VLOOKUP(能力数值!J114,装备拆分数值生成!$AK$112:$AV$161,5,0))+IF(P114=0,0,VLOOKUP(能力数值!P114,装备拆分数值生成!$AK$112:$AV$161,5,0))+IF(R114=0,0,VLOOKUP(能力数值!R114,装备拆分数值生成!$AK$112:$AV$161,11,0))</f>
        <v>1511</v>
      </c>
      <c r="W114" s="69">
        <f>IF(H114=0,0,VLOOKUP(能力数值!H114,装备拆分数值生成!$AK$112:$AV$161,3,0))</f>
        <v>233</v>
      </c>
      <c r="X114" s="69">
        <f>IF(H114=0,0,VLOOKUP(能力数值!H114,装备拆分数值生成!$AK$112:$AV$161,4,0))</f>
        <v>233</v>
      </c>
      <c r="Y114" s="69">
        <f>IF(L114=0,0,VLOOKUP(能力数值!L114,装备拆分数值生成!$AK$112:$AV$161,6,0))+IF(N114=0,0,VLOOKUP(能力数值!N114,装备拆分数值生成!$AK$112:$AV$161,8,0))+IF(R114=0,0,VLOOKUP(能力数值!R114,装备拆分数值生成!$AK$112:$AV$161,12,0))</f>
        <v>505</v>
      </c>
      <c r="Z114" s="68"/>
      <c r="AA114" s="68"/>
      <c r="AB114" s="68"/>
      <c r="AC114" s="68"/>
      <c r="AD114" s="68">
        <f>VLOOKUP(D114,宠物成长生成表!$B$5:$J$103,3,0)*$AM$2*(VLOOKUP(E114,$AP$1:$AQ$6,2,0))</f>
        <v>2211.3000000000002</v>
      </c>
      <c r="AE114" s="68">
        <f>VLOOKUP(D114,宠物成长生成表!$B$5:$J$103,4,0)*$AM$3*(VLOOKUP(E114,$AP$1:$AQ$6,2,0))</f>
        <v>464.52000000000004</v>
      </c>
      <c r="AF114" s="68">
        <f>VLOOKUP(D114,宠物成长生成表!$B$5:$J$103,4,0)*$AM$4*(VLOOKUP(E114,$AP$1:$AQ$6,2,0))</f>
        <v>464.52000000000004</v>
      </c>
      <c r="AG114" s="68">
        <f>VLOOKUP(D114,宠物成长生成表!$B$5:$J$103,7,0)*$AM$5*(VLOOKUP(E114,$AP$1:$AQ$6,2,0))</f>
        <v>730.42200000000003</v>
      </c>
      <c r="AH114" s="68">
        <f>VLOOKUP(D114,宠物成长生成表!$B$5:$J$103,6,0)+VLOOKUP(E114,宠物升阶生成表!$B$6:$F$21,5,0)</f>
        <v>78</v>
      </c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9">
        <f t="shared" si="41"/>
        <v>3722.3</v>
      </c>
      <c r="AT114" s="69">
        <f t="shared" si="42"/>
        <v>697.52</v>
      </c>
      <c r="AU114" s="69">
        <f t="shared" si="43"/>
        <v>697.52</v>
      </c>
      <c r="AV114" s="71">
        <f t="shared" si="44"/>
        <v>1235.422</v>
      </c>
      <c r="AW114" s="68"/>
      <c r="AX114" s="68"/>
      <c r="AY114" s="68"/>
      <c r="AZ114" s="68"/>
      <c r="BA114" s="68"/>
      <c r="BB114" s="68"/>
    </row>
    <row r="115" spans="2:54" ht="17.25" thickBot="1">
      <c r="B115" s="99"/>
      <c r="C115" s="72" t="s">
        <v>425</v>
      </c>
      <c r="D115" s="72">
        <v>7</v>
      </c>
      <c r="E115" s="93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69"/>
      <c r="W115" s="69"/>
      <c r="X115" s="69"/>
      <c r="Y115" s="69"/>
      <c r="Z115" s="72"/>
      <c r="AA115" s="72"/>
      <c r="AB115" s="72"/>
      <c r="AC115" s="72"/>
      <c r="AD115" s="72">
        <f>VLOOKUP(D115,宠物成长生成表!$B$5:$J$103,3,0)*$AL$2*(VLOOKUP(E115,$AP$1:$AQ$6,2,0))</f>
        <v>1314.35</v>
      </c>
      <c r="AE115" s="72">
        <f>VLOOKUP(D115,宠物成长生成表!$B$5:$J$103,4,0)*$AL$3*(VLOOKUP(E115,$AP$1:$AQ$6,2,0))</f>
        <v>411.18</v>
      </c>
      <c r="AF115" s="72">
        <f>VLOOKUP(D115,宠物成长生成表!$B$5:$J$103,4,0)*$AL$4*(VLOOKUP(E115,$AP$1:$AQ$6,2,0))</f>
        <v>531.29999999999995</v>
      </c>
      <c r="AG115" s="72">
        <f>VLOOKUP(D115,宠物成长生成表!$B$5:$J$103,7,0)*$AL$5*(VLOOKUP(E115,$AP$1:$AQ$6,2,0))</f>
        <v>335.16</v>
      </c>
      <c r="AH115" s="68">
        <f>VLOOKUP(D115,宠物成长生成表!$B$5:$J$103,6,0)+VLOOKUP(E115,宠物升阶生成表!$B$6:$F$21,5,0)</f>
        <v>61</v>
      </c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8"/>
      <c r="AW115" s="68"/>
      <c r="AX115" s="68"/>
      <c r="AY115" s="68"/>
      <c r="AZ115" s="68"/>
      <c r="BA115" s="68"/>
      <c r="BB115" s="68"/>
    </row>
    <row r="116" spans="2:54">
      <c r="B116" s="97" t="s">
        <v>443</v>
      </c>
      <c r="C116" s="64" t="s">
        <v>428</v>
      </c>
      <c r="D116" s="64">
        <v>20</v>
      </c>
      <c r="E116" s="91">
        <v>2</v>
      </c>
      <c r="F116" s="64"/>
      <c r="G116" s="64"/>
      <c r="H116" s="89">
        <v>17</v>
      </c>
      <c r="I116" s="64"/>
      <c r="J116" s="64">
        <v>13</v>
      </c>
      <c r="K116" s="64"/>
      <c r="L116" s="64">
        <v>11</v>
      </c>
      <c r="M116" s="64"/>
      <c r="N116" s="64">
        <v>6</v>
      </c>
      <c r="O116" s="64"/>
      <c r="P116" s="64">
        <v>6</v>
      </c>
      <c r="Q116" s="64"/>
      <c r="R116" s="64">
        <v>5</v>
      </c>
      <c r="S116" s="64"/>
      <c r="T116" s="64"/>
      <c r="U116" s="64"/>
      <c r="V116" s="65">
        <f>IF(J116=0,0,VLOOKUP(能力数值!J116,装备拆分数值生成!$AK$58:$AV$107,5,0))+IF(P116=0,0,VLOOKUP(P116,装备拆分数值生成!$AK$58:$AV$107,9,0))+IF(R116=0,0,VLOOKUP(R116,装备拆分数值生成!$AK$58:$AV$107,11,0))</f>
        <v>971</v>
      </c>
      <c r="W116" s="65">
        <f>IF(H116=0,0,VLOOKUP(H116,装备拆分数值生成!$AK$58:$AV$107,3,0))+IF(P116=0,0,VLOOKUP(P116,装备拆分数值生成!$AK$58:$AV$107,10,0))</f>
        <v>225</v>
      </c>
      <c r="X116" s="65">
        <f>IF(H116=0,0,VLOOKUP(H116,装备拆分数值生成!$AK$58:$AV$107,4,0))+IF(N116=0,0,VLOOKUP(N116,装备拆分数值生成!$AK$58:$AV$107,7,0))+IF(R116=0,0,VLOOKUP(R116,装备拆分数值生成!$AK$58:$AV$107,12,0))</f>
        <v>551</v>
      </c>
      <c r="Y116" s="65">
        <f>IF(L116=0,0,VLOOKUP(L116,装备拆分数值生成!$AK$58:$AV$107,6,0))+IF(N116=0,0,VLOOKUP(N116,装备拆分数值生成!$AK$58:$AV$107,8,0))</f>
        <v>209</v>
      </c>
      <c r="Z116" s="64"/>
      <c r="AA116" s="64"/>
      <c r="AB116" s="64"/>
      <c r="AC116" s="64"/>
      <c r="AD116" s="68">
        <f>VLOOKUP(D116,宠物成长生成表!$B$5:$J$103,3,0)*$AL$2*(VLOOKUP(E116,$AP$1:$AQ$6,2,0))</f>
        <v>2150.6839999999997</v>
      </c>
      <c r="AE116" s="68">
        <f>VLOOKUP(D116,宠物成长生成表!$B$5:$J$103,4,0)*$AL$3*(VLOOKUP(E116,$AP$1:$AQ$6,2,0))</f>
        <v>673.46299999999997</v>
      </c>
      <c r="AF116" s="68">
        <f>VLOOKUP(D116,宠物成长生成表!$B$5:$J$103,4,0)*$AL$4*(VLOOKUP(E116,$AP$1:$AQ$6,2,0))</f>
        <v>870.20499999999981</v>
      </c>
      <c r="AG116" s="68">
        <f>VLOOKUP(D116,宠物成长生成表!$B$5:$J$103,7,0)*$AL$5*(VLOOKUP(E116,$AP$1:$AQ$6,2,0))</f>
        <v>548.87199999999996</v>
      </c>
      <c r="AH116" s="64">
        <f>VLOOKUP(D116,宠物成长生成表!$B$5:$J$103,6,0)+VLOOKUP(E116,宠物升阶生成表!$B$6:$F$21,5,0)</f>
        <v>103</v>
      </c>
      <c r="AI116" s="64"/>
      <c r="AJ116" s="64"/>
      <c r="AK116" s="64"/>
      <c r="AL116" s="64"/>
      <c r="AM116" s="64"/>
      <c r="AN116" s="64"/>
      <c r="AO116" s="64"/>
      <c r="AP116" s="64"/>
      <c r="AQ116" s="64"/>
      <c r="AR116" s="64"/>
      <c r="AS116" s="65">
        <f t="shared" ref="AS116:AS119" si="45">V116+AD116</f>
        <v>3121.6839999999997</v>
      </c>
      <c r="AT116" s="65">
        <f t="shared" ref="AT116:AT119" si="46">W116+AE116</f>
        <v>898.46299999999997</v>
      </c>
      <c r="AU116" s="65">
        <f t="shared" ref="AU116:AU119" si="47">X116+AF116</f>
        <v>1421.2049999999999</v>
      </c>
      <c r="AV116" s="67">
        <f t="shared" ref="AV116:AV119" si="48">Y116+AG116</f>
        <v>757.87199999999996</v>
      </c>
      <c r="AW116" s="68"/>
      <c r="AX116" s="68"/>
      <c r="AY116" s="68"/>
      <c r="AZ116" s="68"/>
      <c r="BA116" s="68"/>
      <c r="BB116" s="68"/>
    </row>
    <row r="117" spans="2:54">
      <c r="B117" s="98"/>
      <c r="C117" s="68" t="s">
        <v>426</v>
      </c>
      <c r="D117" s="68">
        <v>19</v>
      </c>
      <c r="E117" s="92">
        <v>2</v>
      </c>
      <c r="F117" s="68"/>
      <c r="G117" s="68"/>
      <c r="H117" s="68">
        <v>18</v>
      </c>
      <c r="I117" s="68"/>
      <c r="J117" s="68">
        <v>11</v>
      </c>
      <c r="K117" s="68"/>
      <c r="L117" s="68">
        <v>8</v>
      </c>
      <c r="M117" s="68"/>
      <c r="N117" s="68">
        <v>11</v>
      </c>
      <c r="O117" s="68"/>
      <c r="P117" s="68">
        <v>12</v>
      </c>
      <c r="Q117" s="68"/>
      <c r="R117" s="68">
        <v>4</v>
      </c>
      <c r="S117" s="68"/>
      <c r="T117" s="68"/>
      <c r="U117" s="68"/>
      <c r="V117" s="69">
        <f>IF(J117=0,0,VLOOKUP(能力数值!J117,装备拆分数值生成!$AK$4:$AV$53,5,0))+IF(P117=0,0,VLOOKUP(能力数值!P117,装备拆分数值生成!$AK$4:$AV$53,9,0))+IF(R117=0,0,VLOOKUP(能力数值!R117,装备拆分数值生成!$AK$4:$AV$53,11,0))</f>
        <v>1022</v>
      </c>
      <c r="W117" s="69">
        <f>IF(H117=0,0,VLOOKUP(能力数值!H117,装备拆分数值生成!$AK$4:$AV$53,3,0))+IF(N117=0,0,VLOOKUP(能力数值!N117,装备拆分数值生成!$AK$4:$AV$53,7,0))+IF(R117=0,0,VLOOKUP(能力数值!R117,装备拆分数值生成!$AK$4:$AV$53,12,0))</f>
        <v>581</v>
      </c>
      <c r="X117" s="69">
        <f>IF(H117=0,0,VLOOKUP(能力数值!H117,装备拆分数值生成!$AK$4:$AV$53,4,0))+IF(P117=0,0,VLOOKUP(能力数值!P117,装备拆分数值生成!$AK$4:$AV$53,10,0))</f>
        <v>246</v>
      </c>
      <c r="Y117" s="69">
        <f>IF(L117=0,0,VLOOKUP(能力数值!L117,装备拆分数值生成!$AK$4:$AV$53,6,0))+IF(N117=0,0,VLOOKUP(能力数值!N117,装备拆分数值生成!$AK$4:$AV$53,8,0))</f>
        <v>213</v>
      </c>
      <c r="Z117" s="68"/>
      <c r="AA117" s="68"/>
      <c r="AB117" s="68"/>
      <c r="AC117" s="68"/>
      <c r="AD117" s="68">
        <f>VLOOKUP(D117,宠物成长生成表!$B$5:$J$103,3,0)*$AO$2*(VLOOKUP(E117,$AP$1:$AQ$6,2,0))</f>
        <v>2101.6019999999999</v>
      </c>
      <c r="AE117" s="68">
        <f>VLOOKUP(D117,宠物成长生成表!$B$5:$J$103,4,0)*(VLOOKUP(E117,$AP$1:$AQ$6,2,0))</f>
        <v>739.44999999999993</v>
      </c>
      <c r="AF117" s="68">
        <f>VLOOKUP(D117,宠物成长生成表!$B$5:$J$103,4,0)*$AO$4*(VLOOKUP(E117,$AP$1:$AQ$6,2,0))</f>
        <v>658.11049999999989</v>
      </c>
      <c r="AG117" s="68">
        <f>VLOOKUP(D117,宠物成长生成表!$B$5:$J$103,7,0)*$AO$5*(VLOOKUP(E117,$AP$1:$AQ$6,2,0))</f>
        <v>535.76199999999994</v>
      </c>
      <c r="AH117" s="68">
        <f>VLOOKUP(D117,宠物成长生成表!$B$5:$J$103,6,0)+VLOOKUP(E117,宠物升阶生成表!$B$6:$F$21,5,0)</f>
        <v>102</v>
      </c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9">
        <f t="shared" si="45"/>
        <v>3123.6019999999999</v>
      </c>
      <c r="AT117" s="69">
        <f t="shared" si="46"/>
        <v>1320.4499999999998</v>
      </c>
      <c r="AU117" s="69">
        <f t="shared" si="47"/>
        <v>904.11049999999989</v>
      </c>
      <c r="AV117" s="71">
        <f t="shared" si="48"/>
        <v>748.76199999999994</v>
      </c>
      <c r="AW117" s="68"/>
      <c r="AX117" s="68"/>
      <c r="AY117" s="68"/>
      <c r="AZ117" s="68"/>
      <c r="BA117" s="68"/>
      <c r="BB117" s="68"/>
    </row>
    <row r="118" spans="2:54">
      <c r="B118" s="98"/>
      <c r="C118" s="68" t="s">
        <v>394</v>
      </c>
      <c r="D118" s="68">
        <v>15</v>
      </c>
      <c r="E118" s="92">
        <v>2</v>
      </c>
      <c r="F118" s="68"/>
      <c r="G118" s="68"/>
      <c r="H118" s="68">
        <v>16</v>
      </c>
      <c r="I118" s="68"/>
      <c r="J118" s="68">
        <v>12</v>
      </c>
      <c r="K118" s="68"/>
      <c r="L118" s="68">
        <v>10</v>
      </c>
      <c r="M118" s="68"/>
      <c r="N118" s="68">
        <v>7</v>
      </c>
      <c r="O118" s="68"/>
      <c r="P118" s="68">
        <v>9</v>
      </c>
      <c r="Q118" s="68"/>
      <c r="R118" s="68">
        <v>5</v>
      </c>
      <c r="S118" s="68"/>
      <c r="T118" s="68"/>
      <c r="U118" s="68"/>
      <c r="V118" s="69">
        <f>IF(J118=0,0,VLOOKUP(能力数值!J118,装备拆分数值生成!$AK$165:$AV$214,5,0))+IF(P118=0,0,VLOOKUP(能力数值!P118,装备拆分数值生成!$AK$165:$AV$214,9,0))+IF(R118=0,0,VLOOKUP(能力数值!R118,装备拆分数值生成!$AK$165:$AV$214,11,0))</f>
        <v>972</v>
      </c>
      <c r="W118" s="69">
        <f>IF(H118=0,0,VLOOKUP(能力数值!H118,装备拆分数值生成!$AK$165:$AV$214,3,0))</f>
        <v>284</v>
      </c>
      <c r="X118" s="69">
        <f>IF(H118=0,0,VLOOKUP(能力数值!H118,装备拆分数值生成!$AK$165:$AV$214,4,0))+IF(P118=0,0,VLOOKUP(能力数值!P118,装备拆分数值生成!$AK$165:$AV$214,10,0))</f>
        <v>346</v>
      </c>
      <c r="Y118" s="69">
        <f>IF(L118=0,0,VLOOKUP(能力数值!L118,装备拆分数值生成!$AK$165:$AV$214,6,0))+IF(N118=0,0,VLOOKUP(能力数值!N118,装备拆分数值生成!$AK$165:$AV$214,8,0))+IF(R118=0,0,VLOOKUP(能力数值!R118,装备拆分数值生成!$AK$165:$AV$214,12,0))</f>
        <v>260</v>
      </c>
      <c r="Z118" s="68"/>
      <c r="AA118" s="68"/>
      <c r="AB118" s="68"/>
      <c r="AC118" s="68"/>
      <c r="AD118" s="68">
        <f>VLOOKUP(D117,宠物成长生成表!$B$5:$J$103,3,0)*$AN$2*(VLOOKUP(E118,$AP$1:$AQ$6,2,0))</f>
        <v>2599.9199999999996</v>
      </c>
      <c r="AE118" s="68">
        <f>VLOOKUP(D117,宠物成长生成表!$B$5:$J$103,4,0)*$AN$3*(VLOOKUP(E118,$AP$1:$AQ$6,2,0))</f>
        <v>665.505</v>
      </c>
      <c r="AF118" s="68">
        <f>VLOOKUP(D117,宠物成长生成表!$B$5:$J$103,4,0)*$AN$4*(VLOOKUP(E118,$AP$1:$AQ$6,2,0))</f>
        <v>665.505</v>
      </c>
      <c r="AG118" s="68">
        <f>VLOOKUP(D117,宠物成长生成表!$B$5:$J$103,7,0)*$AN$5*(VLOOKUP(E118,$AP$1:$AQ$6,2,0))</f>
        <v>620.35599999999999</v>
      </c>
      <c r="AH118" s="68">
        <f>VLOOKUP(D118,宠物成长生成表!$B$5:$J$103,6,0)+VLOOKUP(E118,宠物升阶生成表!$B$6:$F$21,5,0)</f>
        <v>98</v>
      </c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9">
        <f t="shared" si="45"/>
        <v>3571.9199999999996</v>
      </c>
      <c r="AT118" s="69">
        <f t="shared" si="46"/>
        <v>949.505</v>
      </c>
      <c r="AU118" s="69">
        <f t="shared" si="47"/>
        <v>1011.505</v>
      </c>
      <c r="AV118" s="71">
        <f t="shared" si="48"/>
        <v>880.35599999999999</v>
      </c>
      <c r="AW118" s="68"/>
      <c r="AX118" s="68"/>
      <c r="AY118" s="68"/>
      <c r="AZ118" s="68"/>
      <c r="BA118" s="68"/>
      <c r="BB118" s="68"/>
    </row>
    <row r="119" spans="2:54">
      <c r="B119" s="98"/>
      <c r="C119" s="68" t="s">
        <v>427</v>
      </c>
      <c r="D119" s="68">
        <v>15</v>
      </c>
      <c r="E119" s="92">
        <v>2</v>
      </c>
      <c r="F119" s="68"/>
      <c r="G119" s="68"/>
      <c r="H119" s="68">
        <v>14</v>
      </c>
      <c r="I119" s="68"/>
      <c r="J119" s="68">
        <v>12</v>
      </c>
      <c r="K119" s="68"/>
      <c r="L119" s="88">
        <v>17</v>
      </c>
      <c r="M119" s="68"/>
      <c r="N119" s="68">
        <v>5</v>
      </c>
      <c r="O119" s="68"/>
      <c r="P119" s="68">
        <v>4</v>
      </c>
      <c r="Q119" s="68"/>
      <c r="R119" s="68">
        <v>7</v>
      </c>
      <c r="S119" s="68"/>
      <c r="T119" s="68"/>
      <c r="U119" s="68"/>
      <c r="V119" s="69">
        <f>IF(J119=0,0,VLOOKUP(能力数值!J119,装备拆分数值生成!$AK$112:$AV$161,5,0))+IF(P119=0,0,VLOOKUP(能力数值!P119,装备拆分数值生成!$AK$112:$AV$161,5,0))+IF(R119=0,0,VLOOKUP(能力数值!R119,装备拆分数值生成!$AK$112:$AV$161,11,0))</f>
        <v>1511</v>
      </c>
      <c r="W119" s="69">
        <f>IF(H119=0,0,VLOOKUP(能力数值!H119,装备拆分数值生成!$AK$112:$AV$161,3,0))</f>
        <v>233</v>
      </c>
      <c r="X119" s="69">
        <f>IF(H119=0,0,VLOOKUP(能力数值!H119,装备拆分数值生成!$AK$112:$AV$161,4,0))</f>
        <v>233</v>
      </c>
      <c r="Y119" s="69">
        <f>IF(L119=0,0,VLOOKUP(能力数值!L119,装备拆分数值生成!$AK$112:$AV$161,6,0))+IF(N119=0,0,VLOOKUP(能力数值!N119,装备拆分数值生成!$AK$112:$AV$161,8,0))+IF(R119=0,0,VLOOKUP(能力数值!R119,装备拆分数值生成!$AK$112:$AV$161,12,0))</f>
        <v>505</v>
      </c>
      <c r="Z119" s="68"/>
      <c r="AA119" s="68"/>
      <c r="AB119" s="68"/>
      <c r="AC119" s="68"/>
      <c r="AD119" s="68">
        <f>VLOOKUP(D119,宠物成长生成表!$B$5:$J$103,3,0)*$AM$2*(VLOOKUP(E119,$AP$1:$AQ$6,2,0))</f>
        <v>2553.46</v>
      </c>
      <c r="AE119" s="68">
        <f>VLOOKUP(D119,宠物成长生成表!$B$5:$J$103,4,0)*$AM$3*(VLOOKUP(E119,$AP$1:$AQ$6,2,0))</f>
        <v>536.36</v>
      </c>
      <c r="AF119" s="68">
        <f>VLOOKUP(D119,宠物成长生成表!$B$5:$J$103,4,0)*$AM$4*(VLOOKUP(E119,$AP$1:$AQ$6,2,0))</f>
        <v>536.36</v>
      </c>
      <c r="AG119" s="68">
        <f>VLOOKUP(D119,宠物成长生成表!$B$5:$J$103,7,0)*$AM$5*(VLOOKUP(E119,$AP$1:$AQ$6,2,0))</f>
        <v>844.00800000000004</v>
      </c>
      <c r="AH119" s="68">
        <f>VLOOKUP(D119,宠物成长生成表!$B$5:$J$103,6,0)+VLOOKUP(E119,宠物升阶生成表!$B$6:$F$21,5,0)</f>
        <v>98</v>
      </c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9">
        <f t="shared" si="45"/>
        <v>4064.46</v>
      </c>
      <c r="AT119" s="69">
        <f t="shared" si="46"/>
        <v>769.36</v>
      </c>
      <c r="AU119" s="69">
        <f t="shared" si="47"/>
        <v>769.36</v>
      </c>
      <c r="AV119" s="71">
        <f t="shared" si="48"/>
        <v>1349.008</v>
      </c>
      <c r="AW119" s="68"/>
      <c r="AX119" s="68"/>
      <c r="AY119" s="68"/>
      <c r="AZ119" s="68"/>
      <c r="BA119" s="68"/>
      <c r="BB119" s="68"/>
    </row>
    <row r="120" spans="2:54" ht="17.25" thickBot="1">
      <c r="B120" s="99"/>
      <c r="C120" s="72" t="s">
        <v>425</v>
      </c>
      <c r="D120" s="72">
        <v>7</v>
      </c>
      <c r="E120" s="93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69"/>
      <c r="W120" s="69"/>
      <c r="X120" s="69"/>
      <c r="Y120" s="69"/>
      <c r="Z120" s="72"/>
      <c r="AA120" s="72"/>
      <c r="AB120" s="72"/>
      <c r="AC120" s="72"/>
      <c r="AD120" s="72">
        <f>VLOOKUP(D120,宠物成长生成表!$B$5:$J$103,3,0)*$AL$2*(VLOOKUP(E120,$AP$1:$AQ$6,2,0))</f>
        <v>1314.35</v>
      </c>
      <c r="AE120" s="72">
        <f>VLOOKUP(D120,宠物成长生成表!$B$5:$J$103,4,0)*$AL$3*(VLOOKUP(E120,$AP$1:$AQ$6,2,0))</f>
        <v>411.18</v>
      </c>
      <c r="AF120" s="72">
        <f>VLOOKUP(D120,宠物成长生成表!$B$5:$J$103,4,0)*$AL$4*(VLOOKUP(E120,$AP$1:$AQ$6,2,0))</f>
        <v>531.29999999999995</v>
      </c>
      <c r="AG120" s="72">
        <f>VLOOKUP(D120,宠物成长生成表!$B$5:$J$103,7,0)*$AL$5*(VLOOKUP(E120,$AP$1:$AQ$6,2,0))</f>
        <v>335.16</v>
      </c>
      <c r="AH120" s="68">
        <f>VLOOKUP(D120,宠物成长生成表!$B$5:$J$103,6,0)+VLOOKUP(E120,宠物升阶生成表!$B$6:$F$21,5,0)</f>
        <v>61</v>
      </c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8"/>
      <c r="AW120" s="68"/>
      <c r="AX120" s="68"/>
      <c r="AY120" s="68"/>
      <c r="AZ120" s="68"/>
      <c r="BA120" s="68"/>
      <c r="BB120" s="68"/>
    </row>
    <row r="121" spans="2:54">
      <c r="B121" s="97" t="s">
        <v>444</v>
      </c>
      <c r="C121" s="64" t="s">
        <v>428</v>
      </c>
      <c r="D121" s="64">
        <v>15</v>
      </c>
      <c r="E121" s="91">
        <v>2</v>
      </c>
      <c r="F121" s="64"/>
      <c r="G121" s="64"/>
      <c r="H121" s="89">
        <v>13</v>
      </c>
      <c r="I121" s="64"/>
      <c r="J121" s="64">
        <v>9</v>
      </c>
      <c r="K121" s="64"/>
      <c r="L121" s="64">
        <v>11</v>
      </c>
      <c r="M121" s="64"/>
      <c r="N121" s="64"/>
      <c r="O121" s="64"/>
      <c r="P121" s="64">
        <v>6</v>
      </c>
      <c r="Q121" s="64"/>
      <c r="R121" s="64">
        <v>5</v>
      </c>
      <c r="S121" s="64"/>
      <c r="T121" s="64"/>
      <c r="U121" s="64"/>
      <c r="V121" s="65">
        <f>IF(J121=0,0,VLOOKUP(能力数值!J121,装备拆分数值生成!$AK$58:$AV$107,5,0))+IF(P121=0,0,VLOOKUP(P121,装备拆分数值生成!$AK$58:$AV$107,9,0))+IF(R121=0,0,VLOOKUP(R121,装备拆分数值生成!$AK$58:$AV$107,11,0))</f>
        <v>846</v>
      </c>
      <c r="W121" s="65">
        <f>IF(H121=0,0,VLOOKUP(H121,装备拆分数值生成!$AK$58:$AV$107,3,0))+IF(P121=0,0,VLOOKUP(P121,装备拆分数值生成!$AK$58:$AV$107,10,0))</f>
        <v>185</v>
      </c>
      <c r="X121" s="65">
        <f>IF(H121=0,0,VLOOKUP(H121,装备拆分数值生成!$AK$58:$AV$107,4,0))+IF(N121=0,0,VLOOKUP(N121,装备拆分数值生成!$AK$58:$AV$107,7,0))+IF(R121=0,0,VLOOKUP(R121,装备拆分数值生成!$AK$58:$AV$107,12,0))</f>
        <v>419</v>
      </c>
      <c r="Y121" s="65">
        <f>IF(L121=0,0,VLOOKUP(L121,装备拆分数值生成!$AK$58:$AV$107,6,0))+IF(N121=0,0,VLOOKUP(N121,装备拆分数值生成!$AK$58:$AV$107,8,0))</f>
        <v>133</v>
      </c>
      <c r="Z121" s="64"/>
      <c r="AA121" s="64"/>
      <c r="AB121" s="64"/>
      <c r="AC121" s="64"/>
      <c r="AD121" s="68">
        <f>VLOOKUP(D121,宠物成长生成表!$B$5:$J$103,3,0)*$AL$2*(VLOOKUP(E121,$AP$1:$AQ$6,2,0))</f>
        <v>1905.2739999999999</v>
      </c>
      <c r="AE121" s="68">
        <f>VLOOKUP(D121,宠物成长生成表!$B$5:$J$103,4,0)*$AL$3*(VLOOKUP(E121,$AP$1:$AQ$6,2,0))</f>
        <v>596.70049999999992</v>
      </c>
      <c r="AF121" s="68">
        <f>VLOOKUP(D121,宠物成长生成表!$B$5:$J$103,4,0)*$AL$4*(VLOOKUP(E121,$AP$1:$AQ$6,2,0))</f>
        <v>771.01749999999981</v>
      </c>
      <c r="AG121" s="68">
        <f>VLOOKUP(D121,宠物成长生成表!$B$5:$J$103,7,0)*$AL$5*(VLOOKUP(E121,$AP$1:$AQ$6,2,0))</f>
        <v>485.94399999999996</v>
      </c>
      <c r="AH121" s="64">
        <f>VLOOKUP(D121,宠物成长生成表!$B$5:$J$103,6,0)+VLOOKUP(E121,宠物升阶生成表!$B$6:$F$21,5,0)</f>
        <v>98</v>
      </c>
      <c r="AI121" s="64"/>
      <c r="AJ121" s="64"/>
      <c r="AK121" s="64"/>
      <c r="AL121" s="64"/>
      <c r="AM121" s="64"/>
      <c r="AN121" s="64"/>
      <c r="AO121" s="64"/>
      <c r="AP121" s="64"/>
      <c r="AQ121" s="64"/>
      <c r="AR121" s="64"/>
      <c r="AS121" s="65">
        <f t="shared" ref="AS121:AS124" si="49">V121+AD121</f>
        <v>2751.2739999999999</v>
      </c>
      <c r="AT121" s="65">
        <f t="shared" ref="AT121:AT124" si="50">W121+AE121</f>
        <v>781.70049999999992</v>
      </c>
      <c r="AU121" s="65">
        <f t="shared" ref="AU121:AU124" si="51">X121+AF121</f>
        <v>1190.0174999999999</v>
      </c>
      <c r="AV121" s="67">
        <f t="shared" ref="AV121:AV124" si="52">Y121+AG121</f>
        <v>618.94399999999996</v>
      </c>
      <c r="AW121" s="68"/>
      <c r="AX121" s="68"/>
      <c r="AY121" s="68"/>
      <c r="AZ121" s="68"/>
      <c r="BA121" s="68"/>
      <c r="BB121" s="68"/>
    </row>
    <row r="122" spans="2:54">
      <c r="B122" s="98"/>
      <c r="C122" s="68" t="s">
        <v>426</v>
      </c>
      <c r="D122" s="68">
        <v>15</v>
      </c>
      <c r="E122" s="92">
        <v>0</v>
      </c>
      <c r="F122" s="68"/>
      <c r="G122" s="68"/>
      <c r="H122" s="68">
        <v>10</v>
      </c>
      <c r="I122" s="68"/>
      <c r="J122" s="68">
        <v>9</v>
      </c>
      <c r="K122" s="68"/>
      <c r="L122" s="68">
        <v>8</v>
      </c>
      <c r="M122" s="68"/>
      <c r="N122" s="68"/>
      <c r="O122" s="68"/>
      <c r="P122" s="68">
        <v>12</v>
      </c>
      <c r="Q122" s="68"/>
      <c r="R122" s="68">
        <v>4</v>
      </c>
      <c r="S122" s="68"/>
      <c r="T122" s="68"/>
      <c r="U122" s="68"/>
      <c r="V122" s="69">
        <f>IF(J122=0,0,VLOOKUP(能力数值!J122,装备拆分数值生成!$AK$4:$AV$53,5,0))+IF(P122=0,0,VLOOKUP(能力数值!P122,装备拆分数值生成!$AK$4:$AV$53,9,0))+IF(R122=0,0,VLOOKUP(能力数值!R122,装备拆分数值生成!$AK$4:$AV$53,11,0))</f>
        <v>969</v>
      </c>
      <c r="W122" s="69">
        <f>IF(H122=0,0,VLOOKUP(能力数值!H122,装备拆分数值生成!$AK$4:$AV$53,3,0))+IF(N122=0,0,VLOOKUP(能力数值!N122,装备拆分数值生成!$AK$4:$AV$53,7,0))+IF(R122=0,0,VLOOKUP(能力数值!R122,装备拆分数值生成!$AK$4:$AV$53,12,0))</f>
        <v>357</v>
      </c>
      <c r="X122" s="69">
        <f>IF(H122=0,0,VLOOKUP(能力数值!H122,装备拆分数值生成!$AK$4:$AV$53,4,0))+IF(P122=0,0,VLOOKUP(能力数值!P122,装备拆分数值生成!$AK$4:$AV$53,10,0))</f>
        <v>169</v>
      </c>
      <c r="Y122" s="69">
        <f>IF(L122=0,0,VLOOKUP(能力数值!L122,装备拆分数值生成!$AK$4:$AV$53,6,0))+IF(N122=0,0,VLOOKUP(能力数值!N122,装备拆分数值生成!$AK$4:$AV$53,8,0))</f>
        <v>113</v>
      </c>
      <c r="Z122" s="68"/>
      <c r="AA122" s="68"/>
      <c r="AB122" s="68"/>
      <c r="AC122" s="68"/>
      <c r="AD122" s="68">
        <f>VLOOKUP(D122,宠物成长生成表!$B$5:$J$103,3,0)*$AO$2*(VLOOKUP(E122,$AP$1:$AQ$6,2,0))</f>
        <v>1656.76</v>
      </c>
      <c r="AE122" s="68">
        <f>VLOOKUP(D122,宠物成长生成表!$B$5:$J$103,4,0)*(VLOOKUP(E122,$AP$1:$AQ$6,2,0))</f>
        <v>583</v>
      </c>
      <c r="AF122" s="68">
        <f>VLOOKUP(D122,宠物成长生成表!$B$5:$J$103,4,0)*$AO$4*(VLOOKUP(E122,$AP$1:$AQ$6,2,0))</f>
        <v>518.87</v>
      </c>
      <c r="AG122" s="68">
        <f>VLOOKUP(D122,宠物成长生成表!$B$5:$J$103,7,0)*$AO$5*(VLOOKUP(E122,$AP$1:$AQ$6,2,0))</f>
        <v>422.56</v>
      </c>
      <c r="AH122" s="68">
        <f>VLOOKUP(D122,宠物成长生成表!$B$5:$J$103,6,0)+VLOOKUP(E122,宠物升阶生成表!$B$6:$F$21,5,0)</f>
        <v>70</v>
      </c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9">
        <f t="shared" si="49"/>
        <v>2625.76</v>
      </c>
      <c r="AT122" s="69">
        <f t="shared" si="50"/>
        <v>940</v>
      </c>
      <c r="AU122" s="69">
        <f t="shared" si="51"/>
        <v>687.87</v>
      </c>
      <c r="AV122" s="71">
        <f t="shared" si="52"/>
        <v>535.55999999999995</v>
      </c>
      <c r="AW122" s="68"/>
      <c r="AX122" s="68"/>
      <c r="AY122" s="68"/>
      <c r="AZ122" s="68"/>
      <c r="BA122" s="68"/>
      <c r="BB122" s="68"/>
    </row>
    <row r="123" spans="2:54">
      <c r="B123" s="98"/>
      <c r="C123" s="68" t="s">
        <v>394</v>
      </c>
      <c r="D123" s="68">
        <v>13</v>
      </c>
      <c r="E123" s="92">
        <v>0</v>
      </c>
      <c r="F123" s="68"/>
      <c r="G123" s="68"/>
      <c r="H123" s="68">
        <v>11</v>
      </c>
      <c r="I123" s="68"/>
      <c r="J123" s="68">
        <v>9</v>
      </c>
      <c r="K123" s="68"/>
      <c r="L123" s="68">
        <v>10</v>
      </c>
      <c r="M123" s="68"/>
      <c r="N123" s="68"/>
      <c r="O123" s="68"/>
      <c r="P123" s="68">
        <v>6</v>
      </c>
      <c r="Q123" s="68"/>
      <c r="R123" s="68">
        <v>5</v>
      </c>
      <c r="S123" s="68"/>
      <c r="T123" s="68"/>
      <c r="U123" s="68"/>
      <c r="V123" s="69">
        <f>IF(J123=0,0,VLOOKUP(能力数值!J123,装备拆分数值生成!$AK$165:$AV$214,5,0))+IF(P123=0,0,VLOOKUP(能力数值!P123,装备拆分数值生成!$AK$165:$AV$214,9,0))+IF(R123=0,0,VLOOKUP(能力数值!R123,装备拆分数值生成!$AK$165:$AV$214,11,0))</f>
        <v>841</v>
      </c>
      <c r="W123" s="69">
        <f>IF(H123=0,0,VLOOKUP(能力数值!H123,装备拆分数值生成!$AK$165:$AV$214,3,0))</f>
        <v>210</v>
      </c>
      <c r="X123" s="69">
        <f>IF(H123=0,0,VLOOKUP(能力数值!H123,装备拆分数值生成!$AK$165:$AV$214,4,0))+IF(P123=0,0,VLOOKUP(能力数值!P123,装备拆分数值生成!$AK$165:$AV$214,10,0))</f>
        <v>263</v>
      </c>
      <c r="Y123" s="69">
        <f>IF(L123=0,0,VLOOKUP(能力数值!L123,装备拆分数值生成!$AK$165:$AV$214,6,0))+IF(N123=0,0,VLOOKUP(能力数值!N123,装备拆分数值生成!$AK$165:$AV$214,8,0))+IF(R123=0,0,VLOOKUP(能力数值!R123,装备拆分数值生成!$AK$165:$AV$214,12,0))</f>
        <v>180</v>
      </c>
      <c r="Z123" s="68"/>
      <c r="AA123" s="68"/>
      <c r="AB123" s="68"/>
      <c r="AC123" s="68"/>
      <c r="AD123" s="68">
        <f>VLOOKUP(D122,宠物成长生成表!$B$5:$J$103,3,0)*$AN$2*(VLOOKUP(E123,$AP$1:$AQ$6,2,0))</f>
        <v>2049.6</v>
      </c>
      <c r="AE123" s="68">
        <f>VLOOKUP(D122,宠物成长生成表!$B$5:$J$103,4,0)*$AN$3*(VLOOKUP(E123,$AP$1:$AQ$6,2,0))</f>
        <v>524.70000000000005</v>
      </c>
      <c r="AF123" s="68">
        <f>VLOOKUP(D122,宠物成长生成表!$B$5:$J$103,4,0)*$AN$4*(VLOOKUP(E123,$AP$1:$AQ$6,2,0))</f>
        <v>524.70000000000005</v>
      </c>
      <c r="AG123" s="68">
        <f>VLOOKUP(D122,宠物成长生成表!$B$5:$J$103,7,0)*$AN$5*(VLOOKUP(E123,$AP$1:$AQ$6,2,0))</f>
        <v>489.28000000000003</v>
      </c>
      <c r="AH123" s="68">
        <f>VLOOKUP(D123,宠物成长生成表!$B$5:$J$103,6,0)+VLOOKUP(E123,宠物升阶生成表!$B$6:$F$21,5,0)</f>
        <v>68</v>
      </c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9">
        <f t="shared" si="49"/>
        <v>2890.6</v>
      </c>
      <c r="AT123" s="69">
        <f t="shared" si="50"/>
        <v>734.7</v>
      </c>
      <c r="AU123" s="69">
        <f t="shared" si="51"/>
        <v>787.7</v>
      </c>
      <c r="AV123" s="71">
        <f t="shared" si="52"/>
        <v>669.28</v>
      </c>
      <c r="AW123" s="68"/>
      <c r="AX123" s="68"/>
      <c r="AY123" s="68"/>
      <c r="AZ123" s="68"/>
      <c r="BA123" s="68"/>
      <c r="BB123" s="68"/>
    </row>
    <row r="124" spans="2:54">
      <c r="B124" s="98"/>
      <c r="C124" s="68" t="s">
        <v>427</v>
      </c>
      <c r="D124" s="68">
        <v>11</v>
      </c>
      <c r="E124" s="92">
        <v>1</v>
      </c>
      <c r="F124" s="68"/>
      <c r="G124" s="68"/>
      <c r="H124" s="68">
        <v>8</v>
      </c>
      <c r="I124" s="68"/>
      <c r="J124" s="88">
        <v>12</v>
      </c>
      <c r="K124" s="68"/>
      <c r="L124" s="88">
        <v>15</v>
      </c>
      <c r="M124" s="68"/>
      <c r="N124" s="68"/>
      <c r="O124" s="68"/>
      <c r="P124" s="68">
        <v>4</v>
      </c>
      <c r="Q124" s="68"/>
      <c r="R124" s="68">
        <v>7</v>
      </c>
      <c r="S124" s="68"/>
      <c r="T124" s="68"/>
      <c r="U124" s="68"/>
      <c r="V124" s="69">
        <f>IF(J124=0,0,VLOOKUP(能力数值!J124,装备拆分数值生成!$AK$112:$AV$161,5,0))+IF(P124=0,0,VLOOKUP(能力数值!P124,装备拆分数值生成!$AK$112:$AV$161,5,0))+IF(R124=0,0,VLOOKUP(能力数值!R124,装备拆分数值生成!$AK$112:$AV$161,11,0))</f>
        <v>1511</v>
      </c>
      <c r="W124" s="69">
        <f>IF(H124=0,0,VLOOKUP(能力数值!H124,装备拆分数值生成!$AK$112:$AV$161,3,0))</f>
        <v>164</v>
      </c>
      <c r="X124" s="69">
        <f>IF(H124=0,0,VLOOKUP(能力数值!H124,装备拆分数值生成!$AK$112:$AV$161,4,0))</f>
        <v>164</v>
      </c>
      <c r="Y124" s="69">
        <f>IF(L124=0,0,VLOOKUP(能力数值!L124,装备拆分数值生成!$AK$112:$AV$161,6,0))+IF(N124=0,0,VLOOKUP(能力数值!N124,装备拆分数值生成!$AK$112:$AV$161,8,0))+IF(R124=0,0,VLOOKUP(能力数值!R124,装备拆分数值生成!$AK$112:$AV$161,12,0))</f>
        <v>370</v>
      </c>
      <c r="Z124" s="68"/>
      <c r="AA124" s="68"/>
      <c r="AB124" s="68"/>
      <c r="AC124" s="68"/>
      <c r="AD124" s="68">
        <f>VLOOKUP(D124,宠物成长生成表!$B$5:$J$103,3,0)*$AM$2*(VLOOKUP(E124,$AP$1:$AQ$6,2,0))</f>
        <v>2091.1800000000003</v>
      </c>
      <c r="AE124" s="68">
        <f>VLOOKUP(D124,宠物成长生成表!$B$5:$J$103,4,0)*$AM$3*(VLOOKUP(E124,$AP$1:$AQ$6,2,0))</f>
        <v>439.32000000000005</v>
      </c>
      <c r="AF124" s="68">
        <f>VLOOKUP(D124,宠物成长生成表!$B$5:$J$103,4,0)*$AM$4*(VLOOKUP(E124,$AP$1:$AQ$6,2,0))</f>
        <v>439.32000000000005</v>
      </c>
      <c r="AG124" s="68">
        <f>VLOOKUP(D124,宠物成长生成表!$B$5:$J$103,7,0)*$AM$5*(VLOOKUP(E124,$AP$1:$AQ$6,2,0))</f>
        <v>690.22800000000007</v>
      </c>
      <c r="AH124" s="68">
        <f>VLOOKUP(D124,宠物成长生成表!$B$5:$J$103,6,0)+VLOOKUP(E124,宠物升阶生成表!$B$6:$F$21,5,0)</f>
        <v>76</v>
      </c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9">
        <f t="shared" si="49"/>
        <v>3602.1800000000003</v>
      </c>
      <c r="AT124" s="69">
        <f t="shared" si="50"/>
        <v>603.32000000000005</v>
      </c>
      <c r="AU124" s="69">
        <f t="shared" si="51"/>
        <v>603.32000000000005</v>
      </c>
      <c r="AV124" s="71">
        <f t="shared" si="52"/>
        <v>1060.2280000000001</v>
      </c>
      <c r="AW124" s="68"/>
      <c r="AX124" s="68"/>
      <c r="AY124" s="68"/>
      <c r="AZ124" s="68"/>
      <c r="BA124" s="68"/>
      <c r="BB124" s="68"/>
    </row>
    <row r="125" spans="2:54" ht="17.25" thickBot="1">
      <c r="B125" s="99"/>
      <c r="C125" s="72" t="s">
        <v>425</v>
      </c>
      <c r="D125" s="72">
        <v>7</v>
      </c>
      <c r="E125" s="93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69"/>
      <c r="W125" s="69"/>
      <c r="X125" s="69"/>
      <c r="Y125" s="69"/>
      <c r="Z125" s="72"/>
      <c r="AA125" s="72"/>
      <c r="AB125" s="72"/>
      <c r="AC125" s="72"/>
      <c r="AD125" s="72">
        <f>VLOOKUP(D125,宠物成长生成表!$B$5:$J$103,3,0)*$AL$2*(VLOOKUP(E125,$AP$1:$AQ$6,2,0))</f>
        <v>1314.35</v>
      </c>
      <c r="AE125" s="72">
        <f>VLOOKUP(D125,宠物成长生成表!$B$5:$J$103,4,0)*$AL$3*(VLOOKUP(E125,$AP$1:$AQ$6,2,0))</f>
        <v>411.18</v>
      </c>
      <c r="AF125" s="72">
        <f>VLOOKUP(D125,宠物成长生成表!$B$5:$J$103,4,0)*$AL$4*(VLOOKUP(E125,$AP$1:$AQ$6,2,0))</f>
        <v>531.29999999999995</v>
      </c>
      <c r="AG125" s="72">
        <f>VLOOKUP(D125,宠物成长生成表!$B$5:$J$103,7,0)*$AL$5*(VLOOKUP(E125,$AP$1:$AQ$6,2,0))</f>
        <v>335.16</v>
      </c>
      <c r="AH125" s="68">
        <f>VLOOKUP(D125,宠物成长生成表!$B$5:$J$103,6,0)+VLOOKUP(E125,宠物升阶生成表!$B$6:$F$21,5,0)</f>
        <v>61</v>
      </c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8"/>
      <c r="AW125" s="68"/>
      <c r="AX125" s="68"/>
      <c r="AY125" s="68"/>
      <c r="AZ125" s="68"/>
      <c r="BA125" s="68"/>
      <c r="BB125" s="68"/>
    </row>
    <row r="126" spans="2:54">
      <c r="B126" s="97" t="s">
        <v>445</v>
      </c>
      <c r="C126" s="64" t="s">
        <v>428</v>
      </c>
      <c r="D126" s="64">
        <v>15</v>
      </c>
      <c r="E126" s="91">
        <v>2</v>
      </c>
      <c r="F126" s="64"/>
      <c r="G126" s="64"/>
      <c r="H126" s="89">
        <v>14</v>
      </c>
      <c r="I126" s="64"/>
      <c r="J126" s="64">
        <v>9</v>
      </c>
      <c r="K126" s="64"/>
      <c r="L126" s="64">
        <v>6</v>
      </c>
      <c r="M126" s="64"/>
      <c r="N126" s="64"/>
      <c r="O126" s="64"/>
      <c r="P126" s="64">
        <v>3</v>
      </c>
      <c r="Q126" s="64"/>
      <c r="R126" s="64">
        <v>2</v>
      </c>
      <c r="S126" s="64"/>
      <c r="T126" s="64"/>
      <c r="U126" s="64"/>
      <c r="V126" s="65">
        <f>IF(J126=0,0,VLOOKUP(能力数值!J126,装备拆分数值生成!$AK$58:$AV$107,5,0))+IF(P126=0,0,VLOOKUP(P126,装备拆分数值生成!$AK$58:$AV$107,9,0))+IF(R126=0,0,VLOOKUP(R126,装备拆分数值生成!$AK$58:$AV$107,11,0))</f>
        <v>775</v>
      </c>
      <c r="W126" s="65">
        <f>IF(H126=0,0,VLOOKUP(H126,装备拆分数值生成!$AK$58:$AV$107,3,0))+IF(P126=0,0,VLOOKUP(P126,装备拆分数值生成!$AK$58:$AV$107,10,0))</f>
        <v>190</v>
      </c>
      <c r="X126" s="65">
        <f>IF(H126=0,0,VLOOKUP(H126,装备拆分数值生成!$AK$58:$AV$107,4,0))+IF(N126=0,0,VLOOKUP(N126,装备拆分数值生成!$AK$58:$AV$107,7,0))+IF(R126=0,0,VLOOKUP(R126,装备拆分数值生成!$AK$58:$AV$107,12,0))</f>
        <v>419</v>
      </c>
      <c r="Y126" s="65">
        <f>IF(L126=0,0,VLOOKUP(L126,装备拆分数值生成!$AK$58:$AV$107,6,0))+IF(N126=0,0,VLOOKUP(N126,装备拆分数值生成!$AK$58:$AV$107,8,0))</f>
        <v>101</v>
      </c>
      <c r="Z126" s="64"/>
      <c r="AA126" s="64"/>
      <c r="AB126" s="64"/>
      <c r="AC126" s="64"/>
      <c r="AD126" s="68">
        <f>VLOOKUP(D126,宠物成长生成表!$B$5:$J$103,3,0)*$AL$2*(VLOOKUP(E126,$AP$1:$AQ$6,2,0))</f>
        <v>1905.2739999999999</v>
      </c>
      <c r="AE126" s="68">
        <f>VLOOKUP(D126,宠物成长生成表!$B$5:$J$103,4,0)*$AL$3*(VLOOKUP(E126,$AP$1:$AQ$6,2,0))</f>
        <v>596.70049999999992</v>
      </c>
      <c r="AF126" s="68">
        <f>VLOOKUP(D126,宠物成长生成表!$B$5:$J$103,4,0)*$AL$4*(VLOOKUP(E126,$AP$1:$AQ$6,2,0))</f>
        <v>771.01749999999981</v>
      </c>
      <c r="AG126" s="68">
        <f>VLOOKUP(D126,宠物成长生成表!$B$5:$J$103,7,0)*$AL$5*(VLOOKUP(E126,$AP$1:$AQ$6,2,0))</f>
        <v>485.94399999999996</v>
      </c>
      <c r="AH126" s="64">
        <f>VLOOKUP(D126,宠物成长生成表!$B$5:$J$103,6,0)+VLOOKUP(E126,宠物升阶生成表!$B$6:$F$21,5,0)</f>
        <v>98</v>
      </c>
      <c r="AI126" s="64"/>
      <c r="AJ126" s="64"/>
      <c r="AK126" s="64"/>
      <c r="AL126" s="64"/>
      <c r="AM126" s="64"/>
      <c r="AN126" s="64"/>
      <c r="AO126" s="64"/>
      <c r="AP126" s="64"/>
      <c r="AQ126" s="64"/>
      <c r="AR126" s="64"/>
      <c r="AS126" s="65">
        <f t="shared" ref="AS126:AS129" si="53">V126+AD126</f>
        <v>2680.2739999999999</v>
      </c>
      <c r="AT126" s="65">
        <f t="shared" ref="AT126:AT129" si="54">W126+AE126</f>
        <v>786.70049999999992</v>
      </c>
      <c r="AU126" s="65">
        <f t="shared" ref="AU126:AU129" si="55">X126+AF126</f>
        <v>1190.0174999999999</v>
      </c>
      <c r="AV126" s="67">
        <f t="shared" ref="AV126:AV129" si="56">Y126+AG126</f>
        <v>586.94399999999996</v>
      </c>
      <c r="AW126" s="68"/>
      <c r="AX126" s="68"/>
      <c r="AY126" s="68"/>
      <c r="AZ126" s="68"/>
      <c r="BA126" s="68"/>
      <c r="BB126" s="68"/>
    </row>
    <row r="127" spans="2:54">
      <c r="B127" s="98"/>
      <c r="C127" s="68" t="s">
        <v>426</v>
      </c>
      <c r="D127" s="68">
        <v>12</v>
      </c>
      <c r="E127" s="92">
        <v>1</v>
      </c>
      <c r="F127" s="68"/>
      <c r="G127" s="68"/>
      <c r="H127" s="68">
        <v>10</v>
      </c>
      <c r="I127" s="68"/>
      <c r="J127" s="68">
        <v>9</v>
      </c>
      <c r="K127" s="68"/>
      <c r="L127" s="68">
        <v>9</v>
      </c>
      <c r="M127" s="68"/>
      <c r="N127" s="68"/>
      <c r="O127" s="68"/>
      <c r="P127" s="68">
        <v>6</v>
      </c>
      <c r="Q127" s="68"/>
      <c r="R127" s="68">
        <v>1</v>
      </c>
      <c r="S127" s="68"/>
      <c r="T127" s="68"/>
      <c r="U127" s="68"/>
      <c r="V127" s="69">
        <f>IF(J127=0,0,VLOOKUP(能力数值!J127,装备拆分数值生成!$AK$4:$AV$53,5,0))+IF(P127=0,0,VLOOKUP(能力数值!P127,装备拆分数值生成!$AK$4:$AV$53,9,0))+IF(R127=0,0,VLOOKUP(能力数值!R127,装备拆分数值生成!$AK$4:$AV$53,11,0))</f>
        <v>827</v>
      </c>
      <c r="W127" s="69">
        <f>IF(H127=0,0,VLOOKUP(能力数值!H127,装备拆分数值生成!$AK$4:$AV$53,3,0))+IF(N127=0,0,VLOOKUP(能力数值!N127,装备拆分数值生成!$AK$4:$AV$53,7,0))+IF(R127=0,0,VLOOKUP(能力数值!R127,装备拆分数值生成!$AK$4:$AV$53,12,0))</f>
        <v>338</v>
      </c>
      <c r="X127" s="69">
        <f>IF(H127=0,0,VLOOKUP(能力数值!H127,装备拆分数值生成!$AK$4:$AV$53,4,0))+IF(P127=0,0,VLOOKUP(能力数值!P127,装备拆分数值生成!$AK$4:$AV$53,10,0))</f>
        <v>158</v>
      </c>
      <c r="Y127" s="69">
        <f>IF(L127=0,0,VLOOKUP(能力数值!L127,装备拆分数值生成!$AK$4:$AV$53,6,0))+IF(N127=0,0,VLOOKUP(能力数值!N127,装备拆分数值生成!$AK$4:$AV$53,8,0))</f>
        <v>120</v>
      </c>
      <c r="Z127" s="68"/>
      <c r="AA127" s="68"/>
      <c r="AB127" s="68"/>
      <c r="AC127" s="68"/>
      <c r="AD127" s="68">
        <f>VLOOKUP(D127,宠物成长生成表!$B$5:$J$103,3,0)*$AO$2*(VLOOKUP(E127,$AP$1:$AQ$6,2,0))</f>
        <v>1605.1560000000002</v>
      </c>
      <c r="AE127" s="68">
        <f>VLOOKUP(D127,宠物成长生成表!$B$5:$J$103,4,0)*(VLOOKUP(E127,$AP$1:$AQ$6,2,0))</f>
        <v>564.9</v>
      </c>
      <c r="AF127" s="68">
        <f>VLOOKUP(D127,宠物成长生成表!$B$5:$J$103,4,0)*$AO$4*(VLOOKUP(E127,$AP$1:$AQ$6,2,0))</f>
        <v>502.76100000000002</v>
      </c>
      <c r="AG127" s="68">
        <f>VLOOKUP(D127,宠物成长生成表!$B$5:$J$103,7,0)*$AO$5*(VLOOKUP(E127,$AP$1:$AQ$6,2,0))</f>
        <v>409.37400000000002</v>
      </c>
      <c r="AH127" s="68">
        <f>VLOOKUP(D127,宠物成长生成表!$B$5:$J$103,6,0)+VLOOKUP(E127,宠物升阶生成表!$B$6:$F$21,5,0)</f>
        <v>77</v>
      </c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9">
        <f t="shared" si="53"/>
        <v>2432.1559999999999</v>
      </c>
      <c r="AT127" s="69">
        <f t="shared" si="54"/>
        <v>902.9</v>
      </c>
      <c r="AU127" s="69">
        <f t="shared" si="55"/>
        <v>660.76099999999997</v>
      </c>
      <c r="AV127" s="71">
        <f t="shared" si="56"/>
        <v>529.37400000000002</v>
      </c>
      <c r="AW127" s="68"/>
      <c r="AX127" s="68"/>
      <c r="AY127" s="68"/>
      <c r="AZ127" s="68"/>
      <c r="BA127" s="68"/>
      <c r="BB127" s="68"/>
    </row>
    <row r="128" spans="2:54">
      <c r="B128" s="98"/>
      <c r="C128" s="68" t="s">
        <v>394</v>
      </c>
      <c r="D128" s="68">
        <v>12</v>
      </c>
      <c r="E128" s="92">
        <v>1</v>
      </c>
      <c r="F128" s="68"/>
      <c r="G128" s="68"/>
      <c r="H128" s="88">
        <v>11</v>
      </c>
      <c r="I128" s="68"/>
      <c r="J128" s="68">
        <v>9</v>
      </c>
      <c r="K128" s="68"/>
      <c r="L128" s="68">
        <v>10</v>
      </c>
      <c r="M128" s="68"/>
      <c r="N128" s="68"/>
      <c r="O128" s="68"/>
      <c r="P128" s="68">
        <v>3</v>
      </c>
      <c r="Q128" s="68"/>
      <c r="R128" s="68">
        <v>2</v>
      </c>
      <c r="S128" s="68"/>
      <c r="T128" s="68"/>
      <c r="U128" s="68"/>
      <c r="V128" s="69">
        <f>IF(J128=0,0,VLOOKUP(能力数值!J128,装备拆分数值生成!$AK$165:$AV$214,5,0))+IF(P128=0,0,VLOOKUP(能力数值!P128,装备拆分数值生成!$AK$165:$AV$214,9,0))+IF(R128=0,0,VLOOKUP(能力数值!R128,装备拆分数值生成!$AK$165:$AV$214,11,0))</f>
        <v>770</v>
      </c>
      <c r="W128" s="69">
        <f>IF(H128=0,0,VLOOKUP(能力数值!H128,装备拆分数值生成!$AK$165:$AV$214,3,0))</f>
        <v>210</v>
      </c>
      <c r="X128" s="69">
        <f>IF(H128=0,0,VLOOKUP(能力数值!H128,装备拆分数值生成!$AK$165:$AV$214,4,0))+IF(P128=0,0,VLOOKUP(能力数值!P128,装备拆分数值生成!$AK$165:$AV$214,10,0))</f>
        <v>253</v>
      </c>
      <c r="Y128" s="69">
        <f>IF(L128=0,0,VLOOKUP(能力数值!L128,装备拆分数值生成!$AK$165:$AV$214,6,0))+IF(N128=0,0,VLOOKUP(能力数值!N128,装备拆分数值生成!$AK$165:$AV$214,8,0))+IF(R128=0,0,VLOOKUP(能力数值!R128,装备拆分数值生成!$AK$165:$AV$214,12,0))</f>
        <v>176</v>
      </c>
      <c r="Z128" s="68"/>
      <c r="AA128" s="68"/>
      <c r="AB128" s="68"/>
      <c r="AC128" s="68"/>
      <c r="AD128" s="68">
        <f>VLOOKUP(D127,宠物成长生成表!$B$5:$J$103,3,0)*$AN$2*(VLOOKUP(E128,$AP$1:$AQ$6,2,0))</f>
        <v>1985.76</v>
      </c>
      <c r="AE128" s="68">
        <f>VLOOKUP(D127,宠物成长生成表!$B$5:$J$103,4,0)*$AN$3*(VLOOKUP(E128,$AP$1:$AQ$6,2,0))</f>
        <v>508.41</v>
      </c>
      <c r="AF128" s="68">
        <f>VLOOKUP(D127,宠物成长生成表!$B$5:$J$103,4,0)*$AN$4*(VLOOKUP(E128,$AP$1:$AQ$6,2,0))</f>
        <v>508.41</v>
      </c>
      <c r="AG128" s="68">
        <f>VLOOKUP(D127,宠物成长生成表!$B$5:$J$103,7,0)*$AN$5*(VLOOKUP(E128,$AP$1:$AQ$6,2,0))</f>
        <v>474.012</v>
      </c>
      <c r="AH128" s="68">
        <f>VLOOKUP(D128,宠物成长生成表!$B$5:$J$103,6,0)+VLOOKUP(E128,宠物升阶生成表!$B$6:$F$21,5,0)</f>
        <v>77</v>
      </c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9">
        <f t="shared" si="53"/>
        <v>2755.76</v>
      </c>
      <c r="AT128" s="69">
        <f t="shared" si="54"/>
        <v>718.41000000000008</v>
      </c>
      <c r="AU128" s="69">
        <f t="shared" si="55"/>
        <v>761.41000000000008</v>
      </c>
      <c r="AV128" s="71">
        <f t="shared" si="56"/>
        <v>650.01199999999994</v>
      </c>
      <c r="AW128" s="68"/>
      <c r="AX128" s="68"/>
      <c r="AY128" s="68"/>
      <c r="AZ128" s="68"/>
      <c r="BA128" s="68"/>
      <c r="BB128" s="68"/>
    </row>
    <row r="129" spans="2:54">
      <c r="B129" s="98"/>
      <c r="C129" s="68" t="s">
        <v>427</v>
      </c>
      <c r="D129" s="68">
        <v>8</v>
      </c>
      <c r="E129" s="92"/>
      <c r="F129" s="68"/>
      <c r="G129" s="68"/>
      <c r="H129" s="68">
        <v>7</v>
      </c>
      <c r="I129" s="68"/>
      <c r="J129" s="68">
        <v>10</v>
      </c>
      <c r="K129" s="68"/>
      <c r="L129" s="88">
        <v>13</v>
      </c>
      <c r="M129" s="68"/>
      <c r="N129" s="68"/>
      <c r="O129" s="68"/>
      <c r="P129" s="68">
        <v>3</v>
      </c>
      <c r="Q129" s="68"/>
      <c r="R129" s="68">
        <v>3</v>
      </c>
      <c r="S129" s="68"/>
      <c r="T129" s="68"/>
      <c r="U129" s="68"/>
      <c r="V129" s="69">
        <f>IF(J129=0,0,VLOOKUP(能力数值!J129,装备拆分数值生成!$AK$112:$AV$161,5,0))+IF(P129=0,0,VLOOKUP(能力数值!P129,装备拆分数值生成!$AK$112:$AV$161,5,0))+IF(R129=0,0,VLOOKUP(能力数值!R129,装备拆分数值生成!$AK$112:$AV$161,11,0))</f>
        <v>1349</v>
      </c>
      <c r="W129" s="69">
        <f>IF(H129=0,0,VLOOKUP(能力数值!H129,装备拆分数值生成!$AK$112:$AV$161,3,0))</f>
        <v>155</v>
      </c>
      <c r="X129" s="69">
        <f>IF(H129=0,0,VLOOKUP(能力数值!H129,装备拆分数值生成!$AK$112:$AV$161,4,0))</f>
        <v>155</v>
      </c>
      <c r="Y129" s="69">
        <f>IF(L129=0,0,VLOOKUP(能力数值!L129,装备拆分数值生成!$AK$112:$AV$161,6,0))+IF(N129=0,0,VLOOKUP(能力数值!N129,装备拆分数值生成!$AK$112:$AV$161,8,0))+IF(R129=0,0,VLOOKUP(能力数值!R129,装备拆分数值生成!$AK$112:$AV$161,12,0))</f>
        <v>315</v>
      </c>
      <c r="Z129" s="68"/>
      <c r="AA129" s="68"/>
      <c r="AB129" s="68"/>
      <c r="AC129" s="68"/>
      <c r="AD129" s="68">
        <f>VLOOKUP(D129,宠物成长生成表!$B$5:$J$103,3,0)*$AM$2*(VLOOKUP(E129,$AP$1:$AQ$6,2,0))</f>
        <v>1818.7</v>
      </c>
      <c r="AE129" s="68">
        <f>VLOOKUP(D129,宠物成长生成表!$B$5:$J$103,4,0)*$AM$3*(VLOOKUP(E129,$AP$1:$AQ$6,2,0))</f>
        <v>381.6</v>
      </c>
      <c r="AF129" s="68">
        <f>VLOOKUP(D129,宠物成长生成表!$B$5:$J$103,4,0)*$AM$4*(VLOOKUP(E129,$AP$1:$AQ$6,2,0))</f>
        <v>381.6</v>
      </c>
      <c r="AG129" s="68">
        <f>VLOOKUP(D129,宠物成长生成表!$B$5:$J$103,7,0)*$AM$5*(VLOOKUP(E129,$AP$1:$AQ$6,2,0))</f>
        <v>600.6</v>
      </c>
      <c r="AH129" s="68">
        <f>VLOOKUP(D129,宠物成长生成表!$B$5:$J$103,6,0)+VLOOKUP(E129,宠物升阶生成表!$B$6:$F$21,5,0)</f>
        <v>62</v>
      </c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9">
        <f t="shared" si="53"/>
        <v>3167.7</v>
      </c>
      <c r="AT129" s="69">
        <f t="shared" si="54"/>
        <v>536.6</v>
      </c>
      <c r="AU129" s="69">
        <f t="shared" si="55"/>
        <v>536.6</v>
      </c>
      <c r="AV129" s="71">
        <f t="shared" si="56"/>
        <v>915.6</v>
      </c>
      <c r="AW129" s="68"/>
      <c r="AX129" s="68"/>
      <c r="AY129" s="68"/>
      <c r="AZ129" s="68"/>
      <c r="BA129" s="68"/>
      <c r="BB129" s="68"/>
    </row>
    <row r="130" spans="2:54" ht="17.25" thickBot="1">
      <c r="B130" s="99"/>
      <c r="C130" s="72" t="s">
        <v>425</v>
      </c>
      <c r="D130" s="72">
        <v>5</v>
      </c>
      <c r="E130" s="93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69"/>
      <c r="W130" s="69"/>
      <c r="X130" s="69"/>
      <c r="Y130" s="69"/>
      <c r="Z130" s="72"/>
      <c r="AA130" s="72"/>
      <c r="AB130" s="72"/>
      <c r="AC130" s="72"/>
      <c r="AD130" s="72">
        <f>VLOOKUP(D130,宠物成长生成表!$B$5:$J$103,3,0)*$AL$2*(VLOOKUP(E130,$AP$1:$AQ$6,2,0))</f>
        <v>1228.99</v>
      </c>
      <c r="AE130" s="72">
        <f>VLOOKUP(D130,宠物成长生成表!$B$5:$J$103,4,0)*$AL$3*(VLOOKUP(E130,$AP$1:$AQ$6,2,0))</f>
        <v>384.48</v>
      </c>
      <c r="AF130" s="72">
        <f>VLOOKUP(D130,宠物成长生成表!$B$5:$J$103,4,0)*$AL$4*(VLOOKUP(E130,$AP$1:$AQ$6,2,0))</f>
        <v>496.79999999999995</v>
      </c>
      <c r="AG130" s="72">
        <f>VLOOKUP(D130,宠物成长生成表!$B$5:$J$103,7,0)*$AL$5*(VLOOKUP(E130,$AP$1:$AQ$6,2,0))</f>
        <v>313.12</v>
      </c>
      <c r="AH130" s="68">
        <f>VLOOKUP(D130,宠物成长生成表!$B$5:$J$103,6,0)+VLOOKUP(E130,宠物升阶生成表!$B$6:$F$21,5,0)</f>
        <v>59</v>
      </c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8"/>
      <c r="AW130" s="68"/>
      <c r="AX130" s="68"/>
      <c r="AY130" s="68"/>
      <c r="AZ130" s="68"/>
      <c r="BA130" s="68"/>
      <c r="BB130" s="68"/>
    </row>
    <row r="131" spans="2:54">
      <c r="B131" s="97" t="s">
        <v>446</v>
      </c>
      <c r="C131" s="64" t="s">
        <v>428</v>
      </c>
      <c r="D131" s="64">
        <v>15</v>
      </c>
      <c r="E131" s="91">
        <v>2</v>
      </c>
      <c r="F131" s="64"/>
      <c r="G131" s="64"/>
      <c r="H131" s="89">
        <v>14</v>
      </c>
      <c r="I131" s="64"/>
      <c r="J131" s="64">
        <v>9</v>
      </c>
      <c r="K131" s="64"/>
      <c r="L131" s="64">
        <v>6</v>
      </c>
      <c r="M131" s="64"/>
      <c r="N131" s="64"/>
      <c r="O131" s="64"/>
      <c r="P131" s="64">
        <v>3</v>
      </c>
      <c r="Q131" s="64"/>
      <c r="R131" s="64"/>
      <c r="S131" s="64"/>
      <c r="T131" s="64"/>
      <c r="U131" s="64"/>
      <c r="V131" s="65">
        <f>IF(J131=0,0,VLOOKUP(能力数值!J131,装备拆分数值生成!$AK$58:$AV$107,5,0))+IF(P131=0,0,VLOOKUP(P131,装备拆分数值生成!$AK$58:$AV$107,9,0))+IF(R131=0,0,VLOOKUP(R131,装备拆分数值生成!$AK$58:$AV$107,11,0))</f>
        <v>716</v>
      </c>
      <c r="W131" s="65">
        <f>IF(H131=0,0,VLOOKUP(H131,装备拆分数值生成!$AK$58:$AV$107,3,0))+IF(P131=0,0,VLOOKUP(P131,装备拆分数值生成!$AK$58:$AV$107,10,0))</f>
        <v>190</v>
      </c>
      <c r="X131" s="65">
        <f>IF(H131=0,0,VLOOKUP(H131,装备拆分数值生成!$AK$58:$AV$107,4,0))+IF(N131=0,0,VLOOKUP(N131,装备拆分数值生成!$AK$58:$AV$107,7,0))+IF(R131=0,0,VLOOKUP(R131,装备拆分数值生成!$AK$58:$AV$107,12,0))</f>
        <v>339</v>
      </c>
      <c r="Y131" s="65">
        <f>IF(L131=0,0,VLOOKUP(L131,装备拆分数值生成!$AK$58:$AV$107,6,0))+IF(N131=0,0,VLOOKUP(N131,装备拆分数值生成!$AK$58:$AV$107,8,0))</f>
        <v>101</v>
      </c>
      <c r="Z131" s="64"/>
      <c r="AA131" s="64"/>
      <c r="AB131" s="64"/>
      <c r="AC131" s="64"/>
      <c r="AD131" s="68">
        <f>VLOOKUP(D131,宠物成长生成表!$B$5:$J$103,3,0)*$AL$2*(VLOOKUP(E131,$AP$1:$AQ$6,2,0))</f>
        <v>1905.2739999999999</v>
      </c>
      <c r="AE131" s="68">
        <f>VLOOKUP(D131,宠物成长生成表!$B$5:$J$103,4,0)*$AL$3*(VLOOKUP(E131,$AP$1:$AQ$6,2,0))</f>
        <v>596.70049999999992</v>
      </c>
      <c r="AF131" s="68">
        <f>VLOOKUP(D131,宠物成长生成表!$B$5:$J$103,4,0)*$AL$4*(VLOOKUP(E131,$AP$1:$AQ$6,2,0))</f>
        <v>771.01749999999981</v>
      </c>
      <c r="AG131" s="68">
        <f>VLOOKUP(D131,宠物成长生成表!$B$5:$J$103,7,0)*$AL$5*(VLOOKUP(E131,$AP$1:$AQ$6,2,0))</f>
        <v>485.94399999999996</v>
      </c>
      <c r="AH131" s="64">
        <f>VLOOKUP(D131,宠物成长生成表!$B$5:$J$103,6,0)+VLOOKUP(E131,宠物升阶生成表!$B$6:$F$21,5,0)</f>
        <v>98</v>
      </c>
      <c r="AI131" s="64"/>
      <c r="AJ131" s="64"/>
      <c r="AK131" s="64"/>
      <c r="AL131" s="64"/>
      <c r="AM131" s="64"/>
      <c r="AN131" s="64"/>
      <c r="AO131" s="64"/>
      <c r="AP131" s="64"/>
      <c r="AQ131" s="64"/>
      <c r="AR131" s="64"/>
      <c r="AS131" s="65">
        <f t="shared" ref="AS131:AS134" si="57">V131+AD131</f>
        <v>2621.2739999999999</v>
      </c>
      <c r="AT131" s="65">
        <f t="shared" ref="AT131:AT134" si="58">W131+AE131</f>
        <v>786.70049999999992</v>
      </c>
      <c r="AU131" s="65">
        <f t="shared" ref="AU131:AU134" si="59">X131+AF131</f>
        <v>1110.0174999999999</v>
      </c>
      <c r="AV131" s="67">
        <f t="shared" ref="AV131:AV134" si="60">Y131+AG131</f>
        <v>586.94399999999996</v>
      </c>
      <c r="AW131" s="68"/>
      <c r="AX131" s="68"/>
      <c r="AY131" s="68"/>
      <c r="AZ131" s="68"/>
      <c r="BA131" s="68"/>
      <c r="BB131" s="68"/>
    </row>
    <row r="132" spans="2:54">
      <c r="B132" s="98"/>
      <c r="C132" s="68" t="s">
        <v>426</v>
      </c>
      <c r="D132" s="68">
        <v>12</v>
      </c>
      <c r="E132" s="92">
        <v>1</v>
      </c>
      <c r="F132" s="68"/>
      <c r="G132" s="68"/>
      <c r="H132" s="88">
        <v>13</v>
      </c>
      <c r="I132" s="68"/>
      <c r="J132" s="68">
        <v>9</v>
      </c>
      <c r="K132" s="68"/>
      <c r="L132" s="88">
        <v>11</v>
      </c>
      <c r="M132" s="68"/>
      <c r="N132" s="68"/>
      <c r="O132" s="68"/>
      <c r="P132" s="68"/>
      <c r="Q132" s="68"/>
      <c r="R132" s="68"/>
      <c r="S132" s="68"/>
      <c r="T132" s="68"/>
      <c r="U132" s="68"/>
      <c r="V132" s="69">
        <f>IF(J132=0,0,VLOOKUP(能力数值!J132,装备拆分数值生成!$AK$4:$AV$53,5,0))+IF(P132=0,0,VLOOKUP(能力数值!P132,装备拆分数值生成!$AK$4:$AV$53,9,0))+IF(R132=0,0,VLOOKUP(能力数值!R132,装备拆分数值生成!$AK$4:$AV$53,11,0))</f>
        <v>461</v>
      </c>
      <c r="W132" s="69">
        <f>IF(H132=0,0,VLOOKUP(能力数值!H132,装备拆分数值生成!$AK$4:$AV$53,3,0))+IF(N132=0,0,VLOOKUP(能力数值!N132,装备拆分数值生成!$AK$4:$AV$53,7,0))+IF(R132=0,0,VLOOKUP(能力数值!R132,装备拆分数值生成!$AK$4:$AV$53,12,0))</f>
        <v>319</v>
      </c>
      <c r="X132" s="69">
        <f>IF(H132=0,0,VLOOKUP(能力数值!H132,装备拆分数值生成!$AK$4:$AV$53,4,0))+IF(P132=0,0,VLOOKUP(能力数值!P132,装备拆分数值生成!$AK$4:$AV$53,10,0))</f>
        <v>159</v>
      </c>
      <c r="Y132" s="69">
        <f>IF(L132=0,0,VLOOKUP(能力数值!L132,装备拆分数值生成!$AK$4:$AV$53,6,0))+IF(N132=0,0,VLOOKUP(能力数值!N132,装备拆分数值生成!$AK$4:$AV$53,8,0))</f>
        <v>133</v>
      </c>
      <c r="Z132" s="68"/>
      <c r="AA132" s="68"/>
      <c r="AB132" s="68"/>
      <c r="AC132" s="68"/>
      <c r="AD132" s="68">
        <f>VLOOKUP(D132,宠物成长生成表!$B$5:$J$103,3,0)*$AO$2*(VLOOKUP(E132,$AP$1:$AQ$6,2,0))</f>
        <v>1605.1560000000002</v>
      </c>
      <c r="AE132" s="68">
        <f>VLOOKUP(D132,宠物成长生成表!$B$5:$J$103,4,0)*(VLOOKUP(E132,$AP$1:$AQ$6,2,0))</f>
        <v>564.9</v>
      </c>
      <c r="AF132" s="68">
        <f>VLOOKUP(D132,宠物成长生成表!$B$5:$J$103,4,0)*$AO$4*(VLOOKUP(E132,$AP$1:$AQ$6,2,0))</f>
        <v>502.76100000000002</v>
      </c>
      <c r="AG132" s="68">
        <f>VLOOKUP(D132,宠物成长生成表!$B$5:$J$103,7,0)*$AO$5*(VLOOKUP(E132,$AP$1:$AQ$6,2,0))</f>
        <v>409.37400000000002</v>
      </c>
      <c r="AH132" s="68">
        <f>VLOOKUP(D132,宠物成长生成表!$B$5:$J$103,6,0)+VLOOKUP(E132,宠物升阶生成表!$B$6:$F$21,5,0)</f>
        <v>77</v>
      </c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9">
        <f t="shared" si="57"/>
        <v>2066.1559999999999</v>
      </c>
      <c r="AT132" s="69">
        <f t="shared" si="58"/>
        <v>883.9</v>
      </c>
      <c r="AU132" s="69">
        <f t="shared" si="59"/>
        <v>661.76099999999997</v>
      </c>
      <c r="AV132" s="71">
        <f t="shared" si="60"/>
        <v>542.37400000000002</v>
      </c>
      <c r="AW132" s="68"/>
      <c r="AX132" s="68"/>
      <c r="AY132" s="68"/>
      <c r="AZ132" s="68"/>
      <c r="BA132" s="68"/>
      <c r="BB132" s="68"/>
    </row>
    <row r="133" spans="2:54">
      <c r="B133" s="98"/>
      <c r="C133" s="68" t="s">
        <v>394</v>
      </c>
      <c r="D133" s="68">
        <v>12</v>
      </c>
      <c r="E133" s="92">
        <v>1</v>
      </c>
      <c r="F133" s="68"/>
      <c r="G133" s="68"/>
      <c r="H133" s="88">
        <v>11</v>
      </c>
      <c r="I133" s="68"/>
      <c r="J133" s="68">
        <v>9</v>
      </c>
      <c r="K133" s="68"/>
      <c r="L133" s="68">
        <v>10</v>
      </c>
      <c r="M133" s="68"/>
      <c r="N133" s="68"/>
      <c r="O133" s="68"/>
      <c r="P133" s="68">
        <v>3</v>
      </c>
      <c r="Q133" s="68"/>
      <c r="R133" s="68"/>
      <c r="S133" s="68"/>
      <c r="T133" s="68"/>
      <c r="U133" s="68"/>
      <c r="V133" s="69">
        <f>IF(J133=0,0,VLOOKUP(能力数值!J133,装备拆分数值生成!$AK$165:$AV$214,5,0))+IF(P133=0,0,VLOOKUP(能力数值!P133,装备拆分数值生成!$AK$165:$AV$214,9,0))+IF(R133=0,0,VLOOKUP(能力数值!R133,装备拆分数值生成!$AK$165:$AV$214,11,0))</f>
        <v>652</v>
      </c>
      <c r="W133" s="69">
        <f>IF(H133=0,0,VLOOKUP(能力数值!H133,装备拆分数值生成!$AK$165:$AV$214,3,0))</f>
        <v>210</v>
      </c>
      <c r="X133" s="69">
        <f>IF(H133=0,0,VLOOKUP(能力数值!H133,装备拆分数值生成!$AK$165:$AV$214,4,0))+IF(P133=0,0,VLOOKUP(能力数值!P133,装备拆分数值生成!$AK$165:$AV$214,10,0))</f>
        <v>253</v>
      </c>
      <c r="Y133" s="69">
        <f>IF(L133=0,0,VLOOKUP(能力数值!L133,装备拆分数值生成!$AK$165:$AV$214,6,0))+IF(N133=0,0,VLOOKUP(能力数值!N133,装备拆分数值生成!$AK$165:$AV$214,8,0))+IF(R133=0,0,VLOOKUP(能力数值!R133,装备拆分数值生成!$AK$165:$AV$214,12,0))</f>
        <v>157</v>
      </c>
      <c r="Z133" s="68"/>
      <c r="AA133" s="68"/>
      <c r="AB133" s="68"/>
      <c r="AC133" s="68"/>
      <c r="AD133" s="68">
        <f>VLOOKUP(D132,宠物成长生成表!$B$5:$J$103,3,0)*$AN$2*(VLOOKUP(E133,$AP$1:$AQ$6,2,0))</f>
        <v>1985.76</v>
      </c>
      <c r="AE133" s="68">
        <f>VLOOKUP(D132,宠物成长生成表!$B$5:$J$103,4,0)*$AN$3*(VLOOKUP(E133,$AP$1:$AQ$6,2,0))</f>
        <v>508.41</v>
      </c>
      <c r="AF133" s="68">
        <f>VLOOKUP(D132,宠物成长生成表!$B$5:$J$103,4,0)*$AN$4*(VLOOKUP(E133,$AP$1:$AQ$6,2,0))</f>
        <v>508.41</v>
      </c>
      <c r="AG133" s="68">
        <f>VLOOKUP(D132,宠物成长生成表!$B$5:$J$103,7,0)*$AN$5*(VLOOKUP(E133,$AP$1:$AQ$6,2,0))</f>
        <v>474.012</v>
      </c>
      <c r="AH133" s="68">
        <f>VLOOKUP(D133,宠物成长生成表!$B$5:$J$103,6,0)+VLOOKUP(E133,宠物升阶生成表!$B$6:$F$21,5,0)</f>
        <v>77</v>
      </c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9">
        <f t="shared" si="57"/>
        <v>2637.76</v>
      </c>
      <c r="AT133" s="69">
        <f t="shared" si="58"/>
        <v>718.41000000000008</v>
      </c>
      <c r="AU133" s="69">
        <f t="shared" si="59"/>
        <v>761.41000000000008</v>
      </c>
      <c r="AV133" s="71">
        <f t="shared" si="60"/>
        <v>631.01199999999994</v>
      </c>
      <c r="AW133" s="68"/>
      <c r="AX133" s="68"/>
      <c r="AY133" s="68"/>
      <c r="AZ133" s="68"/>
      <c r="BA133" s="68"/>
      <c r="BB133" s="68"/>
    </row>
    <row r="134" spans="2:54">
      <c r="B134" s="98"/>
      <c r="C134" s="68" t="s">
        <v>427</v>
      </c>
      <c r="D134" s="68">
        <v>8</v>
      </c>
      <c r="E134" s="92"/>
      <c r="F134" s="68"/>
      <c r="G134" s="68"/>
      <c r="H134" s="68">
        <v>7</v>
      </c>
      <c r="I134" s="68"/>
      <c r="J134" s="68">
        <v>10</v>
      </c>
      <c r="K134" s="68"/>
      <c r="L134" s="88">
        <v>13</v>
      </c>
      <c r="M134" s="68"/>
      <c r="N134" s="68"/>
      <c r="O134" s="68"/>
      <c r="P134" s="68"/>
      <c r="Q134" s="68"/>
      <c r="R134" s="68"/>
      <c r="S134" s="68"/>
      <c r="T134" s="68"/>
      <c r="U134" s="68"/>
      <c r="V134" s="69">
        <f>IF(J134=0,0,VLOOKUP(能力数值!J134,装备拆分数值生成!$AK$112:$AV$161,5,0))+IF(P134=0,0,VLOOKUP(能力数值!P134,装备拆分数值生成!$AK$112:$AV$161,5,0))+IF(R134=0,0,VLOOKUP(能力数值!R134,装备拆分数值生成!$AK$112:$AV$161,11,0))</f>
        <v>775</v>
      </c>
      <c r="W134" s="69">
        <f>IF(H134=0,0,VLOOKUP(能力数值!H134,装备拆分数值生成!$AK$112:$AV$161,3,0))</f>
        <v>155</v>
      </c>
      <c r="X134" s="69">
        <f>IF(H134=0,0,VLOOKUP(能力数值!H134,装备拆分数值生成!$AK$112:$AV$161,4,0))</f>
        <v>155</v>
      </c>
      <c r="Y134" s="69">
        <f>IF(L134=0,0,VLOOKUP(能力数值!L134,装备拆分数值生成!$AK$112:$AV$161,6,0))+IF(N134=0,0,VLOOKUP(能力数值!N134,装备拆分数值生成!$AK$112:$AV$161,8,0))+IF(R134=0,0,VLOOKUP(能力数值!R134,装备拆分数值生成!$AK$112:$AV$161,12,0))</f>
        <v>228</v>
      </c>
      <c r="Z134" s="68"/>
      <c r="AA134" s="68"/>
      <c r="AB134" s="68"/>
      <c r="AC134" s="68"/>
      <c r="AD134" s="68">
        <f>VLOOKUP(D134,宠物成长生成表!$B$5:$J$103,3,0)*$AM$2*(VLOOKUP(E134,$AP$1:$AQ$6,2,0))</f>
        <v>1818.7</v>
      </c>
      <c r="AE134" s="68">
        <f>VLOOKUP(D134,宠物成长生成表!$B$5:$J$103,4,0)*$AM$3*(VLOOKUP(E134,$AP$1:$AQ$6,2,0))</f>
        <v>381.6</v>
      </c>
      <c r="AF134" s="68">
        <f>VLOOKUP(D134,宠物成长生成表!$B$5:$J$103,4,0)*$AM$4*(VLOOKUP(E134,$AP$1:$AQ$6,2,0))</f>
        <v>381.6</v>
      </c>
      <c r="AG134" s="68">
        <f>VLOOKUP(D134,宠物成长生成表!$B$5:$J$103,7,0)*$AM$5*(VLOOKUP(E134,$AP$1:$AQ$6,2,0))</f>
        <v>600.6</v>
      </c>
      <c r="AH134" s="68">
        <f>VLOOKUP(D134,宠物成长生成表!$B$5:$J$103,6,0)+VLOOKUP(E134,宠物升阶生成表!$B$6:$F$21,5,0)</f>
        <v>62</v>
      </c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9">
        <f t="shared" si="57"/>
        <v>2593.6999999999998</v>
      </c>
      <c r="AT134" s="69">
        <f t="shared" si="58"/>
        <v>536.6</v>
      </c>
      <c r="AU134" s="69">
        <f t="shared" si="59"/>
        <v>536.6</v>
      </c>
      <c r="AV134" s="71">
        <f t="shared" si="60"/>
        <v>828.6</v>
      </c>
      <c r="AW134" s="68"/>
      <c r="AX134" s="68"/>
      <c r="AY134" s="68"/>
      <c r="AZ134" s="68"/>
      <c r="BA134" s="68"/>
      <c r="BB134" s="68"/>
    </row>
    <row r="135" spans="2:54" ht="17.25" thickBot="1">
      <c r="B135" s="99"/>
      <c r="C135" s="72" t="s">
        <v>425</v>
      </c>
      <c r="D135" s="72">
        <v>5</v>
      </c>
      <c r="E135" s="93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69"/>
      <c r="W135" s="69"/>
      <c r="X135" s="69"/>
      <c r="Y135" s="69"/>
      <c r="Z135" s="72"/>
      <c r="AA135" s="72"/>
      <c r="AB135" s="72"/>
      <c r="AC135" s="72"/>
      <c r="AD135" s="72">
        <f>VLOOKUP(D135,宠物成长生成表!$B$5:$J$103,3,0)*$AL$2*(VLOOKUP(E135,$AP$1:$AQ$6,2,0))</f>
        <v>1228.99</v>
      </c>
      <c r="AE135" s="72">
        <f>VLOOKUP(D135,宠物成长生成表!$B$5:$J$103,4,0)*$AL$3*(VLOOKUP(E135,$AP$1:$AQ$6,2,0))</f>
        <v>384.48</v>
      </c>
      <c r="AF135" s="72">
        <f>VLOOKUP(D135,宠物成长生成表!$B$5:$J$103,4,0)*$AL$4*(VLOOKUP(E135,$AP$1:$AQ$6,2,0))</f>
        <v>496.79999999999995</v>
      </c>
      <c r="AG135" s="72">
        <f>VLOOKUP(D135,宠物成长生成表!$B$5:$J$103,7,0)*$AL$5*(VLOOKUP(E135,$AP$1:$AQ$6,2,0))</f>
        <v>313.12</v>
      </c>
      <c r="AH135" s="68">
        <f>VLOOKUP(D135,宠物成长生成表!$B$5:$J$103,6,0)+VLOOKUP(E135,宠物升阶生成表!$B$6:$F$21,5,0)</f>
        <v>59</v>
      </c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8"/>
      <c r="AW135" s="68"/>
      <c r="AX135" s="68"/>
      <c r="AY135" s="68"/>
      <c r="AZ135" s="68"/>
      <c r="BA135" s="68"/>
      <c r="BB135" s="68"/>
    </row>
    <row r="136" spans="2:54">
      <c r="B136" s="97" t="s">
        <v>447</v>
      </c>
      <c r="C136" s="64" t="s">
        <v>428</v>
      </c>
      <c r="D136" s="64">
        <v>15</v>
      </c>
      <c r="E136" s="91">
        <v>2</v>
      </c>
      <c r="F136" s="64"/>
      <c r="G136" s="64"/>
      <c r="H136" s="89">
        <v>14</v>
      </c>
      <c r="I136" s="64"/>
      <c r="J136" s="64">
        <v>11</v>
      </c>
      <c r="K136" s="64"/>
      <c r="L136" s="64">
        <v>15</v>
      </c>
      <c r="M136" s="64"/>
      <c r="N136" s="64"/>
      <c r="O136" s="64"/>
      <c r="P136" s="64">
        <v>3</v>
      </c>
      <c r="Q136" s="64"/>
      <c r="R136" s="64"/>
      <c r="S136" s="64"/>
      <c r="T136" s="64"/>
      <c r="U136" s="64"/>
      <c r="V136" s="65">
        <f>IF(J136=0,0,VLOOKUP(能力数值!J136,装备拆分数值生成!$AK$58:$AV$107,5,0))+IF(P136=0,0,VLOOKUP(P136,装备拆分数值生成!$AK$58:$AV$107,9,0))+IF(R136=0,0,VLOOKUP(R136,装备拆分数值生成!$AK$58:$AV$107,11,0))</f>
        <v>769</v>
      </c>
      <c r="W136" s="65">
        <f>IF(H136=0,0,VLOOKUP(H136,装备拆分数值生成!$AK$58:$AV$107,3,0))+IF(P136=0,0,VLOOKUP(P136,装备拆分数值生成!$AK$58:$AV$107,10,0))</f>
        <v>190</v>
      </c>
      <c r="X136" s="65">
        <f>IF(H136=0,0,VLOOKUP(H136,装备拆分数值生成!$AK$58:$AV$107,4,0))+IF(N136=0,0,VLOOKUP(N136,装备拆分数值生成!$AK$58:$AV$107,7,0))+IF(R136=0,0,VLOOKUP(R136,装备拆分数值生成!$AK$58:$AV$107,12,0))</f>
        <v>339</v>
      </c>
      <c r="Y136" s="65">
        <f>IF(L136=0,0,VLOOKUP(L136,装备拆分数值生成!$AK$58:$AV$107,6,0))+IF(N136=0,0,VLOOKUP(N136,装备拆分数值生成!$AK$58:$AV$107,8,0))</f>
        <v>171</v>
      </c>
      <c r="Z136" s="64"/>
      <c r="AA136" s="64"/>
      <c r="AB136" s="64"/>
      <c r="AC136" s="64"/>
      <c r="AD136" s="68">
        <f>VLOOKUP(D136,宠物成长生成表!$B$5:$J$103,3,0)*$AL$2*(VLOOKUP(E136,$AP$1:$AQ$6,2,0))</f>
        <v>1905.2739999999999</v>
      </c>
      <c r="AE136" s="68">
        <f>VLOOKUP(D136,宠物成长生成表!$B$5:$J$103,4,0)*$AL$3*(VLOOKUP(E136,$AP$1:$AQ$6,2,0))</f>
        <v>596.70049999999992</v>
      </c>
      <c r="AF136" s="68">
        <f>VLOOKUP(D136,宠物成长生成表!$B$5:$J$103,4,0)*$AL$4*(VLOOKUP(E136,$AP$1:$AQ$6,2,0))</f>
        <v>771.01749999999981</v>
      </c>
      <c r="AG136" s="68">
        <f>VLOOKUP(D136,宠物成长生成表!$B$5:$J$103,7,0)*$AL$5*(VLOOKUP(E136,$AP$1:$AQ$6,2,0))</f>
        <v>485.94399999999996</v>
      </c>
      <c r="AH136" s="64">
        <f>VLOOKUP(D136,宠物成长生成表!$B$5:$J$103,6,0)+VLOOKUP(E136,宠物升阶生成表!$B$6:$F$21,5,0)</f>
        <v>98</v>
      </c>
      <c r="AI136" s="64"/>
      <c r="AJ136" s="64"/>
      <c r="AK136" s="64"/>
      <c r="AL136" s="64"/>
      <c r="AM136" s="64"/>
      <c r="AN136" s="64"/>
      <c r="AO136" s="64"/>
      <c r="AP136" s="64"/>
      <c r="AQ136" s="64"/>
      <c r="AR136" s="64"/>
      <c r="AS136" s="65">
        <f t="shared" ref="AS136:AS139" si="61">V136+AD136</f>
        <v>2674.2739999999999</v>
      </c>
      <c r="AT136" s="65">
        <f t="shared" ref="AT136:AT139" si="62">W136+AE136</f>
        <v>786.70049999999992</v>
      </c>
      <c r="AU136" s="65">
        <f t="shared" ref="AU136:AU139" si="63">X136+AF136</f>
        <v>1110.0174999999999</v>
      </c>
      <c r="AV136" s="67">
        <f t="shared" ref="AV136:AV139" si="64">Y136+AG136</f>
        <v>656.94399999999996</v>
      </c>
      <c r="AW136" s="68"/>
      <c r="AX136" s="68"/>
      <c r="AY136" s="68"/>
      <c r="AZ136" s="68"/>
      <c r="BA136" s="68"/>
      <c r="BB136" s="68"/>
    </row>
    <row r="137" spans="2:54">
      <c r="B137" s="98"/>
      <c r="C137" s="68" t="s">
        <v>426</v>
      </c>
      <c r="D137" s="68">
        <v>15</v>
      </c>
      <c r="E137" s="92">
        <v>2</v>
      </c>
      <c r="F137" s="68"/>
      <c r="G137" s="68"/>
      <c r="H137" s="68">
        <v>13</v>
      </c>
      <c r="I137" s="68"/>
      <c r="J137" s="68">
        <v>11</v>
      </c>
      <c r="K137" s="68"/>
      <c r="L137" s="68">
        <v>14</v>
      </c>
      <c r="M137" s="68"/>
      <c r="N137" s="68"/>
      <c r="O137" s="68"/>
      <c r="P137" s="68"/>
      <c r="Q137" s="68"/>
      <c r="R137" s="68"/>
      <c r="S137" s="68"/>
      <c r="T137" s="68"/>
      <c r="U137" s="68"/>
      <c r="V137" s="69">
        <f>IF(J137=0,0,VLOOKUP(能力数值!J137,装备拆分数值生成!$AK$4:$AV$53,5,0))+IF(P137=0,0,VLOOKUP(能力数值!P137,装备拆分数值生成!$AK$4:$AV$53,9,0))+IF(R137=0,0,VLOOKUP(能力数值!R137,装备拆分数值生成!$AK$4:$AV$53,11,0))</f>
        <v>514</v>
      </c>
      <c r="W137" s="69">
        <f>IF(H137=0,0,VLOOKUP(能力数值!H137,装备拆分数值生成!$AK$4:$AV$53,3,0))+IF(N137=0,0,VLOOKUP(能力数值!N137,装备拆分数值生成!$AK$4:$AV$53,7,0))+IF(R137=0,0,VLOOKUP(能力数值!R137,装备拆分数值生成!$AK$4:$AV$53,12,0))</f>
        <v>319</v>
      </c>
      <c r="X137" s="69">
        <f>IF(H137=0,0,VLOOKUP(能力数值!H137,装备拆分数值生成!$AK$4:$AV$53,4,0))+IF(P137=0,0,VLOOKUP(能力数值!P137,装备拆分数值生成!$AK$4:$AV$53,10,0))</f>
        <v>159</v>
      </c>
      <c r="Y137" s="69">
        <f>IF(L137=0,0,VLOOKUP(能力数值!L137,装备拆分数值生成!$AK$4:$AV$53,6,0))+IF(N137=0,0,VLOOKUP(能力数值!N137,装备拆分数值生成!$AK$4:$AV$53,8,0))</f>
        <v>162</v>
      </c>
      <c r="Z137" s="68"/>
      <c r="AA137" s="68"/>
      <c r="AB137" s="68"/>
      <c r="AC137" s="68"/>
      <c r="AD137" s="68">
        <f>VLOOKUP(D137,宠物成长生成表!$B$5:$J$103,3,0)*$AO$2*(VLOOKUP(E137,$AP$1:$AQ$6,2,0))</f>
        <v>1905.2739999999999</v>
      </c>
      <c r="AE137" s="68">
        <f>VLOOKUP(D137,宠物成长生成表!$B$5:$J$103,4,0)*(VLOOKUP(E137,$AP$1:$AQ$6,2,0))</f>
        <v>670.44999999999993</v>
      </c>
      <c r="AF137" s="68">
        <f>VLOOKUP(D137,宠物成长生成表!$B$5:$J$103,4,0)*$AO$4*(VLOOKUP(E137,$AP$1:$AQ$6,2,0))</f>
        <v>596.70049999999992</v>
      </c>
      <c r="AG137" s="68">
        <f>VLOOKUP(D137,宠物成长生成表!$B$5:$J$103,7,0)*$AO$5*(VLOOKUP(E137,$AP$1:$AQ$6,2,0))</f>
        <v>485.94399999999996</v>
      </c>
      <c r="AH137" s="68">
        <f>VLOOKUP(D137,宠物成长生成表!$B$5:$J$103,6,0)+VLOOKUP(E137,宠物升阶生成表!$B$6:$F$21,5,0)</f>
        <v>98</v>
      </c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9">
        <f t="shared" si="61"/>
        <v>2419.2739999999999</v>
      </c>
      <c r="AT137" s="69">
        <f t="shared" si="62"/>
        <v>989.44999999999993</v>
      </c>
      <c r="AU137" s="69">
        <f t="shared" si="63"/>
        <v>755.70049999999992</v>
      </c>
      <c r="AV137" s="71">
        <f t="shared" si="64"/>
        <v>647.94399999999996</v>
      </c>
      <c r="AW137" s="68"/>
      <c r="AX137" s="68"/>
      <c r="AY137" s="68"/>
      <c r="AZ137" s="68"/>
      <c r="BA137" s="68"/>
      <c r="BB137" s="68"/>
    </row>
    <row r="138" spans="2:54">
      <c r="B138" s="98"/>
      <c r="C138" s="68" t="s">
        <v>394</v>
      </c>
      <c r="D138" s="68">
        <v>14</v>
      </c>
      <c r="E138" s="92">
        <v>1</v>
      </c>
      <c r="F138" s="68"/>
      <c r="G138" s="68"/>
      <c r="H138" s="68">
        <v>11</v>
      </c>
      <c r="I138" s="68"/>
      <c r="J138" s="68">
        <v>16</v>
      </c>
      <c r="K138" s="68"/>
      <c r="L138" s="68">
        <v>12</v>
      </c>
      <c r="M138" s="68"/>
      <c r="N138" s="68"/>
      <c r="O138" s="68"/>
      <c r="P138" s="68">
        <v>3</v>
      </c>
      <c r="Q138" s="68"/>
      <c r="R138" s="68"/>
      <c r="S138" s="68"/>
      <c r="T138" s="68"/>
      <c r="U138" s="68"/>
      <c r="V138" s="69">
        <f>IF(J138=0,0,VLOOKUP(能力数值!J138,装备拆分数值生成!$AK$165:$AV$214,5,0))+IF(P138=0,0,VLOOKUP(能力数值!P138,装备拆分数值生成!$AK$165:$AV$214,9,0))+IF(R138=0,0,VLOOKUP(能力数值!R138,装备拆分数值生成!$AK$165:$AV$214,11,0))</f>
        <v>885</v>
      </c>
      <c r="W138" s="69">
        <f>IF(H138=0,0,VLOOKUP(能力数值!H138,装备拆分数值生成!$AK$165:$AV$214,3,0))</f>
        <v>210</v>
      </c>
      <c r="X138" s="69">
        <f>IF(H138=0,0,VLOOKUP(能力数值!H138,装备拆分数值生成!$AK$165:$AV$214,4,0))+IF(P138=0,0,VLOOKUP(能力数值!P138,装备拆分数值生成!$AK$165:$AV$214,10,0))</f>
        <v>253</v>
      </c>
      <c r="Y138" s="69">
        <f>IF(L138=0,0,VLOOKUP(能力数值!L138,装备拆分数值生成!$AK$165:$AV$214,6,0))+IF(N138=0,0,VLOOKUP(能力数值!N138,装备拆分数值生成!$AK$165:$AV$214,8,0))+IF(R138=0,0,VLOOKUP(能力数值!R138,装备拆分数值生成!$AK$165:$AV$214,12,0))</f>
        <v>179</v>
      </c>
      <c r="Z138" s="68"/>
      <c r="AA138" s="68"/>
      <c r="AB138" s="68"/>
      <c r="AC138" s="68"/>
      <c r="AD138" s="68">
        <f>VLOOKUP(D137,宠物成长生成表!$B$5:$J$103,3,0)*$AN$2*(VLOOKUP(E138,$AP$1:$AQ$6,2,0))</f>
        <v>2152.08</v>
      </c>
      <c r="AE138" s="68">
        <f>VLOOKUP(D137,宠物成长生成表!$B$5:$J$103,4,0)*$AN$3*(VLOOKUP(E138,$AP$1:$AQ$6,2,0))</f>
        <v>550.93500000000006</v>
      </c>
      <c r="AF138" s="68">
        <f>VLOOKUP(D137,宠物成长生成表!$B$5:$J$103,4,0)*$AN$4*(VLOOKUP(E138,$AP$1:$AQ$6,2,0))</f>
        <v>550.93500000000006</v>
      </c>
      <c r="AG138" s="68">
        <f>VLOOKUP(D137,宠物成长生成表!$B$5:$J$103,7,0)*$AN$5*(VLOOKUP(E138,$AP$1:$AQ$6,2,0))</f>
        <v>513.74400000000003</v>
      </c>
      <c r="AH138" s="68">
        <f>VLOOKUP(D138,宠物成长生成表!$B$5:$J$103,6,0)+VLOOKUP(E138,宠物升阶生成表!$B$6:$F$21,5,0)</f>
        <v>79</v>
      </c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9">
        <f t="shared" si="61"/>
        <v>3037.08</v>
      </c>
      <c r="AT138" s="69">
        <f t="shared" si="62"/>
        <v>760.93500000000006</v>
      </c>
      <c r="AU138" s="69">
        <f t="shared" si="63"/>
        <v>803.93500000000006</v>
      </c>
      <c r="AV138" s="71">
        <f t="shared" si="64"/>
        <v>692.74400000000003</v>
      </c>
      <c r="AW138" s="68"/>
      <c r="AX138" s="68"/>
      <c r="AY138" s="68"/>
      <c r="AZ138" s="68"/>
      <c r="BA138" s="68"/>
      <c r="BB138" s="68"/>
    </row>
    <row r="139" spans="2:54">
      <c r="B139" s="98"/>
      <c r="C139" s="68" t="s">
        <v>427</v>
      </c>
      <c r="D139" s="68">
        <v>8</v>
      </c>
      <c r="E139" s="92"/>
      <c r="F139" s="68"/>
      <c r="G139" s="68"/>
      <c r="H139" s="68">
        <v>12</v>
      </c>
      <c r="I139" s="68"/>
      <c r="J139" s="68">
        <v>13</v>
      </c>
      <c r="K139" s="68"/>
      <c r="L139" s="88">
        <v>13</v>
      </c>
      <c r="M139" s="68"/>
      <c r="N139" s="68"/>
      <c r="O139" s="68"/>
      <c r="P139" s="68"/>
      <c r="Q139" s="68"/>
      <c r="R139" s="68"/>
      <c r="S139" s="68"/>
      <c r="T139" s="68"/>
      <c r="U139" s="68"/>
      <c r="V139" s="69">
        <f>IF(J139=0,0,VLOOKUP(能力数值!J139,装备拆分数值生成!$AK$112:$AV$161,5,0))+IF(P139=0,0,VLOOKUP(能力数值!P139,装备拆分数值生成!$AK$112:$AV$161,5,0))+IF(R139=0,0,VLOOKUP(能力数值!R139,装备拆分数值生成!$AK$112:$AV$161,11,0))</f>
        <v>938</v>
      </c>
      <c r="W139" s="69">
        <f>IF(H139=0,0,VLOOKUP(能力数值!H139,装备拆分数值生成!$AK$112:$AV$161,3,0))</f>
        <v>206</v>
      </c>
      <c r="X139" s="69">
        <f>IF(H139=0,0,VLOOKUP(能力数值!H139,装备拆分数值生成!$AK$112:$AV$161,4,0))</f>
        <v>206</v>
      </c>
      <c r="Y139" s="69">
        <f>IF(L139=0,0,VLOOKUP(能力数值!L139,装备拆分数值生成!$AK$112:$AV$161,6,0))+IF(N139=0,0,VLOOKUP(能力数值!N139,装备拆分数值生成!$AK$112:$AV$161,8,0))+IF(R139=0,0,VLOOKUP(能力数值!R139,装备拆分数值生成!$AK$112:$AV$161,12,0))</f>
        <v>228</v>
      </c>
      <c r="Z139" s="68"/>
      <c r="AA139" s="68"/>
      <c r="AB139" s="68"/>
      <c r="AC139" s="68"/>
      <c r="AD139" s="68">
        <f>VLOOKUP(D139,宠物成长生成表!$B$5:$J$103,3,0)*$AM$2*(VLOOKUP(E139,$AP$1:$AQ$6,2,0))</f>
        <v>1818.7</v>
      </c>
      <c r="AE139" s="68">
        <f>VLOOKUP(D139,宠物成长生成表!$B$5:$J$103,4,0)*$AM$3*(VLOOKUP(E139,$AP$1:$AQ$6,2,0))</f>
        <v>381.6</v>
      </c>
      <c r="AF139" s="68">
        <f>VLOOKUP(D139,宠物成长生成表!$B$5:$J$103,4,0)*$AM$4*(VLOOKUP(E139,$AP$1:$AQ$6,2,0))</f>
        <v>381.6</v>
      </c>
      <c r="AG139" s="68">
        <f>VLOOKUP(D139,宠物成长生成表!$B$5:$J$103,7,0)*$AM$5*(VLOOKUP(E139,$AP$1:$AQ$6,2,0))</f>
        <v>600.6</v>
      </c>
      <c r="AH139" s="68">
        <f>VLOOKUP(D139,宠物成长生成表!$B$5:$J$103,6,0)+VLOOKUP(E139,宠物升阶生成表!$B$6:$F$21,5,0)</f>
        <v>62</v>
      </c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9">
        <f t="shared" si="61"/>
        <v>2756.7</v>
      </c>
      <c r="AT139" s="69">
        <f t="shared" si="62"/>
        <v>587.6</v>
      </c>
      <c r="AU139" s="69">
        <f t="shared" si="63"/>
        <v>587.6</v>
      </c>
      <c r="AV139" s="71">
        <f t="shared" si="64"/>
        <v>828.6</v>
      </c>
      <c r="AW139" s="68"/>
      <c r="AX139" s="68"/>
      <c r="AY139" s="68"/>
      <c r="AZ139" s="68"/>
      <c r="BA139" s="68"/>
      <c r="BB139" s="68"/>
    </row>
    <row r="140" spans="2:54" ht="17.25" thickBot="1">
      <c r="B140" s="99"/>
      <c r="C140" s="72" t="s">
        <v>425</v>
      </c>
      <c r="D140" s="72">
        <v>5</v>
      </c>
      <c r="E140" s="93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69"/>
      <c r="W140" s="69"/>
      <c r="X140" s="69"/>
      <c r="Y140" s="69"/>
      <c r="Z140" s="72"/>
      <c r="AA140" s="72"/>
      <c r="AB140" s="72"/>
      <c r="AC140" s="72"/>
      <c r="AD140" s="72">
        <f>VLOOKUP(D140,宠物成长生成表!$B$5:$J$103,3,0)*$AL$2*(VLOOKUP(E140,$AP$1:$AQ$6,2,0))</f>
        <v>1228.99</v>
      </c>
      <c r="AE140" s="72">
        <f>VLOOKUP(D140,宠物成长生成表!$B$5:$J$103,4,0)*$AL$3*(VLOOKUP(E140,$AP$1:$AQ$6,2,0))</f>
        <v>384.48</v>
      </c>
      <c r="AF140" s="72">
        <f>VLOOKUP(D140,宠物成长生成表!$B$5:$J$103,4,0)*$AL$4*(VLOOKUP(E140,$AP$1:$AQ$6,2,0))</f>
        <v>496.79999999999995</v>
      </c>
      <c r="AG140" s="72">
        <f>VLOOKUP(D140,宠物成长生成表!$B$5:$J$103,7,0)*$AL$5*(VLOOKUP(E140,$AP$1:$AQ$6,2,0))</f>
        <v>313.12</v>
      </c>
      <c r="AH140" s="68">
        <f>VLOOKUP(D140,宠物成长生成表!$B$5:$J$103,6,0)+VLOOKUP(E140,宠物升阶生成表!$B$6:$F$21,5,0)</f>
        <v>59</v>
      </c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8"/>
      <c r="AW140" s="68"/>
      <c r="AX140" s="68"/>
      <c r="AY140" s="68"/>
      <c r="AZ140" s="68"/>
      <c r="BA140" s="68"/>
      <c r="BB140" s="68"/>
    </row>
    <row r="141" spans="2:54">
      <c r="B141" s="97" t="s">
        <v>448</v>
      </c>
      <c r="C141" s="64" t="s">
        <v>428</v>
      </c>
      <c r="D141" s="64">
        <v>18</v>
      </c>
      <c r="E141" s="91">
        <v>2</v>
      </c>
      <c r="F141" s="64"/>
      <c r="G141" s="64"/>
      <c r="H141" s="89">
        <v>15</v>
      </c>
      <c r="I141" s="64"/>
      <c r="J141" s="64">
        <v>11</v>
      </c>
      <c r="K141" s="64"/>
      <c r="L141" s="64">
        <v>15</v>
      </c>
      <c r="M141" s="64"/>
      <c r="N141" s="64">
        <v>3</v>
      </c>
      <c r="O141" s="64"/>
      <c r="P141" s="64">
        <v>3</v>
      </c>
      <c r="Q141" s="64"/>
      <c r="R141" s="64">
        <v>4</v>
      </c>
      <c r="S141" s="64"/>
      <c r="T141" s="64"/>
      <c r="U141" s="64"/>
      <c r="V141" s="65">
        <f>IF(J141=0,0,VLOOKUP(能力数值!J141,装备拆分数值生成!$AK$58:$AV$107,5,0))+IF(P141=0,0,VLOOKUP(P141,装备拆分数值生成!$AK$58:$AV$107,9,0))+IF(R141=0,0,VLOOKUP(R141,装备拆分数值生成!$AK$58:$AV$107,11,0))</f>
        <v>837</v>
      </c>
      <c r="W141" s="65">
        <f>IF(H141=0,0,VLOOKUP(H141,装备拆分数值生成!$AK$58:$AV$107,3,0))+IF(P141=0,0,VLOOKUP(P141,装备拆分数值生成!$AK$58:$AV$107,10,0))</f>
        <v>200</v>
      </c>
      <c r="X141" s="65">
        <f>IF(H141=0,0,VLOOKUP(H141,装备拆分数值生成!$AK$58:$AV$107,4,0))+IF(N141=0,0,VLOOKUP(N141,装备拆分数值生成!$AK$58:$AV$107,7,0))+IF(R141=0,0,VLOOKUP(R141,装备拆分数值生成!$AK$58:$AV$107,12,0))</f>
        <v>495</v>
      </c>
      <c r="Y141" s="65">
        <f>IF(L141=0,0,VLOOKUP(L141,装备拆分数值生成!$AK$58:$AV$107,6,0))+IF(N141=0,0,VLOOKUP(N141,装备拆分数值生成!$AK$58:$AV$107,8,0))</f>
        <v>233</v>
      </c>
      <c r="Z141" s="64"/>
      <c r="AA141" s="64"/>
      <c r="AB141" s="64"/>
      <c r="AC141" s="64"/>
      <c r="AD141" s="68">
        <f>VLOOKUP(D141,宠物成长生成表!$B$5:$J$103,3,0)*$AL$2*(VLOOKUP(E141,$AP$1:$AQ$6,2,0))</f>
        <v>2052.52</v>
      </c>
      <c r="AE141" s="68">
        <f>VLOOKUP(D141,宠物成长生成表!$B$5:$J$103,4,0)*$AL$3*(VLOOKUP(E141,$AP$1:$AQ$6,2,0))</f>
        <v>642.75799999999992</v>
      </c>
      <c r="AF141" s="68">
        <f>VLOOKUP(D141,宠物成长生成表!$B$5:$J$103,4,0)*$AL$4*(VLOOKUP(E141,$AP$1:$AQ$6,2,0))</f>
        <v>830.52999999999986</v>
      </c>
      <c r="AG141" s="68">
        <f>VLOOKUP(D141,宠物成长生成表!$B$5:$J$103,7,0)*$AL$5*(VLOOKUP(E141,$AP$1:$AQ$6,2,0))</f>
        <v>523.52599999999995</v>
      </c>
      <c r="AH141" s="64">
        <f>VLOOKUP(D141,宠物成长生成表!$B$5:$J$103,6,0)+VLOOKUP(E141,宠物升阶生成表!$B$6:$F$21,5,0)</f>
        <v>101</v>
      </c>
      <c r="AI141" s="64"/>
      <c r="AJ141" s="64"/>
      <c r="AK141" s="64"/>
      <c r="AL141" s="64"/>
      <c r="AM141" s="64"/>
      <c r="AN141" s="64"/>
      <c r="AO141" s="64"/>
      <c r="AP141" s="64"/>
      <c r="AQ141" s="64"/>
      <c r="AR141" s="64"/>
      <c r="AS141" s="65">
        <f t="shared" ref="AS141:AS144" si="65">V141+AD141</f>
        <v>2889.52</v>
      </c>
      <c r="AT141" s="65">
        <f t="shared" ref="AT141:AT144" si="66">W141+AE141</f>
        <v>842.75799999999992</v>
      </c>
      <c r="AU141" s="65">
        <f t="shared" ref="AU141:AU144" si="67">X141+AF141</f>
        <v>1325.5299999999997</v>
      </c>
      <c r="AV141" s="67">
        <f t="shared" ref="AV141:AV144" si="68">Y141+AG141</f>
        <v>756.52599999999995</v>
      </c>
      <c r="AW141" s="68"/>
      <c r="AX141" s="68"/>
      <c r="AY141" s="68"/>
      <c r="AZ141" s="68"/>
      <c r="BA141" s="68"/>
      <c r="BB141" s="68"/>
    </row>
    <row r="142" spans="2:54">
      <c r="B142" s="98"/>
      <c r="C142" s="68" t="s">
        <v>426</v>
      </c>
      <c r="D142" s="68">
        <v>18</v>
      </c>
      <c r="E142" s="92">
        <v>2</v>
      </c>
      <c r="F142" s="68"/>
      <c r="G142" s="68"/>
      <c r="H142" s="68">
        <v>14</v>
      </c>
      <c r="I142" s="68"/>
      <c r="J142" s="68">
        <v>11</v>
      </c>
      <c r="K142" s="68"/>
      <c r="L142" s="68">
        <v>14</v>
      </c>
      <c r="M142" s="68"/>
      <c r="N142" s="68">
        <v>3</v>
      </c>
      <c r="O142" s="68"/>
      <c r="P142" s="68"/>
      <c r="Q142" s="68"/>
      <c r="R142" s="68"/>
      <c r="S142" s="68"/>
      <c r="T142" s="68"/>
      <c r="U142" s="68"/>
      <c r="V142" s="69">
        <f>IF(J142=0,0,VLOOKUP(能力数值!J142,装备拆分数值生成!$AK$4:$AV$53,5,0))+IF(P142=0,0,VLOOKUP(能力数值!P142,装备拆分数值生成!$AK$4:$AV$53,9,0))+IF(R142=0,0,VLOOKUP(能力数值!R142,装备拆分数值生成!$AK$4:$AV$53,11,0))</f>
        <v>514</v>
      </c>
      <c r="W142" s="69">
        <f>IF(H142=0,0,VLOOKUP(能力数值!H142,装备拆分数值生成!$AK$4:$AV$53,3,0))+IF(N142=0,0,VLOOKUP(能力数值!N142,装备拆分数值生成!$AK$4:$AV$53,7,0))+IF(R142=0,0,VLOOKUP(能力数值!R142,装备拆分数值生成!$AK$4:$AV$53,12,0))</f>
        <v>382</v>
      </c>
      <c r="X142" s="69">
        <f>IF(H142=0,0,VLOOKUP(能力数值!H142,装备拆分数值生成!$AK$4:$AV$53,4,0))+IF(P142=0,0,VLOOKUP(能力数值!P142,装备拆分数值生成!$AK$4:$AV$53,10,0))</f>
        <v>169</v>
      </c>
      <c r="Y142" s="69">
        <f>IF(L142=0,0,VLOOKUP(能力数值!L142,装备拆分数值生成!$AK$4:$AV$53,6,0))+IF(N142=0,0,VLOOKUP(能力数值!N142,装备拆分数值生成!$AK$4:$AV$53,8,0))</f>
        <v>224</v>
      </c>
      <c r="Z142" s="68"/>
      <c r="AA142" s="68"/>
      <c r="AB142" s="68"/>
      <c r="AC142" s="68"/>
      <c r="AD142" s="68">
        <f>VLOOKUP(D142,宠物成长生成表!$B$5:$J$103,3,0)*$AO$2*(VLOOKUP(E142,$AP$1:$AQ$6,2,0))</f>
        <v>2052.52</v>
      </c>
      <c r="AE142" s="68">
        <f>VLOOKUP(D142,宠物成长生成表!$B$5:$J$103,4,0)*(VLOOKUP(E142,$AP$1:$AQ$6,2,0))</f>
        <v>722.19999999999993</v>
      </c>
      <c r="AF142" s="68">
        <f>VLOOKUP(D142,宠物成长生成表!$B$5:$J$103,4,0)*$AO$4*(VLOOKUP(E142,$AP$1:$AQ$6,2,0))</f>
        <v>642.75799999999992</v>
      </c>
      <c r="AG142" s="68">
        <f>VLOOKUP(D142,宠物成长生成表!$B$5:$J$103,7,0)*$AO$5*(VLOOKUP(E142,$AP$1:$AQ$6,2,0))</f>
        <v>523.52599999999995</v>
      </c>
      <c r="AH142" s="68">
        <f>VLOOKUP(D142,宠物成长生成表!$B$5:$J$103,6,0)+VLOOKUP(E142,宠物升阶生成表!$B$6:$F$21,5,0)</f>
        <v>101</v>
      </c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9">
        <f t="shared" si="65"/>
        <v>2566.52</v>
      </c>
      <c r="AT142" s="69">
        <f t="shared" si="66"/>
        <v>1104.1999999999998</v>
      </c>
      <c r="AU142" s="69">
        <f t="shared" si="67"/>
        <v>811.75799999999992</v>
      </c>
      <c r="AV142" s="71">
        <f t="shared" si="68"/>
        <v>747.52599999999995</v>
      </c>
      <c r="AW142" s="68"/>
      <c r="AX142" s="68"/>
      <c r="AY142" s="68"/>
      <c r="AZ142" s="68"/>
      <c r="BA142" s="68"/>
      <c r="BB142" s="68"/>
    </row>
    <row r="143" spans="2:54">
      <c r="B143" s="98"/>
      <c r="C143" s="68" t="s">
        <v>394</v>
      </c>
      <c r="D143" s="68">
        <v>17</v>
      </c>
      <c r="E143" s="92">
        <v>1</v>
      </c>
      <c r="F143" s="68"/>
      <c r="G143" s="68"/>
      <c r="H143" s="68">
        <v>14</v>
      </c>
      <c r="I143" s="68"/>
      <c r="J143" s="68">
        <v>11</v>
      </c>
      <c r="K143" s="68"/>
      <c r="L143" s="68">
        <v>12</v>
      </c>
      <c r="M143" s="68"/>
      <c r="N143" s="68">
        <v>3</v>
      </c>
      <c r="O143" s="68"/>
      <c r="P143" s="68">
        <v>3</v>
      </c>
      <c r="Q143" s="68"/>
      <c r="R143" s="68">
        <v>2</v>
      </c>
      <c r="S143" s="68"/>
      <c r="T143" s="68"/>
      <c r="U143" s="68"/>
      <c r="V143" s="69">
        <f>IF(J143=0,0,VLOOKUP(能力数值!J143,装备拆分数值生成!$AK$165:$AV$214,5,0))+IF(P143=0,0,VLOOKUP(能力数值!P143,装备拆分数值生成!$AK$165:$AV$214,9,0))+IF(R143=0,0,VLOOKUP(能力数值!R143,装备拆分数值生成!$AK$165:$AV$214,11,0))</f>
        <v>823</v>
      </c>
      <c r="W143" s="69">
        <f>IF(H143=0,0,VLOOKUP(能力数值!H143,装备拆分数值生成!$AK$165:$AV$214,3,0))</f>
        <v>254</v>
      </c>
      <c r="X143" s="69">
        <f>IF(H143=0,0,VLOOKUP(能力数值!H143,装备拆分数值生成!$AK$165:$AV$214,4,0))+IF(P143=0,0,VLOOKUP(能力数值!P143,装备拆分数值生成!$AK$165:$AV$214,10,0))</f>
        <v>297</v>
      </c>
      <c r="Y143" s="69">
        <f>IF(L143=0,0,VLOOKUP(能力数值!L143,装备拆分数值生成!$AK$165:$AV$214,6,0))+IF(N143=0,0,VLOOKUP(能力数值!N143,装备拆分数值生成!$AK$165:$AV$214,8,0))+IF(R143=0,0,VLOOKUP(能力数值!R143,装备拆分数值生成!$AK$165:$AV$214,12,0))</f>
        <v>260</v>
      </c>
      <c r="Z143" s="68"/>
      <c r="AA143" s="68"/>
      <c r="AB143" s="68"/>
      <c r="AC143" s="68"/>
      <c r="AD143" s="68">
        <f>VLOOKUP(D142,宠物成长生成表!$B$5:$J$103,3,0)*$AN$2*(VLOOKUP(E143,$AP$1:$AQ$6,2,0))</f>
        <v>2318.4</v>
      </c>
      <c r="AE143" s="68">
        <f>VLOOKUP(D142,宠物成长生成表!$B$5:$J$103,4,0)*$AN$3*(VLOOKUP(E143,$AP$1:$AQ$6,2,0))</f>
        <v>593.46</v>
      </c>
      <c r="AF143" s="68">
        <f>VLOOKUP(D142,宠物成长生成表!$B$5:$J$103,4,0)*$AN$4*(VLOOKUP(E143,$AP$1:$AQ$6,2,0))</f>
        <v>593.46</v>
      </c>
      <c r="AG143" s="68">
        <f>VLOOKUP(D142,宠物成长生成表!$B$5:$J$103,7,0)*$AN$5*(VLOOKUP(E143,$AP$1:$AQ$6,2,0))</f>
        <v>553.476</v>
      </c>
      <c r="AH143" s="68">
        <f>VLOOKUP(D143,宠物成长生成表!$B$5:$J$103,6,0)+VLOOKUP(E143,宠物升阶生成表!$B$6:$F$21,5,0)</f>
        <v>82</v>
      </c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9">
        <f t="shared" si="65"/>
        <v>3141.4</v>
      </c>
      <c r="AT143" s="69">
        <f t="shared" si="66"/>
        <v>847.46</v>
      </c>
      <c r="AU143" s="69">
        <f t="shared" si="67"/>
        <v>890.46</v>
      </c>
      <c r="AV143" s="71">
        <f t="shared" si="68"/>
        <v>813.476</v>
      </c>
      <c r="AW143" s="68"/>
      <c r="AX143" s="68"/>
      <c r="AY143" s="68"/>
      <c r="AZ143" s="68"/>
      <c r="BA143" s="68"/>
      <c r="BB143" s="68"/>
    </row>
    <row r="144" spans="2:54">
      <c r="B144" s="98"/>
      <c r="C144" s="68" t="s">
        <v>427</v>
      </c>
      <c r="D144" s="68">
        <v>18</v>
      </c>
      <c r="E144" s="92"/>
      <c r="F144" s="68"/>
      <c r="G144" s="68"/>
      <c r="H144" s="68">
        <v>12</v>
      </c>
      <c r="I144" s="68"/>
      <c r="J144" s="68">
        <v>10</v>
      </c>
      <c r="K144" s="68"/>
      <c r="L144" s="88">
        <v>13</v>
      </c>
      <c r="M144" s="68"/>
      <c r="N144" s="68"/>
      <c r="O144" s="68"/>
      <c r="P144" s="68"/>
      <c r="Q144" s="68"/>
      <c r="R144" s="68"/>
      <c r="S144" s="68"/>
      <c r="T144" s="68"/>
      <c r="U144" s="68"/>
      <c r="V144" s="69">
        <f>IF(J144=0,0,VLOOKUP(能力数值!J144,装备拆分数值生成!$AK$112:$AV$161,5,0))+IF(P144=0,0,VLOOKUP(能力数值!P144,装备拆分数值生成!$AK$112:$AV$161,5,0))+IF(R144=0,0,VLOOKUP(能力数值!R144,装备拆分数值生成!$AK$112:$AV$161,11,0))</f>
        <v>775</v>
      </c>
      <c r="W144" s="69">
        <f>IF(H144=0,0,VLOOKUP(能力数值!H144,装备拆分数值生成!$AK$112:$AV$161,3,0))</f>
        <v>206</v>
      </c>
      <c r="X144" s="69">
        <f>IF(H144=0,0,VLOOKUP(能力数值!H144,装备拆分数值生成!$AK$112:$AV$161,4,0))</f>
        <v>206</v>
      </c>
      <c r="Y144" s="69">
        <f>IF(L144=0,0,VLOOKUP(能力数值!L144,装备拆分数值生成!$AK$112:$AV$161,6,0))+IF(N144=0,0,VLOOKUP(能力数值!N144,装备拆分数值生成!$AK$112:$AV$161,8,0))+IF(R144=0,0,VLOOKUP(能力数值!R144,装备拆分数值生成!$AK$112:$AV$161,12,0))</f>
        <v>228</v>
      </c>
      <c r="Z144" s="68"/>
      <c r="AA144" s="68"/>
      <c r="AB144" s="68"/>
      <c r="AC144" s="68"/>
      <c r="AD144" s="68">
        <f>VLOOKUP(D144,宠物成长生成表!$B$5:$J$103,3,0)*$AM$2*(VLOOKUP(E144,$AP$1:$AQ$6,2,0))</f>
        <v>2392</v>
      </c>
      <c r="AE144" s="68">
        <f>VLOOKUP(D144,宠物成长生成表!$B$5:$J$103,4,0)*$AM$3*(VLOOKUP(E144,$AP$1:$AQ$6,2,0))</f>
        <v>502.40000000000003</v>
      </c>
      <c r="AF144" s="68">
        <f>VLOOKUP(D144,宠物成长生成表!$B$5:$J$103,4,0)*$AM$4*(VLOOKUP(E144,$AP$1:$AQ$6,2,0))</f>
        <v>502.40000000000003</v>
      </c>
      <c r="AG144" s="68">
        <f>VLOOKUP(D144,宠物成长生成表!$B$5:$J$103,7,0)*$AM$5*(VLOOKUP(E144,$AP$1:$AQ$6,2,0))</f>
        <v>790.68000000000006</v>
      </c>
      <c r="AH144" s="68">
        <f>VLOOKUP(D144,宠物成长生成表!$B$5:$J$103,6,0)+VLOOKUP(E144,宠物升阶生成表!$B$6:$F$21,5,0)</f>
        <v>73</v>
      </c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9">
        <f t="shared" si="65"/>
        <v>3167</v>
      </c>
      <c r="AT144" s="69">
        <f t="shared" si="66"/>
        <v>708.40000000000009</v>
      </c>
      <c r="AU144" s="69">
        <f t="shared" si="67"/>
        <v>708.40000000000009</v>
      </c>
      <c r="AV144" s="71">
        <f t="shared" si="68"/>
        <v>1018.6800000000001</v>
      </c>
      <c r="AW144" s="68"/>
      <c r="AX144" s="68"/>
      <c r="AY144" s="68"/>
      <c r="AZ144" s="68"/>
      <c r="BA144" s="68"/>
      <c r="BB144" s="68"/>
    </row>
    <row r="145" spans="2:54" ht="17.25" thickBot="1">
      <c r="B145" s="99"/>
      <c r="C145" s="72" t="s">
        <v>425</v>
      </c>
      <c r="D145" s="72">
        <v>5</v>
      </c>
      <c r="E145" s="93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69"/>
      <c r="W145" s="69"/>
      <c r="X145" s="69"/>
      <c r="Y145" s="69"/>
      <c r="Z145" s="72"/>
      <c r="AA145" s="72"/>
      <c r="AB145" s="72"/>
      <c r="AC145" s="72"/>
      <c r="AD145" s="72">
        <f>VLOOKUP(D145,宠物成长生成表!$B$5:$J$103,3,0)*$AL$2*(VLOOKUP(E145,$AP$1:$AQ$6,2,0))</f>
        <v>1228.99</v>
      </c>
      <c r="AE145" s="72">
        <f>VLOOKUP(D145,宠物成长生成表!$B$5:$J$103,4,0)*$AL$3*(VLOOKUP(E145,$AP$1:$AQ$6,2,0))</f>
        <v>384.48</v>
      </c>
      <c r="AF145" s="72">
        <f>VLOOKUP(D145,宠物成长生成表!$B$5:$J$103,4,0)*$AL$4*(VLOOKUP(E145,$AP$1:$AQ$6,2,0))</f>
        <v>496.79999999999995</v>
      </c>
      <c r="AG145" s="72">
        <f>VLOOKUP(D145,宠物成长生成表!$B$5:$J$103,7,0)*$AL$5*(VLOOKUP(E145,$AP$1:$AQ$6,2,0))</f>
        <v>313.12</v>
      </c>
      <c r="AH145" s="68">
        <f>VLOOKUP(D145,宠物成长生成表!$B$5:$J$103,6,0)+VLOOKUP(E145,宠物升阶生成表!$B$6:$F$21,5,0)</f>
        <v>59</v>
      </c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8"/>
      <c r="AW145" s="68"/>
      <c r="AX145" s="68"/>
      <c r="AY145" s="68"/>
      <c r="AZ145" s="68"/>
      <c r="BA145" s="68"/>
      <c r="BB145" s="68"/>
    </row>
    <row r="146" spans="2:54">
      <c r="B146" s="97" t="s">
        <v>495</v>
      </c>
      <c r="C146" s="64" t="s">
        <v>428</v>
      </c>
      <c r="D146" s="64">
        <v>16</v>
      </c>
      <c r="E146" s="91">
        <v>2</v>
      </c>
      <c r="F146" s="64"/>
      <c r="G146" s="64"/>
      <c r="H146" s="89">
        <v>15</v>
      </c>
      <c r="I146" s="64"/>
      <c r="J146" s="64">
        <v>20</v>
      </c>
      <c r="K146" s="64"/>
      <c r="L146" s="64">
        <v>15</v>
      </c>
      <c r="M146" s="64"/>
      <c r="N146" s="64">
        <v>13</v>
      </c>
      <c r="O146" s="64"/>
      <c r="P146" s="64">
        <v>13</v>
      </c>
      <c r="Q146" s="64"/>
      <c r="R146" s="64">
        <v>14</v>
      </c>
      <c r="S146" s="64"/>
      <c r="T146" s="64"/>
      <c r="U146" s="64"/>
      <c r="V146" s="65">
        <f>IF(J146=0,0,VLOOKUP(能力数值!J146,装备拆分数值生成!$AK$58:$AV$107,5,0))+IF(P146=0,0,VLOOKUP(P146,装备拆分数值生成!$AK$58:$AV$107,9,0))+IF(R146=0,0,VLOOKUP(R146,装备拆分数值生成!$AK$58:$AV$107,11,0))</f>
        <v>1432</v>
      </c>
      <c r="W146" s="65">
        <f>IF(H146=0,0,VLOOKUP(H146,装备拆分数值生成!$AK$58:$AV$107,3,0))+IF(P146=0,0,VLOOKUP(P146,装备拆分数值生成!$AK$58:$AV$107,10,0))</f>
        <v>218</v>
      </c>
      <c r="X146" s="65">
        <f>IF(H146=0,0,VLOOKUP(H146,装备拆分数值生成!$AK$58:$AV$107,4,0))+IF(N146=0,0,VLOOKUP(N146,装备拆分数值生成!$AK$58:$AV$107,7,0))+IF(R146=0,0,VLOOKUP(R146,装备拆分数值生成!$AK$58:$AV$107,12,0))</f>
        <v>607</v>
      </c>
      <c r="Y146" s="65">
        <f>IF(L146=0,0,VLOOKUP(L146,装备拆分数值生成!$AK$58:$AV$107,6,0))+IF(N146=0,0,VLOOKUP(N146,装备拆分数值生成!$AK$58:$AV$107,8,0))</f>
        <v>285</v>
      </c>
      <c r="Z146" s="64"/>
      <c r="AA146" s="64"/>
      <c r="AB146" s="64"/>
      <c r="AC146" s="64"/>
      <c r="AD146" s="68">
        <f>VLOOKUP(D146,宠物成长生成表!$B$5:$J$103,3,0)*$AL$2*(VLOOKUP(E146,$AP$1:$AQ$6,2,0))</f>
        <v>1954.356</v>
      </c>
      <c r="AE146" s="68">
        <f>VLOOKUP(D146,宠物成长生成表!$B$5:$J$103,4,0)*$AL$3*(VLOOKUP(E146,$AP$1:$AQ$6,2,0))</f>
        <v>612.053</v>
      </c>
      <c r="AF146" s="68">
        <f>VLOOKUP(D146,宠物成长生成表!$B$5:$J$103,4,0)*$AL$4*(VLOOKUP(E146,$AP$1:$AQ$6,2,0))</f>
        <v>790.8549999999999</v>
      </c>
      <c r="AG146" s="68">
        <f>VLOOKUP(D146,宠物成长生成表!$B$5:$J$103,7,0)*$AL$5*(VLOOKUP(E146,$AP$1:$AQ$6,2,0))</f>
        <v>498.17999999999995</v>
      </c>
      <c r="AH146" s="64">
        <f>VLOOKUP(D146,宠物成长生成表!$B$5:$J$103,6,0)+VLOOKUP(E146,宠物升阶生成表!$B$6:$F$21,5,0)</f>
        <v>99</v>
      </c>
      <c r="AI146" s="64"/>
      <c r="AJ146" s="64"/>
      <c r="AK146" s="64"/>
      <c r="AL146" s="64"/>
      <c r="AM146" s="64"/>
      <c r="AN146" s="64"/>
      <c r="AO146" s="64"/>
      <c r="AP146" s="64"/>
      <c r="AQ146" s="64"/>
      <c r="AR146" s="64"/>
      <c r="AS146" s="65">
        <f t="shared" ref="AS146:AS149" si="69">V146+AD146</f>
        <v>3386.3559999999998</v>
      </c>
      <c r="AT146" s="65">
        <f t="shared" ref="AT146:AT149" si="70">W146+AE146</f>
        <v>830.053</v>
      </c>
      <c r="AU146" s="65">
        <f t="shared" ref="AU146:AU149" si="71">X146+AF146</f>
        <v>1397.855</v>
      </c>
      <c r="AV146" s="67">
        <f t="shared" ref="AV146:AV149" si="72">Y146+AG146</f>
        <v>783.18</v>
      </c>
    </row>
    <row r="147" spans="2:54">
      <c r="B147" s="98"/>
      <c r="C147" s="68" t="s">
        <v>426</v>
      </c>
      <c r="D147" s="68">
        <v>18</v>
      </c>
      <c r="E147" s="92">
        <v>2</v>
      </c>
      <c r="F147" s="68"/>
      <c r="G147" s="68"/>
      <c r="H147" s="68">
        <v>14</v>
      </c>
      <c r="I147" s="68"/>
      <c r="J147" s="68">
        <v>15</v>
      </c>
      <c r="K147" s="68"/>
      <c r="L147" s="68">
        <v>14</v>
      </c>
      <c r="M147" s="68"/>
      <c r="N147" s="68">
        <v>11</v>
      </c>
      <c r="O147" s="68"/>
      <c r="P147" s="68">
        <v>11</v>
      </c>
      <c r="Q147" s="68"/>
      <c r="R147" s="68">
        <v>10</v>
      </c>
      <c r="S147" s="68"/>
      <c r="T147" s="68"/>
      <c r="U147" s="68"/>
      <c r="V147" s="69">
        <f>IF(J147=0,0,VLOOKUP(能力数值!J147,装备拆分数值生成!$AK$4:$AV$53,5,0))+IF(P147=0,0,VLOOKUP(能力数值!P147,装备拆分数值生成!$AK$4:$AV$53,9,0))+IF(R147=0,0,VLOOKUP(能力数值!R147,装备拆分数值生成!$AK$4:$AV$53,11,0))</f>
        <v>1165</v>
      </c>
      <c r="W147" s="69">
        <f>IF(H147=0,0,VLOOKUP(能力数值!H147,装备拆分数值生成!$AK$4:$AV$53,3,0))+IF(N147=0,0,VLOOKUP(能力数值!N147,装备拆分数值生成!$AK$4:$AV$53,7,0))+IF(R147=0,0,VLOOKUP(能力数值!R147,装备拆分数值生成!$AK$4:$AV$53,12,0))</f>
        <v>541</v>
      </c>
      <c r="X147" s="69">
        <f>IF(H147=0,0,VLOOKUP(能力数值!H147,装备拆分数值生成!$AK$4:$AV$53,4,0))+IF(P147=0,0,VLOOKUP(能力数值!P147,装备拆分数值生成!$AK$4:$AV$53,10,0))</f>
        <v>204</v>
      </c>
      <c r="Y147" s="69">
        <f>IF(L147=0,0,VLOOKUP(能力数值!L147,装备拆分数值生成!$AK$4:$AV$53,6,0))+IF(N147=0,0,VLOOKUP(能力数值!N147,装备拆分数值生成!$AK$4:$AV$53,8,0))</f>
        <v>262</v>
      </c>
      <c r="Z147" s="68"/>
      <c r="AA147" s="68"/>
      <c r="AB147" s="68"/>
      <c r="AC147" s="68"/>
      <c r="AD147" s="68">
        <f>VLOOKUP(D147,宠物成长生成表!$B$5:$J$103,3,0)*$AO$2*(VLOOKUP(E147,$AP$1:$AQ$6,2,0))</f>
        <v>2052.52</v>
      </c>
      <c r="AE147" s="68">
        <f>VLOOKUP(D147,宠物成长生成表!$B$5:$J$103,4,0)*(VLOOKUP(E147,$AP$1:$AQ$6,2,0))</f>
        <v>722.19999999999993</v>
      </c>
      <c r="AF147" s="68">
        <f>VLOOKUP(D147,宠物成长生成表!$B$5:$J$103,4,0)*$AO$4*(VLOOKUP(E147,$AP$1:$AQ$6,2,0))</f>
        <v>642.75799999999992</v>
      </c>
      <c r="AG147" s="68">
        <f>VLOOKUP(D147,宠物成长生成表!$B$5:$J$103,7,0)*$AO$5*(VLOOKUP(E147,$AP$1:$AQ$6,2,0))</f>
        <v>523.52599999999995</v>
      </c>
      <c r="AH147" s="68">
        <f>VLOOKUP(D147,宠物成长生成表!$B$5:$J$103,6,0)+VLOOKUP(E147,宠物升阶生成表!$B$6:$F$21,5,0)</f>
        <v>101</v>
      </c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9">
        <f t="shared" si="69"/>
        <v>3217.52</v>
      </c>
      <c r="AT147" s="69">
        <f t="shared" si="70"/>
        <v>1263.1999999999998</v>
      </c>
      <c r="AU147" s="69">
        <f t="shared" si="71"/>
        <v>846.75799999999992</v>
      </c>
      <c r="AV147" s="71">
        <f t="shared" si="72"/>
        <v>785.52599999999995</v>
      </c>
    </row>
    <row r="148" spans="2:54">
      <c r="B148" s="98"/>
      <c r="C148" s="68" t="s">
        <v>394</v>
      </c>
      <c r="D148" s="68">
        <v>15</v>
      </c>
      <c r="E148" s="92">
        <v>2</v>
      </c>
      <c r="F148" s="68"/>
      <c r="G148" s="68"/>
      <c r="H148" s="68">
        <v>14</v>
      </c>
      <c r="I148" s="68"/>
      <c r="J148" s="68">
        <v>16</v>
      </c>
      <c r="K148" s="68"/>
      <c r="L148" s="68">
        <v>12</v>
      </c>
      <c r="M148" s="68"/>
      <c r="N148" s="68">
        <v>12</v>
      </c>
      <c r="O148" s="68"/>
      <c r="P148" s="68">
        <v>13</v>
      </c>
      <c r="Q148" s="68"/>
      <c r="R148" s="68">
        <v>12</v>
      </c>
      <c r="S148" s="68"/>
      <c r="T148" s="68"/>
      <c r="U148" s="68"/>
      <c r="V148" s="69">
        <f>IF(J148=0,0,VLOOKUP(能力数值!J148,装备拆分数值生成!$AK$165:$AV$214,5,0))+IF(P148=0,0,VLOOKUP(能力数值!P148,装备拆分数值生成!$AK$165:$AV$214,9,0))+IF(R148=0,0,VLOOKUP(能力数值!R148,装备拆分数值生成!$AK$165:$AV$214,11,0))</f>
        <v>1265</v>
      </c>
      <c r="W148" s="69">
        <f>IF(H148=0,0,VLOOKUP(能力数值!H148,装备拆分数值生成!$AK$165:$AV$214,3,0))</f>
        <v>254</v>
      </c>
      <c r="X148" s="69">
        <f>IF(H148=0,0,VLOOKUP(能力数值!H148,装备拆分数值生成!$AK$165:$AV$214,4,0))+IF(P148=0,0,VLOOKUP(能力数值!P148,装备拆分数值生成!$AK$165:$AV$214,10,0))</f>
        <v>333</v>
      </c>
      <c r="Y148" s="69">
        <f>IF(L148=0,0,VLOOKUP(能力数值!L148,装备拆分数值生成!$AK$165:$AV$214,6,0))+IF(N148=0,0,VLOOKUP(能力数值!N148,装备拆分数值生成!$AK$165:$AV$214,8,0))+IF(R148=0,0,VLOOKUP(能力数值!R148,装备拆分数值生成!$AK$165:$AV$214,12,0))</f>
        <v>321</v>
      </c>
      <c r="Z148" s="68"/>
      <c r="AA148" s="68"/>
      <c r="AB148" s="68"/>
      <c r="AC148" s="68"/>
      <c r="AD148" s="68">
        <f>VLOOKUP(D147,宠物成长生成表!$B$5:$J$103,3,0)*$AN$2*(VLOOKUP(E148,$AP$1:$AQ$6,2,0))</f>
        <v>2539.1999999999998</v>
      </c>
      <c r="AE148" s="68">
        <f>VLOOKUP(D147,宠物成长生成表!$B$5:$J$103,4,0)*$AN$3*(VLOOKUP(E148,$AP$1:$AQ$6,2,0))</f>
        <v>649.98</v>
      </c>
      <c r="AF148" s="68">
        <f>VLOOKUP(D147,宠物成长生成表!$B$5:$J$103,4,0)*$AN$4*(VLOOKUP(E148,$AP$1:$AQ$6,2,0))</f>
        <v>649.98</v>
      </c>
      <c r="AG148" s="68">
        <f>VLOOKUP(D147,宠物成长生成表!$B$5:$J$103,7,0)*$AN$5*(VLOOKUP(E148,$AP$1:$AQ$6,2,0))</f>
        <v>606.18799999999999</v>
      </c>
      <c r="AH148" s="68">
        <f>VLOOKUP(D148,宠物成长生成表!$B$5:$J$103,6,0)+VLOOKUP(E148,宠物升阶生成表!$B$6:$F$21,5,0)</f>
        <v>98</v>
      </c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9">
        <f t="shared" si="69"/>
        <v>3804.2</v>
      </c>
      <c r="AT148" s="69">
        <f t="shared" si="70"/>
        <v>903.98</v>
      </c>
      <c r="AU148" s="69">
        <f t="shared" si="71"/>
        <v>982.98</v>
      </c>
      <c r="AV148" s="71">
        <f t="shared" si="72"/>
        <v>927.18799999999999</v>
      </c>
    </row>
    <row r="149" spans="2:54">
      <c r="B149" s="98"/>
      <c r="C149" s="68" t="s">
        <v>427</v>
      </c>
      <c r="D149" s="68">
        <v>13</v>
      </c>
      <c r="E149" s="92">
        <v>1</v>
      </c>
      <c r="F149" s="68"/>
      <c r="G149" s="68"/>
      <c r="H149" s="68">
        <v>12</v>
      </c>
      <c r="I149" s="68"/>
      <c r="J149" s="68">
        <v>20</v>
      </c>
      <c r="K149" s="68"/>
      <c r="L149" s="88">
        <v>13</v>
      </c>
      <c r="M149" s="68"/>
      <c r="N149" s="68"/>
      <c r="O149" s="68"/>
      <c r="P149" s="68"/>
      <c r="Q149" s="68"/>
      <c r="R149" s="68"/>
      <c r="S149" s="68"/>
      <c r="T149" s="68"/>
      <c r="U149" s="68"/>
      <c r="V149" s="69">
        <f>IF(J149=0,0,VLOOKUP(能力数值!J149,装备拆分数值生成!$AK$112:$AV$161,5,0))+IF(P149=0,0,VLOOKUP(能力数值!P149,装备拆分数值生成!$AK$112:$AV$161,5,0))+IF(R149=0,0,VLOOKUP(能力数值!R149,装备拆分数值生成!$AK$112:$AV$161,11,0))</f>
        <v>1343</v>
      </c>
      <c r="W149" s="69">
        <f>IF(H149=0,0,VLOOKUP(能力数值!H149,装备拆分数值生成!$AK$112:$AV$161,3,0))</f>
        <v>206</v>
      </c>
      <c r="X149" s="69">
        <f>IF(H149=0,0,VLOOKUP(能力数值!H149,装备拆分数值生成!$AK$112:$AV$161,4,0))</f>
        <v>206</v>
      </c>
      <c r="Y149" s="69">
        <f>IF(L149=0,0,VLOOKUP(能力数值!L149,装备拆分数值生成!$AK$112:$AV$161,6,0))+IF(N149=0,0,VLOOKUP(能力数值!N149,装备拆分数值生成!$AK$112:$AV$161,8,0))+IF(R149=0,0,VLOOKUP(能力数值!R149,装备拆分数值生成!$AK$112:$AV$161,12,0))</f>
        <v>228</v>
      </c>
      <c r="Z149" s="68"/>
      <c r="AA149" s="68"/>
      <c r="AB149" s="68"/>
      <c r="AC149" s="68"/>
      <c r="AD149" s="68">
        <f>VLOOKUP(D149,宠物成长生成表!$B$5:$J$103,3,0)*$AM$2*(VLOOKUP(E149,$AP$1:$AQ$6,2,0))</f>
        <v>2211.3000000000002</v>
      </c>
      <c r="AE149" s="68">
        <f>VLOOKUP(D149,宠物成长生成表!$B$5:$J$103,4,0)*$AM$3*(VLOOKUP(E149,$AP$1:$AQ$6,2,0))</f>
        <v>464.52000000000004</v>
      </c>
      <c r="AF149" s="68">
        <f>VLOOKUP(D149,宠物成长生成表!$B$5:$J$103,4,0)*$AM$4*(VLOOKUP(E149,$AP$1:$AQ$6,2,0))</f>
        <v>464.52000000000004</v>
      </c>
      <c r="AG149" s="68">
        <f>VLOOKUP(D149,宠物成长生成表!$B$5:$J$103,7,0)*$AM$5*(VLOOKUP(E149,$AP$1:$AQ$6,2,0))</f>
        <v>730.42200000000003</v>
      </c>
      <c r="AH149" s="68">
        <f>VLOOKUP(D149,宠物成长生成表!$B$5:$J$103,6,0)+VLOOKUP(E149,宠物升阶生成表!$B$6:$F$21,5,0)</f>
        <v>78</v>
      </c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9">
        <f t="shared" si="69"/>
        <v>3554.3</v>
      </c>
      <c r="AT149" s="69">
        <f t="shared" si="70"/>
        <v>670.52</v>
      </c>
      <c r="AU149" s="69">
        <f t="shared" si="71"/>
        <v>670.52</v>
      </c>
      <c r="AV149" s="71">
        <f t="shared" si="72"/>
        <v>958.42200000000003</v>
      </c>
    </row>
    <row r="150" spans="2:54" ht="17.25" thickBot="1">
      <c r="B150" s="99"/>
      <c r="C150" s="72" t="s">
        <v>425</v>
      </c>
      <c r="D150" s="72">
        <v>5</v>
      </c>
      <c r="E150" s="93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69"/>
      <c r="W150" s="69"/>
      <c r="X150" s="69"/>
      <c r="Y150" s="69"/>
      <c r="Z150" s="72"/>
      <c r="AA150" s="72"/>
      <c r="AB150" s="72"/>
      <c r="AC150" s="72"/>
      <c r="AD150" s="72">
        <f>VLOOKUP(D150,宠物成长生成表!$B$5:$J$103,3,0)*$AL$2*(VLOOKUP(E150,$AP$1:$AQ$6,2,0))</f>
        <v>1228.99</v>
      </c>
      <c r="AE150" s="72">
        <f>VLOOKUP(D150,宠物成长生成表!$B$5:$J$103,4,0)*$AL$3*(VLOOKUP(E150,$AP$1:$AQ$6,2,0))</f>
        <v>384.48</v>
      </c>
      <c r="AF150" s="72">
        <f>VLOOKUP(D150,宠物成长生成表!$B$5:$J$103,4,0)*$AL$4*(VLOOKUP(E150,$AP$1:$AQ$6,2,0))</f>
        <v>496.79999999999995</v>
      </c>
      <c r="AG150" s="72">
        <f>VLOOKUP(D150,宠物成长生成表!$B$5:$J$103,7,0)*$AL$5*(VLOOKUP(E150,$AP$1:$AQ$6,2,0))</f>
        <v>313.12</v>
      </c>
      <c r="AH150" s="68">
        <f>VLOOKUP(D150,宠物成长生成表!$B$5:$J$103,6,0)+VLOOKUP(E150,宠物升阶生成表!$B$6:$F$21,5,0)</f>
        <v>59</v>
      </c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8"/>
    </row>
    <row r="151" spans="2:54">
      <c r="B151" s="97" t="s">
        <v>496</v>
      </c>
      <c r="C151" s="64" t="s">
        <v>428</v>
      </c>
      <c r="D151" s="64">
        <v>20</v>
      </c>
      <c r="E151" s="91">
        <v>2</v>
      </c>
      <c r="F151" s="64"/>
      <c r="G151" s="64"/>
      <c r="H151" s="89">
        <v>16</v>
      </c>
      <c r="I151" s="64"/>
      <c r="J151" s="64">
        <v>22</v>
      </c>
      <c r="K151" s="64"/>
      <c r="L151" s="64">
        <v>15</v>
      </c>
      <c r="M151" s="64"/>
      <c r="N151" s="64">
        <v>13</v>
      </c>
      <c r="O151" s="64"/>
      <c r="P151" s="64">
        <v>13</v>
      </c>
      <c r="Q151" s="64"/>
      <c r="R151" s="64">
        <v>14</v>
      </c>
      <c r="S151" s="64"/>
      <c r="T151" s="64"/>
      <c r="U151" s="64"/>
      <c r="V151" s="65">
        <f>IF(J151=0,0,VLOOKUP(能力数值!J151,装备拆分数值生成!$AK$58:$AV$107,5,0))+IF(P151=0,0,VLOOKUP(P151,装备拆分数值生成!$AK$58:$AV$107,9,0))+IF(R151=0,0,VLOOKUP(R151,装备拆分数值生成!$AK$58:$AV$107,11,0))</f>
        <v>1572</v>
      </c>
      <c r="W151" s="65">
        <f>IF(H151=0,0,VLOOKUP(H151,装备拆分数值生成!$AK$58:$AV$107,3,0))+IF(P151=0,0,VLOOKUP(P151,装备拆分数值生成!$AK$58:$AV$107,10,0))</f>
        <v>228</v>
      </c>
      <c r="X151" s="65">
        <f>IF(H151=0,0,VLOOKUP(H151,装备拆分数值生成!$AK$58:$AV$107,4,0))+IF(N151=0,0,VLOOKUP(N151,装备拆分数值生成!$AK$58:$AV$107,7,0))+IF(R151=0,0,VLOOKUP(R151,装备拆分数值生成!$AK$58:$AV$107,12,0))</f>
        <v>627</v>
      </c>
      <c r="Y151" s="65">
        <f>IF(L151=0,0,VLOOKUP(L151,装备拆分数值生成!$AK$58:$AV$107,6,0))+IF(N151=0,0,VLOOKUP(N151,装备拆分数值生成!$AK$58:$AV$107,8,0))</f>
        <v>285</v>
      </c>
      <c r="Z151" s="64"/>
      <c r="AA151" s="64"/>
      <c r="AB151" s="64"/>
      <c r="AC151" s="64"/>
      <c r="AD151" s="68">
        <f>VLOOKUP(D151,宠物成长生成表!$B$5:$J$103,3,0)*$AL$2*(VLOOKUP(E151,$AP$1:$AQ$6,2,0))</f>
        <v>2150.6839999999997</v>
      </c>
      <c r="AE151" s="68">
        <f>VLOOKUP(D151,宠物成长生成表!$B$5:$J$103,4,0)*$AL$3*(VLOOKUP(E151,$AP$1:$AQ$6,2,0))</f>
        <v>673.46299999999997</v>
      </c>
      <c r="AF151" s="68">
        <f>VLOOKUP(D151,宠物成长生成表!$B$5:$J$103,4,0)*$AL$4*(VLOOKUP(E151,$AP$1:$AQ$6,2,0))</f>
        <v>870.20499999999981</v>
      </c>
      <c r="AG151" s="68">
        <f>VLOOKUP(D151,宠物成长生成表!$B$5:$J$103,7,0)*$AL$5*(VLOOKUP(E151,$AP$1:$AQ$6,2,0))</f>
        <v>548.87199999999996</v>
      </c>
      <c r="AH151" s="64">
        <f>VLOOKUP(D151,宠物成长生成表!$B$5:$J$103,6,0)+VLOOKUP(E151,宠物升阶生成表!$B$6:$F$21,5,0)</f>
        <v>103</v>
      </c>
      <c r="AI151" s="64"/>
      <c r="AJ151" s="64"/>
      <c r="AK151" s="64"/>
      <c r="AL151" s="64"/>
      <c r="AM151" s="64"/>
      <c r="AN151" s="64"/>
      <c r="AO151" s="64"/>
      <c r="AP151" s="64"/>
      <c r="AQ151" s="64"/>
      <c r="AR151" s="64"/>
      <c r="AS151" s="65">
        <f t="shared" ref="AS151:AS154" si="73">V151+AD151</f>
        <v>3722.6839999999997</v>
      </c>
      <c r="AT151" s="65">
        <f t="shared" ref="AT151:AT154" si="74">W151+AE151</f>
        <v>901.46299999999997</v>
      </c>
      <c r="AU151" s="65">
        <f t="shared" ref="AU151:AU154" si="75">X151+AF151</f>
        <v>1497.2049999999999</v>
      </c>
      <c r="AV151" s="67">
        <f t="shared" ref="AV151:AV154" si="76">Y151+AG151</f>
        <v>833.87199999999996</v>
      </c>
    </row>
    <row r="152" spans="2:54">
      <c r="B152" s="98"/>
      <c r="C152" s="68" t="s">
        <v>426</v>
      </c>
      <c r="D152" s="68">
        <v>22</v>
      </c>
      <c r="E152" s="92">
        <v>3</v>
      </c>
      <c r="F152" s="68"/>
      <c r="G152" s="68"/>
      <c r="H152" s="68">
        <v>14</v>
      </c>
      <c r="I152" s="68"/>
      <c r="J152" s="68">
        <v>14</v>
      </c>
      <c r="K152" s="68"/>
      <c r="L152" s="68">
        <v>12</v>
      </c>
      <c r="M152" s="68"/>
      <c r="N152" s="68">
        <v>11</v>
      </c>
      <c r="O152" s="68"/>
      <c r="P152" s="68">
        <v>11</v>
      </c>
      <c r="Q152" s="68"/>
      <c r="R152" s="68">
        <v>10</v>
      </c>
      <c r="S152" s="68"/>
      <c r="T152" s="68"/>
      <c r="U152" s="68"/>
      <c r="V152" s="69">
        <f>IF(J152=0,0,VLOOKUP(能力数值!J152,装备拆分数值生成!$AK$4:$AV$53,5,0))+IF(P152=0,0,VLOOKUP(能力数值!P152,装备拆分数值生成!$AK$4:$AV$53,9,0))+IF(R152=0,0,VLOOKUP(能力数值!R152,装备拆分数值生成!$AK$4:$AV$53,11,0))</f>
        <v>1129</v>
      </c>
      <c r="W152" s="69">
        <f>IF(H152=0,0,VLOOKUP(能力数值!H152,装备拆分数值生成!$AK$4:$AV$53,3,0))+IF(N152=0,0,VLOOKUP(能力数值!N152,装备拆分数值生成!$AK$4:$AV$53,7,0))+IF(R152=0,0,VLOOKUP(能力数值!R152,装备拆分数值生成!$AK$4:$AV$53,12,0))</f>
        <v>541</v>
      </c>
      <c r="X152" s="69">
        <f>IF(H152=0,0,VLOOKUP(能力数值!H152,装备拆分数值生成!$AK$4:$AV$53,4,0))+IF(P152=0,0,VLOOKUP(能力数值!P152,装备拆分数值生成!$AK$4:$AV$53,10,0))</f>
        <v>204</v>
      </c>
      <c r="Y152" s="69">
        <f>IF(L152=0,0,VLOOKUP(能力数值!L152,装备拆分数值生成!$AK$4:$AV$53,6,0))+IF(N152=0,0,VLOOKUP(能力数值!N152,装备拆分数值生成!$AK$4:$AV$53,8,0))</f>
        <v>243</v>
      </c>
      <c r="Z152" s="68"/>
      <c r="AA152" s="68"/>
      <c r="AB152" s="68"/>
      <c r="AC152" s="68"/>
      <c r="AD152" s="68">
        <f>VLOOKUP(D152,宠物成长生成表!$B$5:$J$103,3,0)*$AO$2*(VLOOKUP(E152,$AP$1:$AQ$6,2,0))</f>
        <v>2346.6239999999998</v>
      </c>
      <c r="AE152" s="68">
        <f>VLOOKUP(D152,宠物成长生成表!$B$5:$J$103,4,0)*(VLOOKUP(E152,$AP$1:$AQ$6,2,0))</f>
        <v>825.6</v>
      </c>
      <c r="AF152" s="68">
        <f>VLOOKUP(D152,宠物成长生成表!$B$5:$J$103,4,0)*$AO$4*(VLOOKUP(E152,$AP$1:$AQ$6,2,0))</f>
        <v>734.78399999999999</v>
      </c>
      <c r="AG152" s="68">
        <f>VLOOKUP(D152,宠物成长生成表!$B$5:$J$103,7,0)*$AO$5*(VLOOKUP(E152,$AP$1:$AQ$6,2,0))</f>
        <v>598.27199999999993</v>
      </c>
      <c r="AH152" s="68">
        <f>VLOOKUP(D152,宠物成长生成表!$B$5:$J$103,6,0)+VLOOKUP(E152,宠物升阶生成表!$B$6:$F$21,5,0)</f>
        <v>120</v>
      </c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9">
        <f t="shared" si="73"/>
        <v>3475.6239999999998</v>
      </c>
      <c r="AT152" s="69">
        <f t="shared" si="74"/>
        <v>1366.6</v>
      </c>
      <c r="AU152" s="69">
        <f t="shared" si="75"/>
        <v>938.78399999999999</v>
      </c>
      <c r="AV152" s="71">
        <f t="shared" si="76"/>
        <v>841.27199999999993</v>
      </c>
    </row>
    <row r="153" spans="2:54">
      <c r="B153" s="98"/>
      <c r="C153" s="68" t="s">
        <v>394</v>
      </c>
      <c r="D153" s="68">
        <v>21</v>
      </c>
      <c r="E153" s="92">
        <v>2</v>
      </c>
      <c r="F153" s="68"/>
      <c r="G153" s="68"/>
      <c r="H153" s="68">
        <v>16</v>
      </c>
      <c r="I153" s="68"/>
      <c r="J153" s="68">
        <v>15</v>
      </c>
      <c r="K153" s="68"/>
      <c r="L153" s="68">
        <v>12</v>
      </c>
      <c r="M153" s="68"/>
      <c r="N153" s="68">
        <v>12</v>
      </c>
      <c r="O153" s="68"/>
      <c r="P153" s="68">
        <v>13</v>
      </c>
      <c r="Q153" s="68"/>
      <c r="R153" s="68">
        <v>12</v>
      </c>
      <c r="S153" s="68"/>
      <c r="T153" s="68"/>
      <c r="U153" s="68"/>
      <c r="V153" s="69">
        <f>IF(J153=0,0,VLOOKUP(能力数值!J153,装备拆分数值生成!$AK$165:$AV$214,5,0))+IF(P153=0,0,VLOOKUP(能力数值!P153,装备拆分数值生成!$AK$165:$AV$214,9,0))+IF(R153=0,0,VLOOKUP(能力数值!R153,装备拆分数值生成!$AK$165:$AV$214,11,0))</f>
        <v>1229</v>
      </c>
      <c r="W153" s="69">
        <f>IF(H153=0,0,VLOOKUP(能力数值!H153,装备拆分数值生成!$AK$165:$AV$214,3,0))</f>
        <v>284</v>
      </c>
      <c r="X153" s="69">
        <f>IF(H153=0,0,VLOOKUP(能力数值!H153,装备拆分数值生成!$AK$165:$AV$214,4,0))+IF(P153=0,0,VLOOKUP(能力数值!P153,装备拆分数值生成!$AK$165:$AV$214,10,0))</f>
        <v>363</v>
      </c>
      <c r="Y153" s="69">
        <f>IF(L153=0,0,VLOOKUP(能力数值!L153,装备拆分数值生成!$AK$165:$AV$214,6,0))+IF(N153=0,0,VLOOKUP(能力数值!N153,装备拆分数值生成!$AK$165:$AV$214,8,0))+IF(R153=0,0,VLOOKUP(能力数值!R153,装备拆分数值生成!$AK$165:$AV$214,12,0))</f>
        <v>321</v>
      </c>
      <c r="Z153" s="68"/>
      <c r="AA153" s="68"/>
      <c r="AB153" s="68"/>
      <c r="AC153" s="68"/>
      <c r="AD153" s="68">
        <f>VLOOKUP(D152,宠物成长生成表!$B$5:$J$103,3,0)*$AN$2*(VLOOKUP(E153,$AP$1:$AQ$6,2,0))</f>
        <v>2782.0799999999995</v>
      </c>
      <c r="AE153" s="68">
        <f>VLOOKUP(D152,宠物成长生成表!$B$5:$J$103,4,0)*$AN$3*(VLOOKUP(E153,$AP$1:$AQ$6,2,0))</f>
        <v>712.08</v>
      </c>
      <c r="AF153" s="68">
        <f>VLOOKUP(D152,宠物成长生成表!$B$5:$J$103,4,0)*$AN$4*(VLOOKUP(E153,$AP$1:$AQ$6,2,0))</f>
        <v>712.08</v>
      </c>
      <c r="AG153" s="68">
        <f>VLOOKUP(D152,宠物成长生成表!$B$5:$J$103,7,0)*$AN$5*(VLOOKUP(E153,$AP$1:$AQ$6,2,0))</f>
        <v>663.87199999999996</v>
      </c>
      <c r="AH153" s="68">
        <f>VLOOKUP(D153,宠物成长生成表!$B$5:$J$103,6,0)+VLOOKUP(E153,宠物升阶生成表!$B$6:$F$21,5,0)</f>
        <v>105</v>
      </c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9">
        <f t="shared" si="73"/>
        <v>4011.0799999999995</v>
      </c>
      <c r="AT153" s="69">
        <f t="shared" si="74"/>
        <v>996.08</v>
      </c>
      <c r="AU153" s="69">
        <f t="shared" si="75"/>
        <v>1075.08</v>
      </c>
      <c r="AV153" s="71">
        <f t="shared" si="76"/>
        <v>984.87199999999996</v>
      </c>
    </row>
    <row r="154" spans="2:54">
      <c r="B154" s="98"/>
      <c r="C154" s="68" t="s">
        <v>427</v>
      </c>
      <c r="D154" s="68">
        <v>18</v>
      </c>
      <c r="E154" s="92">
        <v>1</v>
      </c>
      <c r="F154" s="68"/>
      <c r="G154" s="68"/>
      <c r="H154" s="68">
        <v>17</v>
      </c>
      <c r="I154" s="68"/>
      <c r="J154" s="68">
        <v>26</v>
      </c>
      <c r="K154" s="68"/>
      <c r="L154" s="88">
        <v>16</v>
      </c>
      <c r="M154" s="68"/>
      <c r="N154" s="68">
        <v>10</v>
      </c>
      <c r="O154" s="68"/>
      <c r="P154" s="68">
        <v>10</v>
      </c>
      <c r="Q154" s="68"/>
      <c r="R154" s="68">
        <v>10</v>
      </c>
      <c r="S154" s="68"/>
      <c r="T154" s="68"/>
      <c r="U154" s="68"/>
      <c r="V154" s="69">
        <f>IF(J154=0,0,VLOOKUP(能力数值!J154,装备拆分数值生成!$AK$112:$AV$161,5,0))+IF(P154=0,0,VLOOKUP(能力数值!P154,装备拆分数值生成!$AK$112:$AV$161,5,0))+IF(R154=0,0,VLOOKUP(能力数值!R154,装备拆分数值生成!$AK$112:$AV$161,11,0))</f>
        <v>2801</v>
      </c>
      <c r="W154" s="69">
        <f>IF(H154=0,0,VLOOKUP(能力数值!H154,装备拆分数值生成!$AK$112:$AV$161,3,0))</f>
        <v>274</v>
      </c>
      <c r="X154" s="69">
        <f>IF(H154=0,0,VLOOKUP(能力数值!H154,装备拆分数值生成!$AK$112:$AV$161,4,0))</f>
        <v>274</v>
      </c>
      <c r="Y154" s="69">
        <f>IF(L154=0,0,VLOOKUP(能力数值!L154,装备拆分数值生成!$AK$112:$AV$161,6,0))+IF(N154=0,0,VLOOKUP(能力数值!N154,装备拆分数值生成!$AK$112:$AV$161,8,0))+IF(R154=0,0,VLOOKUP(能力数值!R154,装备拆分数值生成!$AK$112:$AV$161,12,0))</f>
        <v>544</v>
      </c>
      <c r="Z154" s="68"/>
      <c r="AA154" s="68"/>
      <c r="AB154" s="68"/>
      <c r="AC154" s="68"/>
      <c r="AD154" s="68">
        <f>VLOOKUP(D154,宠物成长生成表!$B$5:$J$103,3,0)*$AM$2*(VLOOKUP(E154,$AP$1:$AQ$6,2,0))</f>
        <v>2511.6</v>
      </c>
      <c r="AE154" s="68">
        <f>VLOOKUP(D154,宠物成长生成表!$B$5:$J$103,4,0)*$AM$3*(VLOOKUP(E154,$AP$1:$AQ$6,2,0))</f>
        <v>527.5200000000001</v>
      </c>
      <c r="AF154" s="68">
        <f>VLOOKUP(D154,宠物成长生成表!$B$5:$J$103,4,0)*$AM$4*(VLOOKUP(E154,$AP$1:$AQ$6,2,0))</f>
        <v>527.5200000000001</v>
      </c>
      <c r="AG154" s="68">
        <f>VLOOKUP(D154,宠物成长生成表!$B$5:$J$103,7,0)*$AM$5*(VLOOKUP(E154,$AP$1:$AQ$6,2,0))</f>
        <v>830.21400000000006</v>
      </c>
      <c r="AH154" s="68">
        <f>VLOOKUP(D154,宠物成长生成表!$B$5:$J$103,6,0)+VLOOKUP(E154,宠物升阶生成表!$B$6:$F$21,5,0)</f>
        <v>83</v>
      </c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9">
        <f t="shared" si="73"/>
        <v>5312.6</v>
      </c>
      <c r="AT154" s="69">
        <f t="shared" si="74"/>
        <v>801.5200000000001</v>
      </c>
      <c r="AU154" s="69">
        <f t="shared" si="75"/>
        <v>801.5200000000001</v>
      </c>
      <c r="AV154" s="71">
        <f t="shared" si="76"/>
        <v>1374.2139999999999</v>
      </c>
    </row>
    <row r="155" spans="2:54" ht="17.25" thickBot="1">
      <c r="B155" s="99"/>
      <c r="C155" s="72" t="s">
        <v>425</v>
      </c>
      <c r="D155" s="72">
        <v>7</v>
      </c>
      <c r="E155" s="93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69"/>
      <c r="W155" s="69"/>
      <c r="X155" s="69"/>
      <c r="Y155" s="69"/>
      <c r="Z155" s="72"/>
      <c r="AA155" s="72"/>
      <c r="AB155" s="72"/>
      <c r="AC155" s="72"/>
      <c r="AD155" s="72">
        <f>VLOOKUP(D155,宠物成长生成表!$B$5:$J$103,3,0)*$AL$2*(VLOOKUP(E155,$AP$1:$AQ$6,2,0))</f>
        <v>1314.35</v>
      </c>
      <c r="AE155" s="72">
        <f>VLOOKUP(D155,宠物成长生成表!$B$5:$J$103,4,0)*$AL$3*(VLOOKUP(E155,$AP$1:$AQ$6,2,0))</f>
        <v>411.18</v>
      </c>
      <c r="AF155" s="72">
        <f>VLOOKUP(D155,宠物成长生成表!$B$5:$J$103,4,0)*$AL$4*(VLOOKUP(E155,$AP$1:$AQ$6,2,0))</f>
        <v>531.29999999999995</v>
      </c>
      <c r="AG155" s="72">
        <f>VLOOKUP(D155,宠物成长生成表!$B$5:$J$103,7,0)*$AL$5*(VLOOKUP(E155,$AP$1:$AQ$6,2,0))</f>
        <v>335.16</v>
      </c>
      <c r="AH155" s="68">
        <f>VLOOKUP(D155,宠物成长生成表!$B$5:$J$103,6,0)+VLOOKUP(E155,宠物升阶生成表!$B$6:$F$21,5,0)</f>
        <v>61</v>
      </c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8"/>
    </row>
    <row r="156" spans="2:54">
      <c r="B156" s="97" t="s">
        <v>497</v>
      </c>
      <c r="C156" s="64" t="s">
        <v>428</v>
      </c>
      <c r="D156" s="64">
        <v>23</v>
      </c>
      <c r="E156" s="91">
        <v>2</v>
      </c>
      <c r="F156" s="64"/>
      <c r="G156" s="64"/>
      <c r="H156" s="89">
        <v>17</v>
      </c>
      <c r="I156" s="64"/>
      <c r="J156" s="64">
        <v>22</v>
      </c>
      <c r="K156" s="64"/>
      <c r="L156" s="64">
        <v>15</v>
      </c>
      <c r="M156" s="64"/>
      <c r="N156" s="64">
        <v>13</v>
      </c>
      <c r="O156" s="64"/>
      <c r="P156" s="64">
        <v>13</v>
      </c>
      <c r="Q156" s="64"/>
      <c r="R156" s="64">
        <v>14</v>
      </c>
      <c r="S156" s="64"/>
      <c r="T156" s="64"/>
      <c r="U156" s="64"/>
      <c r="V156" s="65">
        <f>IF(J156=0,0,VLOOKUP(能力数值!J156,装备拆分数值生成!$AK$58:$AV$107,5,0))+IF(P156=0,0,VLOOKUP(P156,装备拆分数值生成!$AK$58:$AV$107,9,0))+IF(R156=0,0,VLOOKUP(R156,装备拆分数值生成!$AK$58:$AV$107,11,0))</f>
        <v>1572</v>
      </c>
      <c r="W156" s="65">
        <f>IF(H156=0,0,VLOOKUP(H156,装备拆分数值生成!$AK$58:$AV$107,3,0))+IF(P156=0,0,VLOOKUP(P156,装备拆分数值生成!$AK$58:$AV$107,10,0))</f>
        <v>238</v>
      </c>
      <c r="X156" s="65">
        <f>IF(H156=0,0,VLOOKUP(H156,装备拆分数值生成!$AK$58:$AV$107,4,0))+IF(N156=0,0,VLOOKUP(N156,装备拆分数值生成!$AK$58:$AV$107,7,0))+IF(R156=0,0,VLOOKUP(R156,装备拆分数值生成!$AK$58:$AV$107,12,0))</f>
        <v>646</v>
      </c>
      <c r="Y156" s="65">
        <f>IF(L156=0,0,VLOOKUP(L156,装备拆分数值生成!$AK$58:$AV$107,6,0))+IF(N156=0,0,VLOOKUP(N156,装备拆分数值生成!$AK$58:$AV$107,8,0))</f>
        <v>285</v>
      </c>
      <c r="Z156" s="64"/>
      <c r="AA156" s="64"/>
      <c r="AB156" s="64"/>
      <c r="AC156" s="64"/>
      <c r="AD156" s="68">
        <f>VLOOKUP(D156,宠物成长生成表!$B$5:$J$103,3,0)*$AL$2*(VLOOKUP(E156,$AP$1:$AQ$6,2,0))</f>
        <v>2297.9299999999998</v>
      </c>
      <c r="AE156" s="68">
        <f>VLOOKUP(D156,宠物成长生成表!$B$5:$J$103,4,0)*$AL$3*(VLOOKUP(E156,$AP$1:$AQ$6,2,0))</f>
        <v>719.52049999999986</v>
      </c>
      <c r="AF156" s="68">
        <f>VLOOKUP(D156,宠物成长生成表!$B$5:$J$103,4,0)*$AL$4*(VLOOKUP(E156,$AP$1:$AQ$6,2,0))</f>
        <v>929.71749999999986</v>
      </c>
      <c r="AG156" s="68">
        <f>VLOOKUP(D156,宠物成长生成表!$B$5:$J$103,7,0)*$AL$5*(VLOOKUP(E156,$AP$1:$AQ$6,2,0))</f>
        <v>586.45399999999995</v>
      </c>
      <c r="AH156" s="64">
        <f>VLOOKUP(D156,宠物成长生成表!$B$5:$J$103,6,0)</f>
        <v>81</v>
      </c>
      <c r="AI156" s="64"/>
      <c r="AJ156" s="64"/>
      <c r="AK156" s="64"/>
      <c r="AL156" s="64"/>
      <c r="AM156" s="64"/>
      <c r="AN156" s="64"/>
      <c r="AO156" s="64"/>
      <c r="AP156" s="64"/>
      <c r="AQ156" s="64"/>
      <c r="AR156" s="64"/>
      <c r="AS156" s="65">
        <f t="shared" ref="AS156:AS159" si="77">V156+AD156</f>
        <v>3869.93</v>
      </c>
      <c r="AT156" s="65">
        <f t="shared" ref="AT156:AT159" si="78">W156+AE156</f>
        <v>957.52049999999986</v>
      </c>
      <c r="AU156" s="65">
        <f t="shared" ref="AU156:AU159" si="79">X156+AF156</f>
        <v>1575.7174999999997</v>
      </c>
      <c r="AV156" s="67">
        <f t="shared" ref="AV156:AV159" si="80">Y156+AG156</f>
        <v>871.45399999999995</v>
      </c>
    </row>
    <row r="157" spans="2:54">
      <c r="B157" s="98"/>
      <c r="C157" s="68" t="s">
        <v>426</v>
      </c>
      <c r="D157" s="68">
        <v>25</v>
      </c>
      <c r="E157" s="92">
        <v>3</v>
      </c>
      <c r="F157" s="68"/>
      <c r="G157" s="68"/>
      <c r="H157" s="68">
        <v>14</v>
      </c>
      <c r="I157" s="68"/>
      <c r="J157" s="68">
        <v>14</v>
      </c>
      <c r="K157" s="68"/>
      <c r="L157" s="68">
        <v>12</v>
      </c>
      <c r="M157" s="68"/>
      <c r="N157" s="68">
        <v>11</v>
      </c>
      <c r="O157" s="68"/>
      <c r="P157" s="68">
        <v>11</v>
      </c>
      <c r="Q157" s="68"/>
      <c r="R157" s="68">
        <v>10</v>
      </c>
      <c r="S157" s="68"/>
      <c r="T157" s="68"/>
      <c r="U157" s="68"/>
      <c r="V157" s="69">
        <f>IF(J157=0,0,VLOOKUP(能力数值!J157,装备拆分数值生成!$AK$4:$AV$53,5,0))+IF(P157=0,0,VLOOKUP(能力数值!P157,装备拆分数值生成!$AK$4:$AV$53,9,0))+IF(R157=0,0,VLOOKUP(能力数值!R157,装备拆分数值生成!$AK$4:$AV$53,11,0))</f>
        <v>1129</v>
      </c>
      <c r="W157" s="69">
        <f>IF(H157=0,0,VLOOKUP(能力数值!H157,装备拆分数值生成!$AK$4:$AV$53,3,0))+IF(N157=0,0,VLOOKUP(能力数值!N157,装备拆分数值生成!$AK$4:$AV$53,7,0))+IF(R157=0,0,VLOOKUP(能力数值!R157,装备拆分数值生成!$AK$4:$AV$53,12,0))</f>
        <v>541</v>
      </c>
      <c r="X157" s="69">
        <f>IF(H157=0,0,VLOOKUP(能力数值!H157,装备拆分数值生成!$AK$4:$AV$53,4,0))+IF(P157=0,0,VLOOKUP(能力数值!P157,装备拆分数值生成!$AK$4:$AV$53,10,0))</f>
        <v>204</v>
      </c>
      <c r="Y157" s="69">
        <f>IF(L157=0,0,VLOOKUP(能力数值!L157,装备拆分数值生成!$AK$4:$AV$53,6,0))+IF(N157=0,0,VLOOKUP(能力数值!N157,装备拆分数值生成!$AK$4:$AV$53,8,0))</f>
        <v>243</v>
      </c>
      <c r="Z157" s="68"/>
      <c r="AA157" s="68"/>
      <c r="AB157" s="68"/>
      <c r="AC157" s="68"/>
      <c r="AD157" s="68">
        <f>VLOOKUP(D157,宠物成长生成表!$B$5:$J$103,3,0)*$AO$2*(VLOOKUP(E157,$AP$1:$AQ$6,2,0))</f>
        <v>2500.2719999999999</v>
      </c>
      <c r="AE157" s="68">
        <f>VLOOKUP(D157,宠物成长生成表!$B$5:$J$103,4,0)*(VLOOKUP(E157,$AP$1:$AQ$6,2,0))</f>
        <v>879.6</v>
      </c>
      <c r="AF157" s="68">
        <f>VLOOKUP(D157,宠物成长生成表!$B$5:$J$103,4,0)*$AO$4*(VLOOKUP(E157,$AP$1:$AQ$6,2,0))</f>
        <v>782.84399999999994</v>
      </c>
      <c r="AG157" s="68">
        <f>VLOOKUP(D157,宠物成长生成表!$B$5:$J$103,7,0)*$AO$5*(VLOOKUP(E157,$AP$1:$AQ$6,2,0))</f>
        <v>637.48799999999994</v>
      </c>
      <c r="AH157" s="68">
        <f>VLOOKUP(D157,宠物成长生成表!$B$5:$J$103,6,0)</f>
        <v>85</v>
      </c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9">
        <f t="shared" si="77"/>
        <v>3629.2719999999999</v>
      </c>
      <c r="AT157" s="69">
        <f t="shared" si="78"/>
        <v>1420.6</v>
      </c>
      <c r="AU157" s="69">
        <f t="shared" si="79"/>
        <v>986.84399999999994</v>
      </c>
      <c r="AV157" s="71">
        <f t="shared" si="80"/>
        <v>880.48799999999994</v>
      </c>
    </row>
    <row r="158" spans="2:54">
      <c r="B158" s="98"/>
      <c r="C158" s="68" t="s">
        <v>394</v>
      </c>
      <c r="D158" s="68">
        <v>22</v>
      </c>
      <c r="E158" s="92">
        <v>2</v>
      </c>
      <c r="F158" s="68"/>
      <c r="G158" s="68"/>
      <c r="H158" s="68">
        <v>16</v>
      </c>
      <c r="I158" s="68"/>
      <c r="J158" s="68">
        <v>15</v>
      </c>
      <c r="K158" s="68"/>
      <c r="L158" s="68">
        <v>12</v>
      </c>
      <c r="M158" s="68"/>
      <c r="N158" s="68">
        <v>12</v>
      </c>
      <c r="O158" s="68"/>
      <c r="P158" s="68">
        <v>13</v>
      </c>
      <c r="Q158" s="68"/>
      <c r="R158" s="68">
        <v>12</v>
      </c>
      <c r="S158" s="68"/>
      <c r="T158" s="68"/>
      <c r="U158" s="68"/>
      <c r="V158" s="69">
        <f>IF(J158=0,0,VLOOKUP(能力数值!J158,装备拆分数值生成!$AK$165:$AV$214,5,0))+IF(P158=0,0,VLOOKUP(能力数值!P158,装备拆分数值生成!$AK$165:$AV$214,9,0))+IF(R158=0,0,VLOOKUP(能力数值!R158,装备拆分数值生成!$AK$165:$AV$214,11,0))</f>
        <v>1229</v>
      </c>
      <c r="W158" s="69">
        <f>IF(H158=0,0,VLOOKUP(能力数值!H158,装备拆分数值生成!$AK$165:$AV$214,3,0))</f>
        <v>284</v>
      </c>
      <c r="X158" s="69">
        <f>IF(H158=0,0,VLOOKUP(能力数值!H158,装备拆分数值生成!$AK$165:$AV$214,4,0))+IF(P158=0,0,VLOOKUP(能力数值!P158,装备拆分数值生成!$AK$165:$AV$214,10,0))</f>
        <v>363</v>
      </c>
      <c r="Y158" s="69">
        <f>IF(L158=0,0,VLOOKUP(能力数值!L158,装备拆分数值生成!$AK$165:$AV$214,6,0))+IF(N158=0,0,VLOOKUP(能力数值!N158,装备拆分数值生成!$AK$165:$AV$214,8,0))+IF(R158=0,0,VLOOKUP(能力数值!R158,装备拆分数值生成!$AK$165:$AV$214,12,0))</f>
        <v>321</v>
      </c>
      <c r="Z158" s="68"/>
      <c r="AA158" s="68"/>
      <c r="AB158" s="68"/>
      <c r="AC158" s="68"/>
      <c r="AD158" s="68">
        <f>VLOOKUP(D157,宠物成长生成表!$B$5:$J$103,3,0)*$AN$2*(VLOOKUP(E158,$AP$1:$AQ$6,2,0))</f>
        <v>2964.24</v>
      </c>
      <c r="AE158" s="68">
        <f>VLOOKUP(D157,宠物成长生成表!$B$5:$J$103,4,0)*$AN$3*(VLOOKUP(E158,$AP$1:$AQ$6,2,0))</f>
        <v>758.65499999999997</v>
      </c>
      <c r="AF158" s="68">
        <f>VLOOKUP(D157,宠物成长生成表!$B$5:$J$103,4,0)*$AN$4*(VLOOKUP(E158,$AP$1:$AQ$6,2,0))</f>
        <v>758.65499999999997</v>
      </c>
      <c r="AG158" s="68">
        <f>VLOOKUP(D157,宠物成长生成表!$B$5:$J$103,7,0)*$AN$5*(VLOOKUP(E158,$AP$1:$AQ$6,2,0))</f>
        <v>707.38799999999992</v>
      </c>
      <c r="AH158" s="68">
        <f>VLOOKUP(D158,宠物成长生成表!$B$5:$J$103,6,0)</f>
        <v>79</v>
      </c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9">
        <f t="shared" si="77"/>
        <v>4193.24</v>
      </c>
      <c r="AT158" s="69">
        <f t="shared" si="78"/>
        <v>1042.655</v>
      </c>
      <c r="AU158" s="69">
        <f t="shared" si="79"/>
        <v>1121.655</v>
      </c>
      <c r="AV158" s="71">
        <f t="shared" si="80"/>
        <v>1028.3879999999999</v>
      </c>
    </row>
    <row r="159" spans="2:54">
      <c r="B159" s="98"/>
      <c r="C159" s="68" t="s">
        <v>427</v>
      </c>
      <c r="D159" s="68">
        <v>19</v>
      </c>
      <c r="E159" s="92">
        <v>2</v>
      </c>
      <c r="F159" s="68"/>
      <c r="G159" s="68"/>
      <c r="H159" s="68">
        <v>18</v>
      </c>
      <c r="I159" s="68"/>
      <c r="J159" s="68">
        <v>26</v>
      </c>
      <c r="K159" s="68"/>
      <c r="L159" s="88">
        <v>17</v>
      </c>
      <c r="M159" s="68"/>
      <c r="N159" s="68">
        <v>10</v>
      </c>
      <c r="O159" s="68"/>
      <c r="P159" s="68">
        <v>10</v>
      </c>
      <c r="Q159" s="68"/>
      <c r="R159" s="68">
        <v>10</v>
      </c>
      <c r="S159" s="68"/>
      <c r="T159" s="68"/>
      <c r="U159" s="68"/>
      <c r="V159" s="69">
        <f>IF(J159=0,0,VLOOKUP(能力数值!J159,装备拆分数值生成!$AK$112:$AV$161,5,0))+IF(P159=0,0,VLOOKUP(能力数值!P159,装备拆分数值生成!$AK$112:$AV$161,5,0))+IF(R159=0,0,VLOOKUP(能力数值!R159,装备拆分数值生成!$AK$112:$AV$161,11,0))</f>
        <v>2801</v>
      </c>
      <c r="W159" s="69">
        <f>IF(H159=0,0,VLOOKUP(能力数值!H159,装备拆分数值生成!$AK$112:$AV$161,3,0))</f>
        <v>287</v>
      </c>
      <c r="X159" s="69">
        <f>IF(H159=0,0,VLOOKUP(能力数值!H159,装备拆分数值生成!$AK$112:$AV$161,4,0))</f>
        <v>287</v>
      </c>
      <c r="Y159" s="69">
        <f>IF(L159=0,0,VLOOKUP(能力数值!L159,装备拆分数值生成!$AK$112:$AV$161,6,0))+IF(N159=0,0,VLOOKUP(能力数值!N159,装备拆分数值生成!$AK$112:$AV$161,8,0))+IF(R159=0,0,VLOOKUP(能力数值!R159,装备拆分数值生成!$AK$112:$AV$161,12,0))</f>
        <v>558</v>
      </c>
      <c r="Z159" s="68"/>
      <c r="AA159" s="68"/>
      <c r="AB159" s="68"/>
      <c r="AC159" s="68"/>
      <c r="AD159" s="68">
        <f>VLOOKUP(D159,宠物成长生成表!$B$5:$J$103,3,0)*$AM$2*(VLOOKUP(E159,$AP$1:$AQ$6,2,0))</f>
        <v>2816.58</v>
      </c>
      <c r="AE159" s="68">
        <f>VLOOKUP(D159,宠物成长生成表!$B$5:$J$103,4,0)*$AM$3*(VLOOKUP(E159,$AP$1:$AQ$6,2,0))</f>
        <v>591.55999999999995</v>
      </c>
      <c r="AF159" s="68">
        <f>VLOOKUP(D159,宠物成长生成表!$B$5:$J$103,4,0)*$AM$4*(VLOOKUP(E159,$AP$1:$AQ$6,2,0))</f>
        <v>591.55999999999995</v>
      </c>
      <c r="AG159" s="68">
        <f>VLOOKUP(D159,宠物成长生成表!$B$5:$J$103,7,0)*$AM$5*(VLOOKUP(E159,$AP$1:$AQ$6,2,0))</f>
        <v>930.53399999999999</v>
      </c>
      <c r="AH159" s="68">
        <f>VLOOKUP(D159,宠物成长生成表!$B$5:$J$103,6,0)</f>
        <v>74</v>
      </c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9">
        <f t="shared" si="77"/>
        <v>5617.58</v>
      </c>
      <c r="AT159" s="69">
        <f t="shared" si="78"/>
        <v>878.56</v>
      </c>
      <c r="AU159" s="69">
        <f t="shared" si="79"/>
        <v>878.56</v>
      </c>
      <c r="AV159" s="71">
        <f t="shared" si="80"/>
        <v>1488.5340000000001</v>
      </c>
    </row>
    <row r="160" spans="2:54" ht="17.25" thickBot="1">
      <c r="B160" s="99"/>
      <c r="C160" s="72" t="s">
        <v>425</v>
      </c>
      <c r="D160" s="72">
        <v>7</v>
      </c>
      <c r="E160" s="93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69"/>
      <c r="W160" s="69"/>
      <c r="X160" s="69"/>
      <c r="Y160" s="69"/>
      <c r="Z160" s="72"/>
      <c r="AA160" s="72"/>
      <c r="AB160" s="72"/>
      <c r="AC160" s="72"/>
      <c r="AD160" s="72">
        <f>VLOOKUP(D160,宠物成长生成表!$B$5:$J$103,3,0)*$AL$2*(VLOOKUP(E160,$AP$1:$AQ$6,2,0))</f>
        <v>1314.35</v>
      </c>
      <c r="AE160" s="72">
        <f>VLOOKUP(D160,宠物成长生成表!$B$5:$J$103,4,0)*$AL$3*(VLOOKUP(E160,$AP$1:$AQ$6,2,0))</f>
        <v>411.18</v>
      </c>
      <c r="AF160" s="72">
        <f>VLOOKUP(D160,宠物成长生成表!$B$5:$J$103,4,0)*$AL$4*(VLOOKUP(E160,$AP$1:$AQ$6,2,0))</f>
        <v>531.29999999999995</v>
      </c>
      <c r="AG160" s="72">
        <f>VLOOKUP(D160,宠物成长生成表!$B$5:$J$103,7,0)*$AL$5*(VLOOKUP(E160,$AP$1:$AQ$6,2,0))</f>
        <v>335.16</v>
      </c>
      <c r="AH160" s="81">
        <f>VLOOKUP(D160,宠物成长生成表!$B$5:$J$103,6,0)</f>
        <v>61</v>
      </c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8"/>
    </row>
    <row r="161" spans="2:48">
      <c r="B161" s="97" t="s">
        <v>498</v>
      </c>
      <c r="C161" s="64" t="s">
        <v>428</v>
      </c>
      <c r="D161" s="64">
        <v>24</v>
      </c>
      <c r="E161" s="91">
        <v>3</v>
      </c>
      <c r="F161" s="64"/>
      <c r="G161" s="64"/>
      <c r="H161" s="89">
        <v>21</v>
      </c>
      <c r="I161" s="64"/>
      <c r="J161" s="64">
        <v>22</v>
      </c>
      <c r="K161" s="64"/>
      <c r="L161" s="64">
        <v>19</v>
      </c>
      <c r="M161" s="64"/>
      <c r="N161" s="64">
        <v>13</v>
      </c>
      <c r="O161" s="64"/>
      <c r="P161" s="64">
        <v>13</v>
      </c>
      <c r="Q161" s="64"/>
      <c r="R161" s="64">
        <v>14</v>
      </c>
      <c r="S161" s="64"/>
      <c r="T161" s="64"/>
      <c r="U161" s="64"/>
      <c r="V161" s="65">
        <f>IF(J161=0,0,VLOOKUP(能力数值!J161,装备拆分数值生成!$AK$58:$AV$107,5,0))+IF(P161=0,0,VLOOKUP(P161,装备拆分数值生成!$AK$58:$AV$107,9,0))+IF(R161=0,0,VLOOKUP(R161,装备拆分数值生成!$AK$58:$AV$107,11,0))</f>
        <v>1572</v>
      </c>
      <c r="W161" s="65">
        <f>IF(H161=0,0,VLOOKUP(H161,装备拆分数值生成!$AK$58:$AV$107,3,0))+IF(P161=0,0,VLOOKUP(P161,装备拆分数值生成!$AK$58:$AV$107,10,0))</f>
        <v>290</v>
      </c>
      <c r="X161" s="65">
        <f>IF(H161=0,0,VLOOKUP(H161,装备拆分数值生成!$AK$58:$AV$107,4,0))+IF(N161=0,0,VLOOKUP(N161,装备拆分数值生成!$AK$58:$AV$107,7,0))+IF(R161=0,0,VLOOKUP(R161,装备拆分数值生成!$AK$58:$AV$107,12,0))</f>
        <v>751</v>
      </c>
      <c r="Y161" s="65">
        <f>IF(L161=0,0,VLOOKUP(L161,装备拆分数值生成!$AK$58:$AV$107,6,0))+IF(N161=0,0,VLOOKUP(N161,装备拆分数值生成!$AK$58:$AV$107,8,0))</f>
        <v>323</v>
      </c>
      <c r="Z161" s="64"/>
      <c r="AA161" s="64"/>
      <c r="AB161" s="64"/>
      <c r="AC161" s="64"/>
      <c r="AD161" s="68">
        <f>VLOOKUP(D161,宠物成长生成表!$B$5:$J$103,3,0)*$AL$2*(VLOOKUP(E161,$AP$1:$AQ$6,2,0))</f>
        <v>2449.0559999999996</v>
      </c>
      <c r="AE161" s="68">
        <f>VLOOKUP(D161,宠物成长生成表!$B$5:$J$103,4,0)*$AL$3*(VLOOKUP(E161,$AP$1:$AQ$6,2,0))</f>
        <v>766.82399999999996</v>
      </c>
      <c r="AF161" s="68">
        <f>VLOOKUP(D161,宠物成长生成表!$B$5:$J$103,4,0)*$AL$4*(VLOOKUP(E161,$AP$1:$AQ$6,2,0))</f>
        <v>990.83999999999992</v>
      </c>
      <c r="AG161" s="68">
        <f>VLOOKUP(D161,宠物成长生成表!$B$5:$J$103,7,0)*$AL$5*(VLOOKUP(E161,$AP$1:$AQ$6,2,0))</f>
        <v>624.72</v>
      </c>
      <c r="AH161" s="64">
        <f>VLOOKUP(D161,宠物成长生成表!$B$5:$J$103,6,0)</f>
        <v>83</v>
      </c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5">
        <f t="shared" ref="AS161:AS164" si="81">V161+AD161</f>
        <v>4021.0559999999996</v>
      </c>
      <c r="AT161" s="65">
        <f t="shared" ref="AT161:AT164" si="82">W161+AE161</f>
        <v>1056.8240000000001</v>
      </c>
      <c r="AU161" s="65">
        <f t="shared" ref="AU161:AU164" si="83">X161+AF161</f>
        <v>1741.84</v>
      </c>
      <c r="AV161" s="67">
        <f t="shared" ref="AV161:AV164" si="84">Y161+AG161</f>
        <v>947.72</v>
      </c>
    </row>
    <row r="162" spans="2:48">
      <c r="B162" s="98"/>
      <c r="C162" s="68" t="s">
        <v>426</v>
      </c>
      <c r="D162" s="68">
        <v>25</v>
      </c>
      <c r="E162" s="92">
        <v>4</v>
      </c>
      <c r="F162" s="68"/>
      <c r="G162" s="68"/>
      <c r="H162" s="68">
        <v>20</v>
      </c>
      <c r="I162" s="68"/>
      <c r="J162" s="68">
        <v>14</v>
      </c>
      <c r="K162" s="68"/>
      <c r="L162" s="68">
        <v>17</v>
      </c>
      <c r="M162" s="68"/>
      <c r="N162" s="68">
        <v>11</v>
      </c>
      <c r="O162" s="68"/>
      <c r="P162" s="68">
        <v>11</v>
      </c>
      <c r="Q162" s="68"/>
      <c r="R162" s="68">
        <v>10</v>
      </c>
      <c r="S162" s="68"/>
      <c r="T162" s="68"/>
      <c r="U162" s="68"/>
      <c r="V162" s="69">
        <f>IF(J162=0,0,VLOOKUP(能力数值!J162,装备拆分数值生成!$AK$4:$AV$53,5,0))+IF(P162=0,0,VLOOKUP(能力数值!P162,装备拆分数值生成!$AK$4:$AV$53,9,0))+IF(R162=0,0,VLOOKUP(能力数值!R162,装备拆分数值生成!$AK$4:$AV$53,11,0))</f>
        <v>1129</v>
      </c>
      <c r="W162" s="69">
        <f>IF(H162=0,0,VLOOKUP(能力数值!H162,装备拆分数值生成!$AK$4:$AV$53,3,0))+IF(N162=0,0,VLOOKUP(能力数值!N162,装备拆分数值生成!$AK$4:$AV$53,7,0))+IF(R162=0,0,VLOOKUP(能力数值!R162,装备拆分数值生成!$AK$4:$AV$53,12,0))</f>
        <v>660</v>
      </c>
      <c r="X162" s="69">
        <f>IF(H162=0,0,VLOOKUP(能力数值!H162,装备拆分数值生成!$AK$4:$AV$53,4,0))+IF(P162=0,0,VLOOKUP(能力数值!P162,装备拆分数值生成!$AK$4:$AV$53,10,0))</f>
        <v>264</v>
      </c>
      <c r="Y162" s="69">
        <f>IF(L162=0,0,VLOOKUP(能力数值!L162,装备拆分数值生成!$AK$4:$AV$53,6,0))+IF(N162=0,0,VLOOKUP(能力数值!N162,装备拆分数值生成!$AK$4:$AV$53,8,0))</f>
        <v>290</v>
      </c>
      <c r="Z162" s="68"/>
      <c r="AA162" s="68"/>
      <c r="AB162" s="68"/>
      <c r="AC162" s="68"/>
      <c r="AD162" s="68">
        <f>VLOOKUP(D162,宠物成长生成表!$B$5:$J$103,3,0)*$AO$2*(VLOOKUP(E162,$AP$1:$AQ$6,2,0))</f>
        <v>2673.9019999999932</v>
      </c>
      <c r="AE162" s="68">
        <f>VLOOKUP(D162,宠物成长生成表!$B$5:$J$103,4,0)*(VLOOKUP(E162,$AP$1:$AQ$6,2,0))</f>
        <v>940.68333333333101</v>
      </c>
      <c r="AF162" s="68">
        <f>VLOOKUP(D162,宠物成长生成表!$B$5:$J$103,4,0)*$AO$4*(VLOOKUP(E162,$AP$1:$AQ$6,2,0))</f>
        <v>837.20816666666451</v>
      </c>
      <c r="AG162" s="68">
        <f>VLOOKUP(D162,宠物成长生成表!$B$5:$J$103,7,0)*$AO$5*(VLOOKUP(E162,$AP$1:$AQ$6,2,0))</f>
        <v>681.75799999999833</v>
      </c>
      <c r="AH162" s="68">
        <f>VLOOKUP(D162,宠物成长生成表!$B$5:$J$103,6,0)</f>
        <v>85</v>
      </c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9">
        <f t="shared" si="81"/>
        <v>3802.9019999999932</v>
      </c>
      <c r="AT162" s="69">
        <f t="shared" si="82"/>
        <v>1600.6833333333311</v>
      </c>
      <c r="AU162" s="69">
        <f t="shared" si="83"/>
        <v>1101.2081666666645</v>
      </c>
      <c r="AV162" s="71">
        <f t="shared" si="84"/>
        <v>971.75799999999833</v>
      </c>
    </row>
    <row r="163" spans="2:48">
      <c r="B163" s="98"/>
      <c r="C163" s="68" t="s">
        <v>394</v>
      </c>
      <c r="D163" s="68">
        <v>25</v>
      </c>
      <c r="E163" s="92">
        <v>3</v>
      </c>
      <c r="F163" s="68"/>
      <c r="G163" s="68"/>
      <c r="H163" s="68">
        <v>16</v>
      </c>
      <c r="I163" s="68"/>
      <c r="J163" s="68">
        <v>15</v>
      </c>
      <c r="K163" s="68"/>
      <c r="L163" s="68">
        <v>16</v>
      </c>
      <c r="M163" s="68"/>
      <c r="N163" s="68">
        <v>12</v>
      </c>
      <c r="O163" s="68"/>
      <c r="P163" s="68">
        <v>13</v>
      </c>
      <c r="Q163" s="68"/>
      <c r="R163" s="68">
        <v>12</v>
      </c>
      <c r="S163" s="68"/>
      <c r="T163" s="68"/>
      <c r="U163" s="68"/>
      <c r="V163" s="69">
        <f>IF(J163=0,0,VLOOKUP(能力数值!J163,装备拆分数值生成!$AK$165:$AV$214,5,0))+IF(P163=0,0,VLOOKUP(能力数值!P163,装备拆分数值生成!$AK$165:$AV$214,9,0))+IF(R163=0,0,VLOOKUP(能力数值!R163,装备拆分数值生成!$AK$165:$AV$214,11,0))</f>
        <v>1229</v>
      </c>
      <c r="W163" s="69">
        <f>IF(H163=0,0,VLOOKUP(能力数值!H163,装备拆分数值生成!$AK$165:$AV$214,3,0))</f>
        <v>284</v>
      </c>
      <c r="X163" s="69">
        <f>IF(H163=0,0,VLOOKUP(能力数值!H163,装备拆分数值生成!$AK$165:$AV$214,4,0))+IF(P163=0,0,VLOOKUP(能力数值!P163,装备拆分数值生成!$AK$165:$AV$214,10,0))</f>
        <v>363</v>
      </c>
      <c r="Y163" s="69">
        <f>IF(L163=0,0,VLOOKUP(能力数值!L163,装备拆分数值生成!$AK$165:$AV$214,6,0))+IF(N163=0,0,VLOOKUP(能力数值!N163,装备拆分数值生成!$AK$165:$AV$214,8,0))+IF(R163=0,0,VLOOKUP(能力数值!R163,装备拆分数值生成!$AK$165:$AV$214,12,0))</f>
        <v>368</v>
      </c>
      <c r="Z163" s="68"/>
      <c r="AA163" s="68"/>
      <c r="AB163" s="68"/>
      <c r="AC163" s="68"/>
      <c r="AD163" s="68">
        <f>VLOOKUP(D162,宠物成长生成表!$B$5:$J$103,3,0)*$AN$2*(VLOOKUP(E163,$AP$1:$AQ$6,2,0))</f>
        <v>3093.12</v>
      </c>
      <c r="AE163" s="68">
        <f>VLOOKUP(D162,宠物成长生成表!$B$5:$J$103,4,0)*$AN$3*(VLOOKUP(E163,$AP$1:$AQ$6,2,0))</f>
        <v>791.64</v>
      </c>
      <c r="AF163" s="68">
        <f>VLOOKUP(D162,宠物成长生成表!$B$5:$J$103,4,0)*$AN$4*(VLOOKUP(E163,$AP$1:$AQ$6,2,0))</f>
        <v>791.64</v>
      </c>
      <c r="AG163" s="68">
        <f>VLOOKUP(D162,宠物成长生成表!$B$5:$J$103,7,0)*$AN$5*(VLOOKUP(E163,$AP$1:$AQ$6,2,0))</f>
        <v>738.14400000000001</v>
      </c>
      <c r="AH163" s="68">
        <f>VLOOKUP(D163,宠物成长生成表!$B$5:$J$103,6,0)</f>
        <v>85</v>
      </c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9">
        <f t="shared" si="81"/>
        <v>4322.12</v>
      </c>
      <c r="AT163" s="69">
        <f t="shared" si="82"/>
        <v>1075.6399999999999</v>
      </c>
      <c r="AU163" s="69">
        <f t="shared" si="83"/>
        <v>1154.6399999999999</v>
      </c>
      <c r="AV163" s="71">
        <f t="shared" si="84"/>
        <v>1106.144</v>
      </c>
    </row>
    <row r="164" spans="2:48">
      <c r="B164" s="98"/>
      <c r="C164" s="68" t="s">
        <v>427</v>
      </c>
      <c r="D164" s="68">
        <v>20</v>
      </c>
      <c r="E164" s="92">
        <v>2</v>
      </c>
      <c r="F164" s="68"/>
      <c r="G164" s="68"/>
      <c r="H164" s="68">
        <v>18</v>
      </c>
      <c r="I164" s="68"/>
      <c r="J164" s="68">
        <v>26</v>
      </c>
      <c r="K164" s="68"/>
      <c r="L164" s="88">
        <v>20</v>
      </c>
      <c r="M164" s="68"/>
      <c r="N164" s="68">
        <v>10</v>
      </c>
      <c r="O164" s="68"/>
      <c r="P164" s="68">
        <v>10</v>
      </c>
      <c r="Q164" s="68"/>
      <c r="R164" s="68">
        <v>10</v>
      </c>
      <c r="S164" s="68"/>
      <c r="T164" s="68"/>
      <c r="U164" s="68"/>
      <c r="V164" s="69">
        <f>IF(J164=0,0,VLOOKUP(能力数值!J164,装备拆分数值生成!$AK$112:$AV$161,5,0))+IF(P164=0,0,VLOOKUP(能力数值!P164,装备拆分数值生成!$AK$112:$AV$161,5,0))+IF(R164=0,0,VLOOKUP(能力数值!R164,装备拆分数值生成!$AK$112:$AV$161,11,0))</f>
        <v>2801</v>
      </c>
      <c r="W164" s="69">
        <f>IF(H164=0,0,VLOOKUP(能力数值!H164,装备拆分数值生成!$AK$112:$AV$161,3,0))</f>
        <v>287</v>
      </c>
      <c r="X164" s="69">
        <f>IF(H164=0,0,VLOOKUP(能力数值!H164,装备拆分数值生成!$AK$112:$AV$161,4,0))</f>
        <v>287</v>
      </c>
      <c r="Y164" s="69">
        <f>IF(L164=0,0,VLOOKUP(能力数值!L164,装备拆分数值生成!$AK$112:$AV$161,6,0))+IF(N164=0,0,VLOOKUP(能力数值!N164,装备拆分数值生成!$AK$112:$AV$161,8,0))+IF(R164=0,0,VLOOKUP(能力数值!R164,装备拆分数值生成!$AK$112:$AV$161,12,0))</f>
        <v>600</v>
      </c>
      <c r="Z164" s="68"/>
      <c r="AA164" s="68"/>
      <c r="AB164" s="68"/>
      <c r="AC164" s="68"/>
      <c r="AD164" s="68">
        <f>VLOOKUP(D164,宠物成长生成表!$B$5:$J$103,3,0)*$AM$2*(VLOOKUP(E164,$AP$1:$AQ$6,2,0))</f>
        <v>2882.3599999999997</v>
      </c>
      <c r="AE164" s="68">
        <f>VLOOKUP(D164,宠物成长生成表!$B$5:$J$103,4,0)*$AM$3*(VLOOKUP(E164,$AP$1:$AQ$6,2,0))</f>
        <v>605.3599999999999</v>
      </c>
      <c r="AF164" s="68">
        <f>VLOOKUP(D164,宠物成长生成表!$B$5:$J$103,4,0)*$AM$4*(VLOOKUP(E164,$AP$1:$AQ$6,2,0))</f>
        <v>605.3599999999999</v>
      </c>
      <c r="AG164" s="68">
        <f>VLOOKUP(D164,宠物成长生成表!$B$5:$J$103,7,0)*$AM$5*(VLOOKUP(E164,$AP$1:$AQ$6,2,0))</f>
        <v>953.30399999999997</v>
      </c>
      <c r="AH164" s="68">
        <f>VLOOKUP(D164,宠物成长生成表!$B$5:$J$103,6,0)</f>
        <v>75</v>
      </c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9">
        <f t="shared" si="81"/>
        <v>5683.36</v>
      </c>
      <c r="AT164" s="69">
        <f t="shared" si="82"/>
        <v>892.3599999999999</v>
      </c>
      <c r="AU164" s="69">
        <f t="shared" si="83"/>
        <v>892.3599999999999</v>
      </c>
      <c r="AV164" s="71">
        <f t="shared" si="84"/>
        <v>1553.3040000000001</v>
      </c>
    </row>
    <row r="165" spans="2:48" ht="17.25" thickBot="1">
      <c r="B165" s="99"/>
      <c r="C165" s="72" t="s">
        <v>425</v>
      </c>
      <c r="D165" s="72">
        <v>7</v>
      </c>
      <c r="E165" s="93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69"/>
      <c r="W165" s="69"/>
      <c r="X165" s="69"/>
      <c r="Y165" s="69"/>
      <c r="Z165" s="72"/>
      <c r="AA165" s="72"/>
      <c r="AB165" s="72"/>
      <c r="AC165" s="72"/>
      <c r="AD165" s="72">
        <f>VLOOKUP(D165,宠物成长生成表!$B$5:$J$103,3,0)*$AL$2*(VLOOKUP(E165,$AP$1:$AQ$6,2,0))</f>
        <v>1314.35</v>
      </c>
      <c r="AE165" s="72">
        <f>VLOOKUP(D165,宠物成长生成表!$B$5:$J$103,4,0)*$AL$3*(VLOOKUP(E165,$AP$1:$AQ$6,2,0))</f>
        <v>411.18</v>
      </c>
      <c r="AF165" s="72">
        <f>VLOOKUP(D165,宠物成长生成表!$B$5:$J$103,4,0)*$AL$4*(VLOOKUP(E165,$AP$1:$AQ$6,2,0))</f>
        <v>531.29999999999995</v>
      </c>
      <c r="AG165" s="72">
        <f>VLOOKUP(D165,宠物成长生成表!$B$5:$J$103,7,0)*$AL$5*(VLOOKUP(E165,$AP$1:$AQ$6,2,0))</f>
        <v>335.16</v>
      </c>
      <c r="AH165" s="81">
        <f>VLOOKUP(D165,宠物成长生成表!$B$5:$J$103,6,0)</f>
        <v>61</v>
      </c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8"/>
    </row>
    <row r="166" spans="2:48">
      <c r="B166" s="97" t="s">
        <v>503</v>
      </c>
      <c r="C166" s="64" t="s">
        <v>428</v>
      </c>
      <c r="D166" s="64">
        <v>15</v>
      </c>
      <c r="E166" s="91">
        <v>2</v>
      </c>
      <c r="F166" s="64"/>
      <c r="G166" s="64"/>
      <c r="H166" s="89">
        <v>14</v>
      </c>
      <c r="I166" s="64"/>
      <c r="J166" s="64">
        <v>9</v>
      </c>
      <c r="K166" s="64"/>
      <c r="L166" s="64">
        <v>6</v>
      </c>
      <c r="M166" s="64"/>
      <c r="N166" s="64">
        <v>9</v>
      </c>
      <c r="O166" s="64"/>
      <c r="P166" s="64">
        <v>3</v>
      </c>
      <c r="Q166" s="64"/>
      <c r="R166" s="64">
        <v>8</v>
      </c>
      <c r="S166" s="64"/>
      <c r="T166" s="64"/>
      <c r="U166" s="64"/>
      <c r="V166" s="65">
        <f>IF(J166=0,0,VLOOKUP(能力数值!J166,装备拆分数值生成!$AK$58:$AV$107,5,0))+IF(P166=0,0,VLOOKUP(P166,装备拆分数值生成!$AK$58:$AV$107,9,0))+IF(R166=0,0,VLOOKUP(R166,装备拆分数值生成!$AK$58:$AV$107,11,0))</f>
        <v>803</v>
      </c>
      <c r="W166" s="65">
        <f>IF(H166=0,0,VLOOKUP(H166,装备拆分数值生成!$AK$58:$AV$107,3,0))+IF(P166=0,0,VLOOKUP(P166,装备拆分数值生成!$AK$58:$AV$107,10,0))</f>
        <v>190</v>
      </c>
      <c r="X166" s="65">
        <f>IF(H166=0,0,VLOOKUP(H166,装备拆分数值生成!$AK$58:$AV$107,4,0))+IF(N166=0,0,VLOOKUP(N166,装备拆分数值生成!$AK$58:$AV$107,7,0))+IF(R166=0,0,VLOOKUP(R166,装备拆分数值生成!$AK$58:$AV$107,12,0))</f>
        <v>520</v>
      </c>
      <c r="Y166" s="65">
        <f>IF(L166=0,0,VLOOKUP(L166,装备拆分数值生成!$AK$58:$AV$107,6,0))+IF(N166=0,0,VLOOKUP(N166,装备拆分数值生成!$AK$58:$AV$107,8,0))</f>
        <v>191</v>
      </c>
      <c r="Z166" s="64"/>
      <c r="AA166" s="64"/>
      <c r="AB166" s="64"/>
      <c r="AC166" s="64"/>
      <c r="AD166" s="68">
        <f>VLOOKUP(D166,宠物成长生成表!$B$5:$J$103,3,0)*$AL$2*(VLOOKUP(E166,$AP$1:$AQ$6,2,0))</f>
        <v>1905.2739999999999</v>
      </c>
      <c r="AE166" s="68">
        <f>VLOOKUP(D166,宠物成长生成表!$B$5:$J$103,4,0)*$AL$3*(VLOOKUP(E166,$AP$1:$AQ$6,2,0))</f>
        <v>596.70049999999992</v>
      </c>
      <c r="AF166" s="68">
        <f>VLOOKUP(D166,宠物成长生成表!$B$5:$J$103,4,0)*$AL$4*(VLOOKUP(E166,$AP$1:$AQ$6,2,0))</f>
        <v>771.01749999999981</v>
      </c>
      <c r="AG166" s="68">
        <f>VLOOKUP(D166,宠物成长生成表!$B$5:$J$103,7,0)*$AL$5*(VLOOKUP(E166,$AP$1:$AQ$6,2,0))</f>
        <v>485.94399999999996</v>
      </c>
      <c r="AH166" s="64">
        <f>VLOOKUP(D166,宠物成长生成表!$B$5:$J$103,6,0)+VLOOKUP(E166,宠物升阶生成表!$B$6:$F$21,5,0)</f>
        <v>98</v>
      </c>
      <c r="AI166" s="64"/>
      <c r="AJ166" s="64"/>
      <c r="AK166" s="64"/>
      <c r="AL166" s="64"/>
      <c r="AM166" s="64"/>
      <c r="AN166" s="64"/>
      <c r="AO166" s="64"/>
      <c r="AP166" s="64"/>
      <c r="AQ166" s="64"/>
      <c r="AR166" s="64"/>
      <c r="AS166" s="65">
        <f t="shared" ref="AS166:AS169" si="85">V166+AD166</f>
        <v>2708.2739999999999</v>
      </c>
      <c r="AT166" s="65">
        <f t="shared" ref="AT166:AT169" si="86">W166+AE166</f>
        <v>786.70049999999992</v>
      </c>
      <c r="AU166" s="65">
        <f t="shared" ref="AU166:AU169" si="87">X166+AF166</f>
        <v>1291.0174999999999</v>
      </c>
      <c r="AV166" s="67">
        <f t="shared" ref="AV166:AV169" si="88">Y166+AG166</f>
        <v>676.94399999999996</v>
      </c>
    </row>
    <row r="167" spans="2:48">
      <c r="B167" s="98"/>
      <c r="C167" s="68" t="s">
        <v>426</v>
      </c>
      <c r="D167" s="68">
        <v>12</v>
      </c>
      <c r="E167" s="92">
        <v>1</v>
      </c>
      <c r="F167" s="68"/>
      <c r="G167" s="68"/>
      <c r="H167" s="88">
        <v>13</v>
      </c>
      <c r="I167" s="68"/>
      <c r="J167" s="68">
        <v>9</v>
      </c>
      <c r="K167" s="68"/>
      <c r="L167" s="88">
        <v>11</v>
      </c>
      <c r="M167" s="68"/>
      <c r="N167" s="68">
        <v>2</v>
      </c>
      <c r="O167" s="68"/>
      <c r="P167" s="68"/>
      <c r="Q167" s="68"/>
      <c r="R167" s="68">
        <v>5</v>
      </c>
      <c r="S167" s="68"/>
      <c r="T167" s="68"/>
      <c r="U167" s="68"/>
      <c r="V167" s="69">
        <f>IF(J167=0,0,VLOOKUP(能力数值!J167,装备拆分数值生成!$AK$4:$AV$53,5,0))+IF(P167=0,0,VLOOKUP(能力数值!P167,装备拆分数值生成!$AK$4:$AV$53,9,0))+IF(R167=0,0,VLOOKUP(能力数值!R167,装备拆分数值生成!$AK$4:$AV$53,11,0))</f>
        <v>534</v>
      </c>
      <c r="W167" s="69">
        <f>IF(H167=0,0,VLOOKUP(能力数值!H167,装备拆分数值生成!$AK$4:$AV$53,3,0))+IF(N167=0,0,VLOOKUP(能力数值!N167,装备拆分数值生成!$AK$4:$AV$53,7,0))+IF(R167=0,0,VLOOKUP(能力数值!R167,装备拆分数值生成!$AK$4:$AV$53,12,0))</f>
        <v>459</v>
      </c>
      <c r="X167" s="69">
        <f>IF(H167=0,0,VLOOKUP(能力数值!H167,装备拆分数值生成!$AK$4:$AV$53,4,0))+IF(P167=0,0,VLOOKUP(能力数值!P167,装备拆分数值生成!$AK$4:$AV$53,10,0))</f>
        <v>159</v>
      </c>
      <c r="Y167" s="69">
        <f>IF(L167=0,0,VLOOKUP(能力数值!L167,装备拆分数值生成!$AK$4:$AV$53,6,0))+IF(N167=0,0,VLOOKUP(能力数值!N167,装备拆分数值生成!$AK$4:$AV$53,8,0))</f>
        <v>190</v>
      </c>
      <c r="Z167" s="68"/>
      <c r="AA167" s="68"/>
      <c r="AB167" s="68"/>
      <c r="AC167" s="68"/>
      <c r="AD167" s="68">
        <f>VLOOKUP(D167,宠物成长生成表!$B$5:$J$103,3,0)*$AO$2*(VLOOKUP(E167,$AP$1:$AQ$6,2,0))</f>
        <v>1605.1560000000002</v>
      </c>
      <c r="AE167" s="68">
        <f>VLOOKUP(D167,宠物成长生成表!$B$5:$J$103,4,0)*(VLOOKUP(E167,$AP$1:$AQ$6,2,0))</f>
        <v>564.9</v>
      </c>
      <c r="AF167" s="68">
        <f>VLOOKUP(D167,宠物成长生成表!$B$5:$J$103,4,0)*$AO$4*(VLOOKUP(E167,$AP$1:$AQ$6,2,0))</f>
        <v>502.76100000000002</v>
      </c>
      <c r="AG167" s="68">
        <f>VLOOKUP(D167,宠物成长生成表!$B$5:$J$103,7,0)*$AO$5*(VLOOKUP(E167,$AP$1:$AQ$6,2,0))</f>
        <v>409.37400000000002</v>
      </c>
      <c r="AH167" s="68">
        <f>VLOOKUP(D167,宠物成长生成表!$B$5:$J$103,6,0)+VLOOKUP(E167,宠物升阶生成表!$B$6:$F$21,5,0)</f>
        <v>77</v>
      </c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9">
        <f t="shared" si="85"/>
        <v>2139.1559999999999</v>
      </c>
      <c r="AT167" s="69">
        <f t="shared" si="86"/>
        <v>1023.9</v>
      </c>
      <c r="AU167" s="69">
        <f t="shared" si="87"/>
        <v>661.76099999999997</v>
      </c>
      <c r="AV167" s="71">
        <f t="shared" si="88"/>
        <v>599.37400000000002</v>
      </c>
    </row>
    <row r="168" spans="2:48">
      <c r="B168" s="98"/>
      <c r="C168" s="68" t="s">
        <v>394</v>
      </c>
      <c r="D168" s="68">
        <v>12</v>
      </c>
      <c r="E168" s="92">
        <v>1</v>
      </c>
      <c r="F168" s="68"/>
      <c r="G168" s="68"/>
      <c r="H168" s="88">
        <v>11</v>
      </c>
      <c r="I168" s="68"/>
      <c r="J168" s="68">
        <v>9</v>
      </c>
      <c r="K168" s="68"/>
      <c r="L168" s="68">
        <v>10</v>
      </c>
      <c r="M168" s="68"/>
      <c r="N168" s="68">
        <v>3</v>
      </c>
      <c r="O168" s="68"/>
      <c r="P168" s="68">
        <v>3</v>
      </c>
      <c r="Q168" s="68"/>
      <c r="R168" s="68">
        <v>6</v>
      </c>
      <c r="S168" s="68"/>
      <c r="T168" s="68"/>
      <c r="U168" s="68"/>
      <c r="V168" s="69">
        <f>IF(J168=0,0,VLOOKUP(能力数值!J168,装备拆分数值生成!$AK$165:$AV$214,5,0))+IF(P168=0,0,VLOOKUP(能力数值!P168,装备拆分数值生成!$AK$165:$AV$214,9,0))+IF(R168=0,0,VLOOKUP(能力数值!R168,装备拆分数值生成!$AK$165:$AV$214,11,0))</f>
        <v>808</v>
      </c>
      <c r="W168" s="69">
        <f>IF(H168=0,0,VLOOKUP(能力数值!H168,装备拆分数值生成!$AK$165:$AV$214,3,0))</f>
        <v>210</v>
      </c>
      <c r="X168" s="69">
        <f>IF(H168=0,0,VLOOKUP(能力数值!H168,装备拆分数值生成!$AK$165:$AV$214,4,0))+IF(P168=0,0,VLOOKUP(能力数值!P168,装备拆分数值生成!$AK$165:$AV$214,10,0))</f>
        <v>253</v>
      </c>
      <c r="Y168" s="69">
        <f>IF(L168=0,0,VLOOKUP(能力数值!L168,装备拆分数值生成!$AK$165:$AV$214,6,0))+IF(N168=0,0,VLOOKUP(能力数值!N168,装备拆分数值生成!$AK$165:$AV$214,8,0))+IF(R168=0,0,VLOOKUP(能力数值!R168,装备拆分数值生成!$AK$165:$AV$214,12,0))</f>
        <v>244</v>
      </c>
      <c r="Z168" s="68"/>
      <c r="AA168" s="68"/>
      <c r="AB168" s="68"/>
      <c r="AC168" s="68"/>
      <c r="AD168" s="68">
        <f>VLOOKUP(D167,宠物成长生成表!$B$5:$J$103,3,0)*$AN$2*(VLOOKUP(E168,$AP$1:$AQ$6,2,0))</f>
        <v>1985.76</v>
      </c>
      <c r="AE168" s="68">
        <f>VLOOKUP(D167,宠物成长生成表!$B$5:$J$103,4,0)*$AN$3*(VLOOKUP(E168,$AP$1:$AQ$6,2,0))</f>
        <v>508.41</v>
      </c>
      <c r="AF168" s="68">
        <f>VLOOKUP(D167,宠物成长生成表!$B$5:$J$103,4,0)*$AN$4*(VLOOKUP(E168,$AP$1:$AQ$6,2,0))</f>
        <v>508.41</v>
      </c>
      <c r="AG168" s="68">
        <f>VLOOKUP(D167,宠物成长生成表!$B$5:$J$103,7,0)*$AN$5*(VLOOKUP(E168,$AP$1:$AQ$6,2,0))</f>
        <v>474.012</v>
      </c>
      <c r="AH168" s="68">
        <f>VLOOKUP(D168,宠物成长生成表!$B$5:$J$103,6,0)+VLOOKUP(E168,宠物升阶生成表!$B$6:$F$21,5,0)</f>
        <v>77</v>
      </c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9">
        <f t="shared" si="85"/>
        <v>2793.76</v>
      </c>
      <c r="AT168" s="69">
        <f t="shared" si="86"/>
        <v>718.41000000000008</v>
      </c>
      <c r="AU168" s="69">
        <f t="shared" si="87"/>
        <v>761.41000000000008</v>
      </c>
      <c r="AV168" s="71">
        <f t="shared" si="88"/>
        <v>718.01199999999994</v>
      </c>
    </row>
    <row r="169" spans="2:48">
      <c r="B169" s="98"/>
      <c r="C169" s="68" t="s">
        <v>427</v>
      </c>
      <c r="D169" s="68">
        <v>8</v>
      </c>
      <c r="E169" s="92"/>
      <c r="F169" s="68"/>
      <c r="G169" s="68"/>
      <c r="H169" s="68">
        <v>7</v>
      </c>
      <c r="I169" s="68"/>
      <c r="J169" s="68">
        <v>10</v>
      </c>
      <c r="K169" s="68"/>
      <c r="L169" s="88">
        <v>13</v>
      </c>
      <c r="M169" s="68"/>
      <c r="N169" s="68"/>
      <c r="O169" s="68"/>
      <c r="P169" s="68"/>
      <c r="Q169" s="68"/>
      <c r="R169" s="68">
        <v>7</v>
      </c>
      <c r="S169" s="68"/>
      <c r="T169" s="68"/>
      <c r="U169" s="68"/>
      <c r="V169" s="69">
        <f>IF(J169=0,0,VLOOKUP(能力数值!J169,装备拆分数值生成!$AK$112:$AV$161,5,0))+IF(P169=0,0,VLOOKUP(能力数值!P169,装备拆分数值生成!$AK$112:$AV$161,5,0))+IF(R169=0,0,VLOOKUP(能力数值!R169,装备拆分数值生成!$AK$112:$AV$161,11,0))</f>
        <v>857</v>
      </c>
      <c r="W169" s="69">
        <f>IF(H169=0,0,VLOOKUP(能力数值!H169,装备拆分数值生成!$AK$112:$AV$161,3,0))</f>
        <v>155</v>
      </c>
      <c r="X169" s="69">
        <f>IF(H169=0,0,VLOOKUP(能力数值!H169,装备拆分数值生成!$AK$112:$AV$161,4,0))</f>
        <v>155</v>
      </c>
      <c r="Y169" s="69">
        <f>IF(L169=0,0,VLOOKUP(能力数值!L169,装备拆分数值生成!$AK$112:$AV$161,6,0))+IF(N169=0,0,VLOOKUP(能力数值!N169,装备拆分数值生成!$AK$112:$AV$161,8,0))+IF(R169=0,0,VLOOKUP(能力数值!R169,装备拆分数值生成!$AK$112:$AV$161,12,0))</f>
        <v>341</v>
      </c>
      <c r="Z169" s="68"/>
      <c r="AA169" s="68"/>
      <c r="AB169" s="68"/>
      <c r="AC169" s="68"/>
      <c r="AD169" s="68">
        <f>VLOOKUP(D169,宠物成长生成表!$B$5:$J$103,3,0)*$AM$2*(VLOOKUP(E169,$AP$1:$AQ$6,2,0))</f>
        <v>1818.7</v>
      </c>
      <c r="AE169" s="68">
        <f>VLOOKUP(D169,宠物成长生成表!$B$5:$J$103,4,0)*$AM$3*(VLOOKUP(E169,$AP$1:$AQ$6,2,0))</f>
        <v>381.6</v>
      </c>
      <c r="AF169" s="68">
        <f>VLOOKUP(D169,宠物成长生成表!$B$5:$J$103,4,0)*$AM$4*(VLOOKUP(E169,$AP$1:$AQ$6,2,0))</f>
        <v>381.6</v>
      </c>
      <c r="AG169" s="68">
        <f>VLOOKUP(D169,宠物成长生成表!$B$5:$J$103,7,0)*$AM$5*(VLOOKUP(E169,$AP$1:$AQ$6,2,0))</f>
        <v>600.6</v>
      </c>
      <c r="AH169" s="68">
        <f>VLOOKUP(D169,宠物成长生成表!$B$5:$J$103,6,0)+VLOOKUP(E169,宠物升阶生成表!$B$6:$F$21,5,0)</f>
        <v>62</v>
      </c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9">
        <f t="shared" si="85"/>
        <v>2675.7</v>
      </c>
      <c r="AT169" s="69">
        <f t="shared" si="86"/>
        <v>536.6</v>
      </c>
      <c r="AU169" s="69">
        <f t="shared" si="87"/>
        <v>536.6</v>
      </c>
      <c r="AV169" s="71">
        <f t="shared" si="88"/>
        <v>941.6</v>
      </c>
    </row>
    <row r="170" spans="2:48" ht="17.25" thickBot="1">
      <c r="B170" s="99"/>
      <c r="C170" s="72" t="s">
        <v>425</v>
      </c>
      <c r="D170" s="72">
        <v>5</v>
      </c>
      <c r="E170" s="93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69"/>
      <c r="W170" s="69"/>
      <c r="X170" s="69"/>
      <c r="Y170" s="69"/>
      <c r="Z170" s="72"/>
      <c r="AA170" s="72"/>
      <c r="AB170" s="72"/>
      <c r="AC170" s="72"/>
      <c r="AD170" s="72">
        <f>VLOOKUP(D170,宠物成长生成表!$B$5:$J$103,3,0)*$AL$2*(VLOOKUP(E170,$AP$1:$AQ$6,2,0))</f>
        <v>1228.99</v>
      </c>
      <c r="AE170" s="72">
        <f>VLOOKUP(D170,宠物成长生成表!$B$5:$J$103,4,0)*$AL$3*(VLOOKUP(E170,$AP$1:$AQ$6,2,0))</f>
        <v>384.48</v>
      </c>
      <c r="AF170" s="72">
        <f>VLOOKUP(D170,宠物成长生成表!$B$5:$J$103,4,0)*$AL$4*(VLOOKUP(E170,$AP$1:$AQ$6,2,0))</f>
        <v>496.79999999999995</v>
      </c>
      <c r="AG170" s="72">
        <f>VLOOKUP(D170,宠物成长生成表!$B$5:$J$103,7,0)*$AL$5*(VLOOKUP(E170,$AP$1:$AQ$6,2,0))</f>
        <v>313.12</v>
      </c>
      <c r="AH170" s="81">
        <f>VLOOKUP(D170,宠物成长生成表!$B$5:$J$103,6,0)</f>
        <v>59</v>
      </c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8"/>
    </row>
    <row r="171" spans="2:48">
      <c r="B171" s="97" t="s">
        <v>504</v>
      </c>
      <c r="C171" s="64" t="s">
        <v>428</v>
      </c>
      <c r="D171" s="64">
        <v>15</v>
      </c>
      <c r="E171" s="91">
        <v>2</v>
      </c>
      <c r="F171" s="64"/>
      <c r="G171" s="64"/>
      <c r="H171" s="89">
        <v>16</v>
      </c>
      <c r="I171" s="64"/>
      <c r="J171" s="64">
        <v>9</v>
      </c>
      <c r="K171" s="64"/>
      <c r="L171" s="64">
        <v>11</v>
      </c>
      <c r="M171" s="64"/>
      <c r="N171" s="64"/>
      <c r="O171" s="64"/>
      <c r="P171" s="64">
        <v>6</v>
      </c>
      <c r="Q171" s="64"/>
      <c r="R171" s="64">
        <v>8</v>
      </c>
      <c r="S171" s="64"/>
      <c r="T171" s="64"/>
      <c r="U171" s="64"/>
      <c r="V171" s="65">
        <f>IF(J171=0,0,VLOOKUP(能力数值!J171,装备拆分数值生成!$AK$58:$AV$107,5,0))+IF(P171=0,0,VLOOKUP(P171,装备拆分数值生成!$AK$58:$AV$107,9,0))+IF(R171=0,0,VLOOKUP(R171,装备拆分数值生成!$AK$58:$AV$107,11,0))</f>
        <v>860</v>
      </c>
      <c r="W171" s="65">
        <f>IF(H171=0,0,VLOOKUP(H171,装备拆分数值生成!$AK$58:$AV$107,3,0))+IF(P171=0,0,VLOOKUP(P171,装备拆分数值生成!$AK$58:$AV$107,10,0))</f>
        <v>215</v>
      </c>
      <c r="X171" s="65">
        <f>IF(H171=0,0,VLOOKUP(H171,装备拆分数值生成!$AK$58:$AV$107,4,0))+IF(N171=0,0,VLOOKUP(N171,装备拆分数值生成!$AK$58:$AV$107,7,0))+IF(R171=0,0,VLOOKUP(R171,装备拆分数值生成!$AK$58:$AV$107,12,0))</f>
        <v>498</v>
      </c>
      <c r="Y171" s="65">
        <f>IF(L171=0,0,VLOOKUP(L171,装备拆分数值生成!$AK$58:$AV$107,6,0))+IF(N171=0,0,VLOOKUP(N171,装备拆分数值生成!$AK$58:$AV$107,8,0))</f>
        <v>133</v>
      </c>
      <c r="Z171" s="64"/>
      <c r="AA171" s="64"/>
      <c r="AB171" s="64"/>
      <c r="AC171" s="64"/>
      <c r="AD171" s="68">
        <f>VLOOKUP(D171,宠物成长生成表!$B$5:$J$103,3,0)*$AL$2*(VLOOKUP(E171,$AP$1:$AQ$6,2,0))</f>
        <v>1905.2739999999999</v>
      </c>
      <c r="AE171" s="68">
        <f>VLOOKUP(D171,宠物成长生成表!$B$5:$J$103,4,0)*$AL$3*(VLOOKUP(E171,$AP$1:$AQ$6,2,0))</f>
        <v>596.70049999999992</v>
      </c>
      <c r="AF171" s="68">
        <f>VLOOKUP(D171,宠物成长生成表!$B$5:$J$103,4,0)*$AL$4*(VLOOKUP(E171,$AP$1:$AQ$6,2,0))</f>
        <v>771.01749999999981</v>
      </c>
      <c r="AG171" s="68">
        <f>VLOOKUP(D171,宠物成长生成表!$B$5:$J$103,7,0)*$AL$5*(VLOOKUP(E171,$AP$1:$AQ$6,2,0))</f>
        <v>485.94399999999996</v>
      </c>
      <c r="AH171" s="64">
        <f>VLOOKUP(D171,宠物成长生成表!$B$5:$J$103,6,0)+VLOOKUP(E171,宠物升阶生成表!$B$6:$F$21,5,0)</f>
        <v>98</v>
      </c>
      <c r="AI171" s="64"/>
      <c r="AJ171" s="64"/>
      <c r="AK171" s="64"/>
      <c r="AL171" s="64"/>
      <c r="AM171" s="64"/>
      <c r="AN171" s="64"/>
      <c r="AO171" s="64"/>
      <c r="AP171" s="64"/>
      <c r="AQ171" s="64"/>
      <c r="AR171" s="64"/>
      <c r="AS171" s="65">
        <f t="shared" ref="AS171:AS174" si="89">V171+AD171</f>
        <v>2765.2739999999999</v>
      </c>
      <c r="AT171" s="65">
        <f t="shared" ref="AT171:AT174" si="90">W171+AE171</f>
        <v>811.70049999999992</v>
      </c>
      <c r="AU171" s="65">
        <f t="shared" ref="AU171:AU174" si="91">X171+AF171</f>
        <v>1269.0174999999999</v>
      </c>
      <c r="AV171" s="67">
        <f t="shared" ref="AV171:AV174" si="92">Y171+AG171</f>
        <v>618.94399999999996</v>
      </c>
    </row>
    <row r="172" spans="2:48">
      <c r="B172" s="98"/>
      <c r="C172" s="68" t="s">
        <v>426</v>
      </c>
      <c r="D172" s="68">
        <v>17</v>
      </c>
      <c r="E172" s="92">
        <v>2</v>
      </c>
      <c r="F172" s="68"/>
      <c r="G172" s="68"/>
      <c r="H172" s="68">
        <v>18</v>
      </c>
      <c r="I172" s="68"/>
      <c r="J172" s="68">
        <v>9</v>
      </c>
      <c r="K172" s="68"/>
      <c r="L172" s="68">
        <v>8</v>
      </c>
      <c r="M172" s="68"/>
      <c r="N172" s="68"/>
      <c r="O172" s="68"/>
      <c r="P172" s="68">
        <v>8</v>
      </c>
      <c r="Q172" s="68"/>
      <c r="R172" s="68">
        <v>5</v>
      </c>
      <c r="S172" s="68"/>
      <c r="T172" s="68"/>
      <c r="U172" s="68"/>
      <c r="V172" s="69">
        <f>IF(J172=0,0,VLOOKUP(能力数值!J172,装备拆分数值生成!$AK$4:$AV$53,5,0))+IF(P172=0,0,VLOOKUP(能力数值!P172,装备拆分数值生成!$AK$4:$AV$53,9,0))+IF(R172=0,0,VLOOKUP(能力数值!R172,装备拆分数值生成!$AK$4:$AV$53,11,0))</f>
        <v>884</v>
      </c>
      <c r="W172" s="69">
        <f>IF(H172=0,0,VLOOKUP(能力数值!H172,装备拆分数值生成!$AK$4:$AV$53,3,0))+IF(N172=0,0,VLOOKUP(能力数值!N172,装备拆分数值生成!$AK$4:$AV$53,7,0))+IF(R172=0,0,VLOOKUP(能力数值!R172,装备拆分数值生成!$AK$4:$AV$53,12,0))</f>
        <v>518</v>
      </c>
      <c r="X172" s="69">
        <f>IF(H172=0,0,VLOOKUP(能力数值!H172,装备拆分数值生成!$AK$4:$AV$53,4,0))+IF(P172=0,0,VLOOKUP(能力数值!P172,装备拆分数值生成!$AK$4:$AV$53,10,0))</f>
        <v>238</v>
      </c>
      <c r="Y172" s="69">
        <f>IF(L172=0,0,VLOOKUP(能力数值!L172,装备拆分数值生成!$AK$4:$AV$53,6,0))+IF(N172=0,0,VLOOKUP(能力数值!N172,装备拆分数值生成!$AK$4:$AV$53,8,0))</f>
        <v>113</v>
      </c>
      <c r="Z172" s="68"/>
      <c r="AA172" s="68"/>
      <c r="AB172" s="68"/>
      <c r="AC172" s="68"/>
      <c r="AD172" s="68">
        <f>VLOOKUP(D172,宠物成长生成表!$B$5:$J$103,3,0)*$AO$2*(VLOOKUP(E172,$AP$1:$AQ$6,2,0))</f>
        <v>2003.4379999999996</v>
      </c>
      <c r="AE172" s="68">
        <f>VLOOKUP(D172,宠物成长生成表!$B$5:$J$103,4,0)*(VLOOKUP(E172,$AP$1:$AQ$6,2,0))</f>
        <v>704.94999999999993</v>
      </c>
      <c r="AF172" s="68">
        <f>VLOOKUP(D172,宠物成长生成表!$B$5:$J$103,4,0)*$AO$4*(VLOOKUP(E172,$AP$1:$AQ$6,2,0))</f>
        <v>627.40549999999996</v>
      </c>
      <c r="AG172" s="68">
        <f>VLOOKUP(D172,宠物成长生成表!$B$5:$J$103,7,0)*$AO$5*(VLOOKUP(E172,$AP$1:$AQ$6,2,0))</f>
        <v>510.416</v>
      </c>
      <c r="AH172" s="68">
        <f>VLOOKUP(D172,宠物成长生成表!$B$5:$J$103,6,0)+VLOOKUP(E172,宠物升阶生成表!$B$6:$F$21,5,0)</f>
        <v>100</v>
      </c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9">
        <f t="shared" si="89"/>
        <v>2887.4379999999996</v>
      </c>
      <c r="AT172" s="69">
        <f t="shared" si="90"/>
        <v>1222.9499999999998</v>
      </c>
      <c r="AU172" s="69">
        <f t="shared" si="91"/>
        <v>865.40549999999996</v>
      </c>
      <c r="AV172" s="71">
        <f t="shared" si="92"/>
        <v>623.41599999999994</v>
      </c>
    </row>
    <row r="173" spans="2:48">
      <c r="B173" s="98"/>
      <c r="C173" s="68" t="s">
        <v>394</v>
      </c>
      <c r="D173" s="68">
        <v>15</v>
      </c>
      <c r="E173" s="92">
        <v>2</v>
      </c>
      <c r="F173" s="68"/>
      <c r="G173" s="68"/>
      <c r="H173" s="68">
        <v>16</v>
      </c>
      <c r="I173" s="68"/>
      <c r="J173" s="68">
        <v>9</v>
      </c>
      <c r="K173" s="68"/>
      <c r="L173" s="68">
        <v>10</v>
      </c>
      <c r="M173" s="68"/>
      <c r="N173" s="68"/>
      <c r="O173" s="68"/>
      <c r="P173" s="68">
        <v>6</v>
      </c>
      <c r="Q173" s="68"/>
      <c r="R173" s="68">
        <v>5</v>
      </c>
      <c r="S173" s="68"/>
      <c r="T173" s="68"/>
      <c r="U173" s="68"/>
      <c r="V173" s="69">
        <f>IF(J173=0,0,VLOOKUP(能力数值!J173,装备拆分数值生成!$AK$165:$AV$214,5,0))+IF(P173=0,0,VLOOKUP(能力数值!P173,装备拆分数值生成!$AK$165:$AV$214,9,0))+IF(R173=0,0,VLOOKUP(能力数值!R173,装备拆分数值生成!$AK$165:$AV$214,11,0))</f>
        <v>841</v>
      </c>
      <c r="W173" s="69">
        <f>IF(H173=0,0,VLOOKUP(能力数值!H173,装备拆分数值生成!$AK$165:$AV$214,3,0))</f>
        <v>284</v>
      </c>
      <c r="X173" s="69">
        <f>IF(H173=0,0,VLOOKUP(能力数值!H173,装备拆分数值生成!$AK$165:$AV$214,4,0))+IF(P173=0,0,VLOOKUP(能力数值!P173,装备拆分数值生成!$AK$165:$AV$214,10,0))</f>
        <v>337</v>
      </c>
      <c r="Y173" s="69">
        <f>IF(L173=0,0,VLOOKUP(能力数值!L173,装备拆分数值生成!$AK$165:$AV$214,6,0))+IF(N173=0,0,VLOOKUP(能力数值!N173,装备拆分数值生成!$AK$165:$AV$214,8,0))+IF(R173=0,0,VLOOKUP(能力数值!R173,装备拆分数值生成!$AK$165:$AV$214,12,0))</f>
        <v>180</v>
      </c>
      <c r="Z173" s="68"/>
      <c r="AA173" s="68"/>
      <c r="AB173" s="68"/>
      <c r="AC173" s="68"/>
      <c r="AD173" s="68">
        <f>VLOOKUP(D172,宠物成长生成表!$B$5:$J$103,3,0)*$AN$2*(VLOOKUP(E173,$AP$1:$AQ$6,2,0))</f>
        <v>2478.4799999999996</v>
      </c>
      <c r="AE173" s="68">
        <f>VLOOKUP(D172,宠物成长生成表!$B$5:$J$103,4,0)*$AN$3*(VLOOKUP(E173,$AP$1:$AQ$6,2,0))</f>
        <v>634.45500000000004</v>
      </c>
      <c r="AF173" s="68">
        <f>VLOOKUP(D172,宠物成长生成表!$B$5:$J$103,4,0)*$AN$4*(VLOOKUP(E173,$AP$1:$AQ$6,2,0))</f>
        <v>634.45500000000004</v>
      </c>
      <c r="AG173" s="68">
        <f>VLOOKUP(D172,宠物成长生成表!$B$5:$J$103,7,0)*$AN$5*(VLOOKUP(E173,$AP$1:$AQ$6,2,0))</f>
        <v>591.00799999999992</v>
      </c>
      <c r="AH173" s="68">
        <f>VLOOKUP(D173,宠物成长生成表!$B$5:$J$103,6,0)+VLOOKUP(E173,宠物升阶生成表!$B$6:$F$21,5,0)</f>
        <v>98</v>
      </c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9">
        <f t="shared" si="89"/>
        <v>3319.4799999999996</v>
      </c>
      <c r="AT173" s="69">
        <f t="shared" si="90"/>
        <v>918.45500000000004</v>
      </c>
      <c r="AU173" s="69">
        <f t="shared" si="91"/>
        <v>971.45500000000004</v>
      </c>
      <c r="AV173" s="71">
        <f t="shared" si="92"/>
        <v>771.00799999999992</v>
      </c>
    </row>
    <row r="174" spans="2:48">
      <c r="B174" s="98"/>
      <c r="C174" s="68" t="s">
        <v>427</v>
      </c>
      <c r="D174" s="68">
        <v>13</v>
      </c>
      <c r="E174" s="92">
        <v>1</v>
      </c>
      <c r="F174" s="68"/>
      <c r="G174" s="68"/>
      <c r="H174" s="68">
        <v>14</v>
      </c>
      <c r="I174" s="68"/>
      <c r="J174" s="68">
        <v>12</v>
      </c>
      <c r="K174" s="68"/>
      <c r="L174" s="88">
        <v>17</v>
      </c>
      <c r="M174" s="68"/>
      <c r="N174" s="68"/>
      <c r="O174" s="68"/>
      <c r="P174" s="68">
        <v>4</v>
      </c>
      <c r="Q174" s="68"/>
      <c r="R174" s="68">
        <v>7</v>
      </c>
      <c r="S174" s="68"/>
      <c r="T174" s="68"/>
      <c r="U174" s="68"/>
      <c r="V174" s="69">
        <f>IF(J174=0,0,VLOOKUP(能力数值!J174,装备拆分数值生成!$AK$112:$AV$161,5,0))+IF(P174=0,0,VLOOKUP(能力数值!P174,装备拆分数值生成!$AK$112:$AV$161,5,0))+IF(R174=0,0,VLOOKUP(能力数值!R174,装备拆分数值生成!$AK$112:$AV$161,11,0))</f>
        <v>1511</v>
      </c>
      <c r="W174" s="69">
        <f>IF(H174=0,0,VLOOKUP(能力数值!H174,装备拆分数值生成!$AK$112:$AV$161,3,0))</f>
        <v>233</v>
      </c>
      <c r="X174" s="69">
        <f>IF(H174=0,0,VLOOKUP(能力数值!H174,装备拆分数值生成!$AK$112:$AV$161,4,0))</f>
        <v>233</v>
      </c>
      <c r="Y174" s="69">
        <f>IF(L174=0,0,VLOOKUP(能力数值!L174,装备拆分数值生成!$AK$112:$AV$161,6,0))+IF(N174=0,0,VLOOKUP(能力数值!N174,装备拆分数值生成!$AK$112:$AV$161,8,0))+IF(R174=0,0,VLOOKUP(能力数值!R174,装备拆分数值生成!$AK$112:$AV$161,12,0))</f>
        <v>398</v>
      </c>
      <c r="Z174" s="68"/>
      <c r="AA174" s="68"/>
      <c r="AB174" s="68"/>
      <c r="AC174" s="68"/>
      <c r="AD174" s="68">
        <f>VLOOKUP(D174,宠物成长生成表!$B$5:$J$103,3,0)*$AM$2*(VLOOKUP(E174,$AP$1:$AQ$6,2,0))</f>
        <v>2211.3000000000002</v>
      </c>
      <c r="AE174" s="68">
        <f>VLOOKUP(D174,宠物成长生成表!$B$5:$J$103,4,0)*$AM$3*(VLOOKUP(E174,$AP$1:$AQ$6,2,0))</f>
        <v>464.52000000000004</v>
      </c>
      <c r="AF174" s="68">
        <f>VLOOKUP(D174,宠物成长生成表!$B$5:$J$103,4,0)*$AM$4*(VLOOKUP(E174,$AP$1:$AQ$6,2,0))</f>
        <v>464.52000000000004</v>
      </c>
      <c r="AG174" s="68">
        <f>VLOOKUP(D174,宠物成长生成表!$B$5:$J$103,7,0)*$AM$5*(VLOOKUP(E174,$AP$1:$AQ$6,2,0))</f>
        <v>730.42200000000003</v>
      </c>
      <c r="AH174" s="68">
        <f>VLOOKUP(D174,宠物成长生成表!$B$5:$J$103,6,0)+VLOOKUP(E174,宠物升阶生成表!$B$6:$F$21,5,0)</f>
        <v>78</v>
      </c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9">
        <f t="shared" si="89"/>
        <v>3722.3</v>
      </c>
      <c r="AT174" s="69">
        <f t="shared" si="90"/>
        <v>697.52</v>
      </c>
      <c r="AU174" s="69">
        <f t="shared" si="91"/>
        <v>697.52</v>
      </c>
      <c r="AV174" s="71">
        <f t="shared" si="92"/>
        <v>1128.422</v>
      </c>
    </row>
    <row r="175" spans="2:48" ht="17.25" thickBot="1">
      <c r="B175" s="99"/>
      <c r="C175" s="72" t="s">
        <v>425</v>
      </c>
      <c r="D175" s="72">
        <v>5</v>
      </c>
      <c r="E175" s="93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69"/>
      <c r="W175" s="69"/>
      <c r="X175" s="69"/>
      <c r="Y175" s="69"/>
      <c r="Z175" s="72"/>
      <c r="AA175" s="72"/>
      <c r="AB175" s="72"/>
      <c r="AC175" s="72"/>
      <c r="AD175" s="72">
        <f>VLOOKUP(D175,宠物成长生成表!$B$5:$J$103,3,0)*$AL$2*(VLOOKUP(E175,$AP$1:$AQ$6,2,0))</f>
        <v>1228.99</v>
      </c>
      <c r="AE175" s="72">
        <f>VLOOKUP(D175,宠物成长生成表!$B$5:$J$103,4,0)*$AL$3*(VLOOKUP(E175,$AP$1:$AQ$6,2,0))</f>
        <v>384.48</v>
      </c>
      <c r="AF175" s="72">
        <f>VLOOKUP(D175,宠物成长生成表!$B$5:$J$103,4,0)*$AL$4*(VLOOKUP(E175,$AP$1:$AQ$6,2,0))</f>
        <v>496.79999999999995</v>
      </c>
      <c r="AG175" s="72">
        <f>VLOOKUP(D175,宠物成长生成表!$B$5:$J$103,7,0)*$AL$5*(VLOOKUP(E175,$AP$1:$AQ$6,2,0))</f>
        <v>313.12</v>
      </c>
      <c r="AH175" s="81">
        <f>VLOOKUP(D175,宠物成长生成表!$B$5:$J$103,6,0)</f>
        <v>59</v>
      </c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8"/>
    </row>
    <row r="176" spans="2:48">
      <c r="B176" s="97" t="s">
        <v>505</v>
      </c>
      <c r="C176" s="64" t="s">
        <v>428</v>
      </c>
      <c r="D176" s="64">
        <v>17</v>
      </c>
      <c r="E176" s="91">
        <v>2</v>
      </c>
      <c r="F176" s="64"/>
      <c r="G176" s="64"/>
      <c r="H176" s="89">
        <v>20</v>
      </c>
      <c r="I176" s="64"/>
      <c r="J176" s="64">
        <v>9</v>
      </c>
      <c r="K176" s="64"/>
      <c r="L176" s="64">
        <v>11</v>
      </c>
      <c r="M176" s="64"/>
      <c r="N176" s="64"/>
      <c r="O176" s="64"/>
      <c r="P176" s="64">
        <v>6</v>
      </c>
      <c r="Q176" s="64"/>
      <c r="R176" s="64">
        <v>4</v>
      </c>
      <c r="S176" s="64"/>
      <c r="T176" s="64"/>
      <c r="U176" s="64"/>
      <c r="V176" s="65">
        <f>IF(J176=0,0,VLOOKUP(能力数值!J176,装备拆分数值生成!$AK$58:$AV$107,5,0))+IF(P176=0,0,VLOOKUP(P176,装备拆分数值生成!$AK$58:$AV$107,9,0))+IF(R176=0,0,VLOOKUP(R176,装备拆分数值生成!$AK$58:$AV$107,11,0))</f>
        <v>841</v>
      </c>
      <c r="W176" s="65">
        <f>IF(H176=0,0,VLOOKUP(H176,装备拆分数值生成!$AK$58:$AV$107,3,0))+IF(P176=0,0,VLOOKUP(P176,装备拆分数值生成!$AK$58:$AV$107,10,0))</f>
        <v>255</v>
      </c>
      <c r="X176" s="65">
        <f>IF(H176=0,0,VLOOKUP(H176,装备拆分数值生成!$AK$58:$AV$107,4,0))+IF(N176=0,0,VLOOKUP(N176,装备拆分数值生成!$AK$58:$AV$107,7,0))+IF(R176=0,0,VLOOKUP(R176,装备拆分数值生成!$AK$58:$AV$107,12,0))</f>
        <v>551</v>
      </c>
      <c r="Y176" s="65">
        <f>IF(L176=0,0,VLOOKUP(L176,装备拆分数值生成!$AK$58:$AV$107,6,0))+IF(N176=0,0,VLOOKUP(N176,装备拆分数值生成!$AK$58:$AV$107,8,0))</f>
        <v>133</v>
      </c>
      <c r="Z176" s="64"/>
      <c r="AA176" s="64"/>
      <c r="AB176" s="64"/>
      <c r="AC176" s="64"/>
      <c r="AD176" s="68">
        <f>VLOOKUP(D176,宠物成长生成表!$B$5:$J$103,3,0)*$AL$2*(VLOOKUP(E176,$AP$1:$AQ$6,2,0))</f>
        <v>2003.4379999999996</v>
      </c>
      <c r="AE176" s="68">
        <f>VLOOKUP(D176,宠物成长生成表!$B$5:$J$103,4,0)*$AL$3*(VLOOKUP(E176,$AP$1:$AQ$6,2,0))</f>
        <v>627.40549999999996</v>
      </c>
      <c r="AF176" s="68">
        <f>VLOOKUP(D176,宠物成长生成表!$B$5:$J$103,4,0)*$AL$4*(VLOOKUP(E176,$AP$1:$AQ$6,2,0))</f>
        <v>810.69249999999988</v>
      </c>
      <c r="AG176" s="68">
        <f>VLOOKUP(D176,宠物成长生成表!$B$5:$J$103,7,0)*$AL$5*(VLOOKUP(E176,$AP$1:$AQ$6,2,0))</f>
        <v>510.416</v>
      </c>
      <c r="AH176" s="64">
        <f>VLOOKUP(D176,宠物成长生成表!$B$5:$J$103,6,0)+VLOOKUP(E176,宠物升阶生成表!$B$6:$F$21,5,0)</f>
        <v>100</v>
      </c>
      <c r="AI176" s="64"/>
      <c r="AJ176" s="64"/>
      <c r="AK176" s="64"/>
      <c r="AL176" s="64"/>
      <c r="AM176" s="64"/>
      <c r="AN176" s="64"/>
      <c r="AO176" s="64"/>
      <c r="AP176" s="64"/>
      <c r="AQ176" s="64"/>
      <c r="AR176" s="64"/>
      <c r="AS176" s="65">
        <f t="shared" ref="AS176:AS179" si="93">V176+AD176</f>
        <v>2844.4379999999996</v>
      </c>
      <c r="AT176" s="65">
        <f t="shared" ref="AT176:AT179" si="94">W176+AE176</f>
        <v>882.40549999999996</v>
      </c>
      <c r="AU176" s="65">
        <f t="shared" ref="AU176:AU179" si="95">X176+AF176</f>
        <v>1361.6924999999999</v>
      </c>
      <c r="AV176" s="67">
        <f t="shared" ref="AV176:AV179" si="96">Y176+AG176</f>
        <v>643.41599999999994</v>
      </c>
    </row>
    <row r="177" spans="2:48">
      <c r="B177" s="98"/>
      <c r="C177" s="68" t="s">
        <v>426</v>
      </c>
      <c r="D177" s="68">
        <v>17</v>
      </c>
      <c r="E177" s="92">
        <v>2</v>
      </c>
      <c r="F177" s="68"/>
      <c r="G177" s="68"/>
      <c r="H177" s="68">
        <v>18</v>
      </c>
      <c r="I177" s="68"/>
      <c r="J177" s="68">
        <v>9</v>
      </c>
      <c r="K177" s="68"/>
      <c r="L177" s="68">
        <v>8</v>
      </c>
      <c r="M177" s="68"/>
      <c r="N177" s="68"/>
      <c r="O177" s="68"/>
      <c r="P177" s="68">
        <v>10</v>
      </c>
      <c r="Q177" s="68"/>
      <c r="R177" s="68">
        <v>4</v>
      </c>
      <c r="S177" s="68"/>
      <c r="T177" s="68"/>
      <c r="U177" s="68"/>
      <c r="V177" s="69">
        <f>IF(J177=0,0,VLOOKUP(能力数值!J177,装备拆分数值生成!$AK$4:$AV$53,5,0))+IF(P177=0,0,VLOOKUP(能力数值!P177,装备拆分数值生成!$AK$4:$AV$53,9,0))+IF(R177=0,0,VLOOKUP(能力数值!R177,装备拆分数值生成!$AK$4:$AV$53,11,0))</f>
        <v>916</v>
      </c>
      <c r="W177" s="69">
        <f>IF(H177=0,0,VLOOKUP(能力数值!H177,装备拆分数值生成!$AK$4:$AV$53,3,0))+IF(N177=0,0,VLOOKUP(能力数值!N177,装备拆分数值生成!$AK$4:$AV$53,7,0))+IF(R177=0,0,VLOOKUP(能力数值!R177,装备拆分数值生成!$AK$4:$AV$53,12,0))</f>
        <v>511</v>
      </c>
      <c r="X177" s="69">
        <f>IF(H177=0,0,VLOOKUP(能力数值!H177,装备拆分数值生成!$AK$4:$AV$53,4,0))+IF(P177=0,0,VLOOKUP(能力数值!P177,装备拆分数值生成!$AK$4:$AV$53,10,0))</f>
        <v>242</v>
      </c>
      <c r="Y177" s="69">
        <f>IF(L177=0,0,VLOOKUP(能力数值!L177,装备拆分数值生成!$AK$4:$AV$53,6,0))+IF(N177=0,0,VLOOKUP(能力数值!N177,装备拆分数值生成!$AK$4:$AV$53,8,0))</f>
        <v>113</v>
      </c>
      <c r="Z177" s="68"/>
      <c r="AA177" s="68"/>
      <c r="AB177" s="68"/>
      <c r="AC177" s="68"/>
      <c r="AD177" s="68">
        <f>VLOOKUP(D177,宠物成长生成表!$B$5:$J$103,3,0)*$AO$2*(VLOOKUP(E177,$AP$1:$AQ$6,2,0))</f>
        <v>2003.4379999999996</v>
      </c>
      <c r="AE177" s="68">
        <f>VLOOKUP(D177,宠物成长生成表!$B$5:$J$103,4,0)*(VLOOKUP(E177,$AP$1:$AQ$6,2,0))</f>
        <v>704.94999999999993</v>
      </c>
      <c r="AF177" s="68">
        <f>VLOOKUP(D177,宠物成长生成表!$B$5:$J$103,4,0)*$AO$4*(VLOOKUP(E177,$AP$1:$AQ$6,2,0))</f>
        <v>627.40549999999996</v>
      </c>
      <c r="AG177" s="68">
        <f>VLOOKUP(D177,宠物成长生成表!$B$5:$J$103,7,0)*$AO$5*(VLOOKUP(E177,$AP$1:$AQ$6,2,0))</f>
        <v>510.416</v>
      </c>
      <c r="AH177" s="68">
        <f>VLOOKUP(D177,宠物成长生成表!$B$5:$J$103,6,0)+VLOOKUP(E177,宠物升阶生成表!$B$6:$F$21,5,0)</f>
        <v>100</v>
      </c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9">
        <f t="shared" si="93"/>
        <v>2919.4379999999996</v>
      </c>
      <c r="AT177" s="69">
        <f t="shared" si="94"/>
        <v>1215.9499999999998</v>
      </c>
      <c r="AU177" s="69">
        <f t="shared" si="95"/>
        <v>869.40549999999996</v>
      </c>
      <c r="AV177" s="71">
        <f t="shared" si="96"/>
        <v>623.41599999999994</v>
      </c>
    </row>
    <row r="178" spans="2:48">
      <c r="B178" s="98"/>
      <c r="C178" s="68" t="s">
        <v>394</v>
      </c>
      <c r="D178" s="68">
        <v>15</v>
      </c>
      <c r="E178" s="92">
        <v>2</v>
      </c>
      <c r="F178" s="68"/>
      <c r="G178" s="68"/>
      <c r="H178" s="68">
        <v>16</v>
      </c>
      <c r="I178" s="68"/>
      <c r="J178" s="68">
        <v>9</v>
      </c>
      <c r="K178" s="68"/>
      <c r="L178" s="68">
        <v>10</v>
      </c>
      <c r="M178" s="68"/>
      <c r="N178" s="68"/>
      <c r="O178" s="68"/>
      <c r="P178" s="68">
        <v>6</v>
      </c>
      <c r="Q178" s="68"/>
      <c r="R178" s="68">
        <v>5</v>
      </c>
      <c r="S178" s="68"/>
      <c r="T178" s="68"/>
      <c r="U178" s="68"/>
      <c r="V178" s="69">
        <f>IF(J178=0,0,VLOOKUP(能力数值!J178,装备拆分数值生成!$AK$165:$AV$214,5,0))+IF(P178=0,0,VLOOKUP(能力数值!P178,装备拆分数值生成!$AK$165:$AV$214,9,0))+IF(R178=0,0,VLOOKUP(能力数值!R178,装备拆分数值生成!$AK$165:$AV$214,11,0))</f>
        <v>841</v>
      </c>
      <c r="W178" s="69">
        <f>IF(H178=0,0,VLOOKUP(能力数值!H178,装备拆分数值生成!$AK$165:$AV$214,3,0))</f>
        <v>284</v>
      </c>
      <c r="X178" s="69">
        <f>IF(H178=0,0,VLOOKUP(能力数值!H178,装备拆分数值生成!$AK$165:$AV$214,4,0))+IF(P178=0,0,VLOOKUP(能力数值!P178,装备拆分数值生成!$AK$165:$AV$214,10,0))</f>
        <v>337</v>
      </c>
      <c r="Y178" s="69">
        <f>IF(L178=0,0,VLOOKUP(能力数值!L178,装备拆分数值生成!$AK$165:$AV$214,6,0))+IF(N178=0,0,VLOOKUP(能力数值!N178,装备拆分数值生成!$AK$165:$AV$214,8,0))+IF(R178=0,0,VLOOKUP(能力数值!R178,装备拆分数值生成!$AK$165:$AV$214,12,0))</f>
        <v>180</v>
      </c>
      <c r="Z178" s="68"/>
      <c r="AA178" s="68"/>
      <c r="AB178" s="68"/>
      <c r="AC178" s="68"/>
      <c r="AD178" s="68">
        <f>VLOOKUP(D177,宠物成长生成表!$B$5:$J$103,3,0)*$AN$2*(VLOOKUP(E178,$AP$1:$AQ$6,2,0))</f>
        <v>2478.4799999999996</v>
      </c>
      <c r="AE178" s="68">
        <f>VLOOKUP(D177,宠物成长生成表!$B$5:$J$103,4,0)*$AN$3*(VLOOKUP(E178,$AP$1:$AQ$6,2,0))</f>
        <v>634.45500000000004</v>
      </c>
      <c r="AF178" s="68">
        <f>VLOOKUP(D177,宠物成长生成表!$B$5:$J$103,4,0)*$AN$4*(VLOOKUP(E178,$AP$1:$AQ$6,2,0))</f>
        <v>634.45500000000004</v>
      </c>
      <c r="AG178" s="68">
        <f>VLOOKUP(D177,宠物成长生成表!$B$5:$J$103,7,0)*$AN$5*(VLOOKUP(E178,$AP$1:$AQ$6,2,0))</f>
        <v>591.00799999999992</v>
      </c>
      <c r="AH178" s="68">
        <f>VLOOKUP(D178,宠物成长生成表!$B$5:$J$103,6,0)+VLOOKUP(E178,宠物升阶生成表!$B$6:$F$21,5,0)</f>
        <v>98</v>
      </c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9">
        <f t="shared" si="93"/>
        <v>3319.4799999999996</v>
      </c>
      <c r="AT178" s="69">
        <f t="shared" si="94"/>
        <v>918.45500000000004</v>
      </c>
      <c r="AU178" s="69">
        <f t="shared" si="95"/>
        <v>971.45500000000004</v>
      </c>
      <c r="AV178" s="71">
        <f t="shared" si="96"/>
        <v>771.00799999999992</v>
      </c>
    </row>
    <row r="179" spans="2:48">
      <c r="B179" s="98"/>
      <c r="C179" s="68" t="s">
        <v>427</v>
      </c>
      <c r="D179" s="68">
        <v>13</v>
      </c>
      <c r="E179" s="92">
        <v>1</v>
      </c>
      <c r="F179" s="68"/>
      <c r="G179" s="68"/>
      <c r="H179" s="68">
        <v>14</v>
      </c>
      <c r="I179" s="68"/>
      <c r="J179" s="68">
        <v>12</v>
      </c>
      <c r="K179" s="68"/>
      <c r="L179" s="88">
        <v>17</v>
      </c>
      <c r="M179" s="68"/>
      <c r="N179" s="68"/>
      <c r="O179" s="68"/>
      <c r="P179" s="68">
        <v>4</v>
      </c>
      <c r="Q179" s="68"/>
      <c r="R179" s="68">
        <v>7</v>
      </c>
      <c r="S179" s="68"/>
      <c r="T179" s="68"/>
      <c r="U179" s="68"/>
      <c r="V179" s="69">
        <f>IF(J179=0,0,VLOOKUP(能力数值!J179,装备拆分数值生成!$AK$112:$AV$161,5,0))+IF(P179=0,0,VLOOKUP(能力数值!P179,装备拆分数值生成!$AK$112:$AV$161,5,0))+IF(R179=0,0,VLOOKUP(能力数值!R179,装备拆分数值生成!$AK$112:$AV$161,11,0))</f>
        <v>1511</v>
      </c>
      <c r="W179" s="69">
        <f>IF(H179=0,0,VLOOKUP(能力数值!H179,装备拆分数值生成!$AK$112:$AV$161,3,0))</f>
        <v>233</v>
      </c>
      <c r="X179" s="69">
        <f>IF(H179=0,0,VLOOKUP(能力数值!H179,装备拆分数值生成!$AK$112:$AV$161,4,0))</f>
        <v>233</v>
      </c>
      <c r="Y179" s="69">
        <f>IF(L179=0,0,VLOOKUP(能力数值!L179,装备拆分数值生成!$AK$112:$AV$161,6,0))+IF(N179=0,0,VLOOKUP(能力数值!N179,装备拆分数值生成!$AK$112:$AV$161,8,0))+IF(R179=0,0,VLOOKUP(能力数值!R179,装备拆分数值生成!$AK$112:$AV$161,12,0))</f>
        <v>398</v>
      </c>
      <c r="Z179" s="68"/>
      <c r="AA179" s="68"/>
      <c r="AB179" s="68"/>
      <c r="AC179" s="68"/>
      <c r="AD179" s="68">
        <f>VLOOKUP(D179,宠物成长生成表!$B$5:$J$103,3,0)*$AM$2*(VLOOKUP(E179,$AP$1:$AQ$6,2,0))</f>
        <v>2211.3000000000002</v>
      </c>
      <c r="AE179" s="68">
        <f>VLOOKUP(D179,宠物成长生成表!$B$5:$J$103,4,0)*$AM$3*(VLOOKUP(E179,$AP$1:$AQ$6,2,0))</f>
        <v>464.52000000000004</v>
      </c>
      <c r="AF179" s="68">
        <f>VLOOKUP(D179,宠物成长生成表!$B$5:$J$103,4,0)*$AM$4*(VLOOKUP(E179,$AP$1:$AQ$6,2,0))</f>
        <v>464.52000000000004</v>
      </c>
      <c r="AG179" s="68">
        <f>VLOOKUP(D179,宠物成长生成表!$B$5:$J$103,7,0)*$AM$5*(VLOOKUP(E179,$AP$1:$AQ$6,2,0))</f>
        <v>730.42200000000003</v>
      </c>
      <c r="AH179" s="68">
        <f>VLOOKUP(D179,宠物成长生成表!$B$5:$J$103,6,0)+VLOOKUP(E179,宠物升阶生成表!$B$6:$F$21,5,0)</f>
        <v>78</v>
      </c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9">
        <f t="shared" si="93"/>
        <v>3722.3</v>
      </c>
      <c r="AT179" s="69">
        <f t="shared" si="94"/>
        <v>697.52</v>
      </c>
      <c r="AU179" s="69">
        <f t="shared" si="95"/>
        <v>697.52</v>
      </c>
      <c r="AV179" s="71">
        <f t="shared" si="96"/>
        <v>1128.422</v>
      </c>
    </row>
    <row r="180" spans="2:48" ht="17.25" thickBot="1">
      <c r="B180" s="99"/>
      <c r="C180" s="72" t="s">
        <v>425</v>
      </c>
      <c r="D180" s="72">
        <v>5</v>
      </c>
      <c r="E180" s="93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69"/>
      <c r="W180" s="69"/>
      <c r="X180" s="69"/>
      <c r="Y180" s="69"/>
      <c r="Z180" s="72"/>
      <c r="AA180" s="72"/>
      <c r="AB180" s="72"/>
      <c r="AC180" s="72"/>
      <c r="AD180" s="72">
        <f>VLOOKUP(D180,宠物成长生成表!$B$5:$J$103,3,0)*$AL$2*(VLOOKUP(E180,$AP$1:$AQ$6,2,0))</f>
        <v>1228.99</v>
      </c>
      <c r="AE180" s="72">
        <f>VLOOKUP(D180,宠物成长生成表!$B$5:$J$103,4,0)*$AL$3*(VLOOKUP(E180,$AP$1:$AQ$6,2,0))</f>
        <v>384.48</v>
      </c>
      <c r="AF180" s="72">
        <f>VLOOKUP(D180,宠物成长生成表!$B$5:$J$103,4,0)*$AL$4*(VLOOKUP(E180,$AP$1:$AQ$6,2,0))</f>
        <v>496.79999999999995</v>
      </c>
      <c r="AG180" s="72">
        <f>VLOOKUP(D180,宠物成长生成表!$B$5:$J$103,7,0)*$AL$5*(VLOOKUP(E180,$AP$1:$AQ$6,2,0))</f>
        <v>313.12</v>
      </c>
      <c r="AH180" s="81">
        <f>VLOOKUP(D180,宠物成长生成表!$B$5:$J$103,6,0)</f>
        <v>59</v>
      </c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8"/>
    </row>
    <row r="181" spans="2:48">
      <c r="B181" s="97" t="s">
        <v>506</v>
      </c>
      <c r="C181" s="64" t="s">
        <v>428</v>
      </c>
      <c r="D181" s="64">
        <v>20</v>
      </c>
      <c r="E181" s="91">
        <v>3</v>
      </c>
      <c r="F181" s="64"/>
      <c r="G181" s="64"/>
      <c r="H181" s="89">
        <v>20</v>
      </c>
      <c r="I181" s="64"/>
      <c r="J181" s="64">
        <v>11</v>
      </c>
      <c r="K181" s="64"/>
      <c r="L181" s="64">
        <v>11</v>
      </c>
      <c r="M181" s="64"/>
      <c r="N181" s="64">
        <v>1</v>
      </c>
      <c r="O181" s="64"/>
      <c r="P181" s="64">
        <v>6</v>
      </c>
      <c r="Q181" s="64"/>
      <c r="R181" s="64">
        <v>5</v>
      </c>
      <c r="S181" s="64"/>
      <c r="T181" s="64"/>
      <c r="U181" s="64"/>
      <c r="V181" s="65">
        <f>IF(J181=0,0,VLOOKUP(能力数值!J181,装备拆分数值生成!$AK$58:$AV$107,5,0))+IF(P181=0,0,VLOOKUP(P181,装备拆分数值生成!$AK$58:$AV$107,9,0))+IF(R181=0,0,VLOOKUP(R181,装备拆分数值生成!$AK$58:$AV$107,11,0))</f>
        <v>899</v>
      </c>
      <c r="W181" s="65">
        <f>IF(H181=0,0,VLOOKUP(H181,装备拆分数值生成!$AK$58:$AV$107,3,0))+IF(P181=0,0,VLOOKUP(P181,装备拆分数值生成!$AK$58:$AV$107,10,0))</f>
        <v>255</v>
      </c>
      <c r="X181" s="65">
        <f>IF(H181=0,0,VLOOKUP(H181,装备拆分数值生成!$AK$58:$AV$107,4,0))+IF(N181=0,0,VLOOKUP(N181,装备拆分数值生成!$AK$58:$AV$107,7,0))+IF(R181=0,0,VLOOKUP(R181,装备拆分数值生成!$AK$58:$AV$107,12,0))</f>
        <v>595</v>
      </c>
      <c r="Y181" s="65">
        <f>IF(L181=0,0,VLOOKUP(L181,装备拆分数值生成!$AK$58:$AV$107,6,0))+IF(N181=0,0,VLOOKUP(N181,装备拆分数值生成!$AK$58:$AV$107,8,0))</f>
        <v>186</v>
      </c>
      <c r="Z181" s="64"/>
      <c r="AA181" s="64"/>
      <c r="AB181" s="64"/>
      <c r="AC181" s="64"/>
      <c r="AD181" s="68">
        <f>VLOOKUP(D181,宠物成长生成表!$B$5:$J$103,3,0)*$AL$2*(VLOOKUP(E181,$AP$1:$AQ$6,2,0))</f>
        <v>2244.1919999999996</v>
      </c>
      <c r="AE181" s="68">
        <f>VLOOKUP(D181,宠物成长生成表!$B$5:$J$103,4,0)*$AL$3*(VLOOKUP(E181,$AP$1:$AQ$6,2,0))</f>
        <v>702.74400000000003</v>
      </c>
      <c r="AF181" s="68">
        <f>VLOOKUP(D181,宠物成长生成表!$B$5:$J$103,4,0)*$AL$4*(VLOOKUP(E181,$AP$1:$AQ$6,2,0))</f>
        <v>908.03999999999985</v>
      </c>
      <c r="AG181" s="68">
        <f>VLOOKUP(D181,宠物成长生成表!$B$5:$J$103,7,0)*$AL$5*(VLOOKUP(E181,$AP$1:$AQ$6,2,0))</f>
        <v>572.73599999999999</v>
      </c>
      <c r="AH181" s="64">
        <f>VLOOKUP(D181,宠物成长生成表!$B$5:$J$103,6,0)+VLOOKUP(E181,宠物升阶生成表!$B$6:$F$21,5,0)</f>
        <v>116</v>
      </c>
      <c r="AI181" s="64"/>
      <c r="AJ181" s="64"/>
      <c r="AK181" s="64"/>
      <c r="AL181" s="64"/>
      <c r="AM181" s="64"/>
      <c r="AN181" s="64"/>
      <c r="AO181" s="64"/>
      <c r="AP181" s="64"/>
      <c r="AQ181" s="64"/>
      <c r="AR181" s="64"/>
      <c r="AS181" s="65">
        <f t="shared" ref="AS181:AS184" si="97">V181+AD181</f>
        <v>3143.1919999999996</v>
      </c>
      <c r="AT181" s="65">
        <f t="shared" ref="AT181:AT184" si="98">W181+AE181</f>
        <v>957.74400000000003</v>
      </c>
      <c r="AU181" s="65">
        <f t="shared" ref="AU181:AU184" si="99">X181+AF181</f>
        <v>1503.04</v>
      </c>
      <c r="AV181" s="67">
        <f t="shared" ref="AV181:AV184" si="100">Y181+AG181</f>
        <v>758.73599999999999</v>
      </c>
    </row>
    <row r="182" spans="2:48">
      <c r="B182" s="98"/>
      <c r="C182" s="68" t="s">
        <v>426</v>
      </c>
      <c r="D182" s="68">
        <v>20</v>
      </c>
      <c r="E182" s="92">
        <v>2</v>
      </c>
      <c r="F182" s="68"/>
      <c r="G182" s="68"/>
      <c r="H182" s="68">
        <v>18</v>
      </c>
      <c r="I182" s="68"/>
      <c r="J182" s="68">
        <v>12</v>
      </c>
      <c r="K182" s="68"/>
      <c r="L182" s="68">
        <v>8</v>
      </c>
      <c r="M182" s="68"/>
      <c r="N182" s="68">
        <v>2</v>
      </c>
      <c r="O182" s="68"/>
      <c r="P182" s="68">
        <v>11</v>
      </c>
      <c r="Q182" s="68"/>
      <c r="R182" s="68">
        <v>4</v>
      </c>
      <c r="S182" s="68"/>
      <c r="T182" s="68"/>
      <c r="U182" s="68"/>
      <c r="V182" s="69">
        <f>IF(J182=0,0,VLOOKUP(能力数值!J182,装备拆分数值生成!$AK$4:$AV$53,5,0))+IF(P182=0,0,VLOOKUP(能力数值!P182,装备拆分数值生成!$AK$4:$AV$53,9,0))+IF(R182=0,0,VLOOKUP(能力数值!R182,装备拆分数值生成!$AK$4:$AV$53,11,0))</f>
        <v>1029</v>
      </c>
      <c r="W182" s="69">
        <f>IF(H182=0,0,VLOOKUP(能力数值!H182,装备拆分数值生成!$AK$4:$AV$53,3,0))+IF(N182=0,0,VLOOKUP(能力数值!N182,装备拆分数值生成!$AK$4:$AV$53,7,0))+IF(R182=0,0,VLOOKUP(能力数值!R182,装备拆分数值生成!$AK$4:$AV$53,12,0))</f>
        <v>551</v>
      </c>
      <c r="X182" s="69">
        <f>IF(H182=0,0,VLOOKUP(能力数值!H182,装备拆分数值生成!$AK$4:$AV$53,4,0))+IF(P182=0,0,VLOOKUP(能力数值!P182,装备拆分数值生成!$AK$4:$AV$53,10,0))</f>
        <v>244</v>
      </c>
      <c r="Y182" s="69">
        <f>IF(L182=0,0,VLOOKUP(能力数值!L182,装备拆分数值生成!$AK$4:$AV$53,6,0))+IF(N182=0,0,VLOOKUP(能力数值!N182,装备拆分数值生成!$AK$4:$AV$53,8,0))</f>
        <v>170</v>
      </c>
      <c r="Z182" s="68"/>
      <c r="AA182" s="68"/>
      <c r="AB182" s="68"/>
      <c r="AC182" s="68"/>
      <c r="AD182" s="68">
        <f>VLOOKUP(D182,宠物成长生成表!$B$5:$J$103,3,0)*$AO$2*(VLOOKUP(E182,$AP$1:$AQ$6,2,0))</f>
        <v>2150.6839999999997</v>
      </c>
      <c r="AE182" s="68">
        <f>VLOOKUP(D182,宠物成长生成表!$B$5:$J$103,4,0)*(VLOOKUP(E182,$AP$1:$AQ$6,2,0))</f>
        <v>756.69999999999993</v>
      </c>
      <c r="AF182" s="68">
        <f>VLOOKUP(D182,宠物成长生成表!$B$5:$J$103,4,0)*$AO$4*(VLOOKUP(E182,$AP$1:$AQ$6,2,0))</f>
        <v>673.46299999999997</v>
      </c>
      <c r="AG182" s="68">
        <f>VLOOKUP(D182,宠物成长生成表!$B$5:$J$103,7,0)*$AO$5*(VLOOKUP(E182,$AP$1:$AQ$6,2,0))</f>
        <v>548.87199999999996</v>
      </c>
      <c r="AH182" s="68">
        <f>VLOOKUP(D182,宠物成长生成表!$B$5:$J$103,6,0)+VLOOKUP(E182,宠物升阶生成表!$B$6:$F$21,5,0)</f>
        <v>103</v>
      </c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9">
        <f t="shared" si="97"/>
        <v>3179.6839999999997</v>
      </c>
      <c r="AT182" s="69">
        <f t="shared" si="98"/>
        <v>1307.6999999999998</v>
      </c>
      <c r="AU182" s="69">
        <f t="shared" si="99"/>
        <v>917.46299999999997</v>
      </c>
      <c r="AV182" s="71">
        <f t="shared" si="100"/>
        <v>718.87199999999996</v>
      </c>
    </row>
    <row r="183" spans="2:48">
      <c r="B183" s="98"/>
      <c r="C183" s="68" t="s">
        <v>394</v>
      </c>
      <c r="D183" s="68">
        <v>15</v>
      </c>
      <c r="E183" s="92">
        <v>2</v>
      </c>
      <c r="F183" s="68"/>
      <c r="G183" s="68"/>
      <c r="H183" s="68">
        <v>16</v>
      </c>
      <c r="I183" s="68"/>
      <c r="J183" s="68">
        <v>9</v>
      </c>
      <c r="K183" s="68"/>
      <c r="L183" s="68">
        <v>10</v>
      </c>
      <c r="M183" s="68"/>
      <c r="N183" s="68">
        <v>3</v>
      </c>
      <c r="O183" s="68"/>
      <c r="P183" s="68">
        <v>6</v>
      </c>
      <c r="Q183" s="68"/>
      <c r="R183" s="68">
        <v>5</v>
      </c>
      <c r="S183" s="68"/>
      <c r="T183" s="68"/>
      <c r="U183" s="68"/>
      <c r="V183" s="69">
        <f>IF(J183=0,0,VLOOKUP(能力数值!J183,装备拆分数值生成!$AK$165:$AV$214,5,0))+IF(P183=0,0,VLOOKUP(能力数值!P183,装备拆分数值生成!$AK$165:$AV$214,9,0))+IF(R183=0,0,VLOOKUP(能力数值!R183,装备拆分数值生成!$AK$165:$AV$214,11,0))</f>
        <v>841</v>
      </c>
      <c r="W183" s="69">
        <f>IF(H183=0,0,VLOOKUP(能力数值!H183,装备拆分数值生成!$AK$165:$AV$214,3,0))</f>
        <v>284</v>
      </c>
      <c r="X183" s="69">
        <f>IF(H183=0,0,VLOOKUP(能力数值!H183,装备拆分数值生成!$AK$165:$AV$214,4,0))+IF(P183=0,0,VLOOKUP(能力数值!P183,装备拆分数值生成!$AK$165:$AV$214,10,0))</f>
        <v>337</v>
      </c>
      <c r="Y183" s="69">
        <f>IF(L183=0,0,VLOOKUP(能力数值!L183,装备拆分数值生成!$AK$165:$AV$214,6,0))+IF(N183=0,0,VLOOKUP(能力数值!N183,装备拆分数值生成!$AK$165:$AV$214,8,0))+IF(R183=0,0,VLOOKUP(能力数值!R183,装备拆分数值生成!$AK$165:$AV$214,12,0))</f>
        <v>242</v>
      </c>
      <c r="Z183" s="68"/>
      <c r="AA183" s="68"/>
      <c r="AB183" s="68"/>
      <c r="AC183" s="68"/>
      <c r="AD183" s="68">
        <f>VLOOKUP(D182,宠物成长生成表!$B$5:$J$103,3,0)*$AN$2*(VLOOKUP(E183,$AP$1:$AQ$6,2,0))</f>
        <v>2660.64</v>
      </c>
      <c r="AE183" s="68">
        <f>VLOOKUP(D182,宠物成长生成表!$B$5:$J$103,4,0)*$AN$3*(VLOOKUP(E183,$AP$1:$AQ$6,2,0))</f>
        <v>681.03</v>
      </c>
      <c r="AF183" s="68">
        <f>VLOOKUP(D182,宠物成长生成表!$B$5:$J$103,4,0)*$AN$4*(VLOOKUP(E183,$AP$1:$AQ$6,2,0))</f>
        <v>681.03</v>
      </c>
      <c r="AG183" s="68">
        <f>VLOOKUP(D182,宠物成长生成表!$B$5:$J$103,7,0)*$AN$5*(VLOOKUP(E183,$AP$1:$AQ$6,2,0))</f>
        <v>635.53599999999994</v>
      </c>
      <c r="AH183" s="68">
        <f>VLOOKUP(D183,宠物成长生成表!$B$5:$J$103,6,0)+VLOOKUP(E183,宠物升阶生成表!$B$6:$F$21,5,0)</f>
        <v>98</v>
      </c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9">
        <f t="shared" si="97"/>
        <v>3501.64</v>
      </c>
      <c r="AT183" s="69">
        <f t="shared" si="98"/>
        <v>965.03</v>
      </c>
      <c r="AU183" s="69">
        <f t="shared" si="99"/>
        <v>1018.03</v>
      </c>
      <c r="AV183" s="71">
        <f t="shared" si="100"/>
        <v>877.53599999999994</v>
      </c>
    </row>
    <row r="184" spans="2:48">
      <c r="B184" s="98"/>
      <c r="C184" s="68" t="s">
        <v>427</v>
      </c>
      <c r="D184" s="68">
        <v>13</v>
      </c>
      <c r="E184" s="92">
        <v>1</v>
      </c>
      <c r="F184" s="68"/>
      <c r="G184" s="68"/>
      <c r="H184" s="68">
        <v>14</v>
      </c>
      <c r="I184" s="68"/>
      <c r="J184" s="68">
        <v>12</v>
      </c>
      <c r="K184" s="68"/>
      <c r="L184" s="88">
        <v>17</v>
      </c>
      <c r="M184" s="68"/>
      <c r="N184" s="68">
        <v>3</v>
      </c>
      <c r="O184" s="68"/>
      <c r="P184" s="68">
        <v>4</v>
      </c>
      <c r="Q184" s="68"/>
      <c r="R184" s="68">
        <v>7</v>
      </c>
      <c r="S184" s="68"/>
      <c r="T184" s="68"/>
      <c r="U184" s="68"/>
      <c r="V184" s="69">
        <f>IF(J184=0,0,VLOOKUP(能力数值!J184,装备拆分数值生成!$AK$112:$AV$161,5,0))+IF(P184=0,0,VLOOKUP(能力数值!P184,装备拆分数值生成!$AK$112:$AV$161,5,0))+IF(R184=0,0,VLOOKUP(能力数值!R184,装备拆分数值生成!$AK$112:$AV$161,11,0))</f>
        <v>1511</v>
      </c>
      <c r="W184" s="69">
        <f>IF(H184=0,0,VLOOKUP(能力数值!H184,装备拆分数值生成!$AK$112:$AV$161,3,0))</f>
        <v>233</v>
      </c>
      <c r="X184" s="69">
        <f>IF(H184=0,0,VLOOKUP(能力数值!H184,装备拆分数值生成!$AK$112:$AV$161,4,0))</f>
        <v>233</v>
      </c>
      <c r="Y184" s="69">
        <f>IF(L184=0,0,VLOOKUP(能力数值!L184,装备拆分数值生成!$AK$112:$AV$161,6,0))+IF(N184=0,0,VLOOKUP(能力数值!N184,装备拆分数值生成!$AK$112:$AV$161,8,0))+IF(R184=0,0,VLOOKUP(能力数值!R184,装备拆分数值生成!$AK$112:$AV$161,12,0))</f>
        <v>491</v>
      </c>
      <c r="Z184" s="68"/>
      <c r="AA184" s="68"/>
      <c r="AB184" s="68"/>
      <c r="AC184" s="68"/>
      <c r="AD184" s="68">
        <f>VLOOKUP(D184,宠物成长生成表!$B$5:$J$103,3,0)*$AM$2*(VLOOKUP(E184,$AP$1:$AQ$6,2,0))</f>
        <v>2211.3000000000002</v>
      </c>
      <c r="AE184" s="68">
        <f>VLOOKUP(D184,宠物成长生成表!$B$5:$J$103,4,0)*$AM$3*(VLOOKUP(E184,$AP$1:$AQ$6,2,0))</f>
        <v>464.52000000000004</v>
      </c>
      <c r="AF184" s="68">
        <f>VLOOKUP(D184,宠物成长生成表!$B$5:$J$103,4,0)*$AM$4*(VLOOKUP(E184,$AP$1:$AQ$6,2,0))</f>
        <v>464.52000000000004</v>
      </c>
      <c r="AG184" s="68">
        <f>VLOOKUP(D184,宠物成长生成表!$B$5:$J$103,7,0)*$AM$5*(VLOOKUP(E184,$AP$1:$AQ$6,2,0))</f>
        <v>730.42200000000003</v>
      </c>
      <c r="AH184" s="68">
        <f>VLOOKUP(D184,宠物成长生成表!$B$5:$J$103,6,0)+VLOOKUP(E184,宠物升阶生成表!$B$6:$F$21,5,0)</f>
        <v>78</v>
      </c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9">
        <f t="shared" si="97"/>
        <v>3722.3</v>
      </c>
      <c r="AT184" s="69">
        <f t="shared" si="98"/>
        <v>697.52</v>
      </c>
      <c r="AU184" s="69">
        <f t="shared" si="99"/>
        <v>697.52</v>
      </c>
      <c r="AV184" s="71">
        <f t="shared" si="100"/>
        <v>1221.422</v>
      </c>
    </row>
    <row r="185" spans="2:48" ht="17.25" thickBot="1">
      <c r="B185" s="99"/>
      <c r="C185" s="72" t="s">
        <v>425</v>
      </c>
      <c r="D185" s="72">
        <v>5</v>
      </c>
      <c r="E185" s="93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69"/>
      <c r="W185" s="69"/>
      <c r="X185" s="69"/>
      <c r="Y185" s="69"/>
      <c r="Z185" s="72"/>
      <c r="AA185" s="72"/>
      <c r="AB185" s="72"/>
      <c r="AC185" s="72"/>
      <c r="AD185" s="72">
        <f>VLOOKUP(D185,宠物成长生成表!$B$5:$J$103,3,0)*$AL$2*(VLOOKUP(E185,$AP$1:$AQ$6,2,0))</f>
        <v>1228.99</v>
      </c>
      <c r="AE185" s="72">
        <f>VLOOKUP(D185,宠物成长生成表!$B$5:$J$103,4,0)*$AL$3*(VLOOKUP(E185,$AP$1:$AQ$6,2,0))</f>
        <v>384.48</v>
      </c>
      <c r="AF185" s="72">
        <f>VLOOKUP(D185,宠物成长生成表!$B$5:$J$103,4,0)*$AL$4*(VLOOKUP(E185,$AP$1:$AQ$6,2,0))</f>
        <v>496.79999999999995</v>
      </c>
      <c r="AG185" s="72">
        <f>VLOOKUP(D185,宠物成长生成表!$B$5:$J$103,7,0)*$AL$5*(VLOOKUP(E185,$AP$1:$AQ$6,2,0))</f>
        <v>313.12</v>
      </c>
      <c r="AH185" s="81">
        <f>VLOOKUP(D185,宠物成长生成表!$B$5:$J$103,6,0)</f>
        <v>59</v>
      </c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8"/>
    </row>
    <row r="186" spans="2:48">
      <c r="B186" s="97" t="s">
        <v>507</v>
      </c>
      <c r="C186" s="64" t="s">
        <v>428</v>
      </c>
      <c r="D186" s="64">
        <v>18</v>
      </c>
      <c r="E186" s="91">
        <v>2</v>
      </c>
      <c r="F186" s="64"/>
      <c r="G186" s="64"/>
      <c r="H186" s="89">
        <v>19</v>
      </c>
      <c r="I186" s="64"/>
      <c r="J186" s="64">
        <v>9</v>
      </c>
      <c r="K186" s="64"/>
      <c r="L186" s="64">
        <v>6</v>
      </c>
      <c r="M186" s="64"/>
      <c r="N186" s="64">
        <v>4</v>
      </c>
      <c r="O186" s="64"/>
      <c r="P186" s="64">
        <v>3</v>
      </c>
      <c r="Q186" s="64"/>
      <c r="R186" s="64"/>
      <c r="S186" s="64"/>
      <c r="T186" s="64"/>
      <c r="U186" s="64"/>
      <c r="V186" s="65">
        <f>IF(J186=0,0,VLOOKUP(能力数值!J186,装备拆分数值生成!$AK$58:$AV$107,5,0))+IF(P186=0,0,VLOOKUP(P186,装备拆分数值生成!$AK$58:$AV$107,9,0))+IF(R186=0,0,VLOOKUP(R186,装备拆分数值生成!$AK$58:$AV$107,11,0))</f>
        <v>716</v>
      </c>
      <c r="W186" s="65">
        <f>IF(H186=0,0,VLOOKUP(H186,装备拆分数值生成!$AK$58:$AV$107,3,0))+IF(P186=0,0,VLOOKUP(P186,装备拆分数值生成!$AK$58:$AV$107,10,0))</f>
        <v>240</v>
      </c>
      <c r="X186" s="65">
        <f>IF(H186=0,0,VLOOKUP(H186,装备拆分数值生成!$AK$58:$AV$107,4,0))+IF(N186=0,0,VLOOKUP(N186,装备拆分数值生成!$AK$58:$AV$107,7,0))+IF(R186=0,0,VLOOKUP(R186,装备拆分数值生成!$AK$58:$AV$107,12,0))</f>
        <v>484</v>
      </c>
      <c r="Y186" s="65">
        <f>IF(L186=0,0,VLOOKUP(L186,装备拆分数值生成!$AK$58:$AV$107,6,0))+IF(N186=0,0,VLOOKUP(N186,装备拆分数值生成!$AK$58:$AV$107,8,0))</f>
        <v>168</v>
      </c>
      <c r="Z186" s="64"/>
      <c r="AA186" s="64"/>
      <c r="AB186" s="64"/>
      <c r="AC186" s="64"/>
      <c r="AD186" s="68">
        <f>VLOOKUP(D186,宠物成长生成表!$B$5:$J$103,3,0)*$AL$2*(VLOOKUP(E186,$AP$1:$AQ$6,2,0))</f>
        <v>2052.52</v>
      </c>
      <c r="AE186" s="68">
        <f>VLOOKUP(D186,宠物成长生成表!$B$5:$J$103,4,0)*$AL$3*(VLOOKUP(E186,$AP$1:$AQ$6,2,0))</f>
        <v>642.75799999999992</v>
      </c>
      <c r="AF186" s="68">
        <f>VLOOKUP(D186,宠物成长生成表!$B$5:$J$103,4,0)*$AL$4*(VLOOKUP(E186,$AP$1:$AQ$6,2,0))</f>
        <v>830.52999999999986</v>
      </c>
      <c r="AG186" s="68">
        <f>VLOOKUP(D186,宠物成长生成表!$B$5:$J$103,7,0)*$AL$5*(VLOOKUP(E186,$AP$1:$AQ$6,2,0))</f>
        <v>523.52599999999995</v>
      </c>
      <c r="AH186" s="64">
        <f>VLOOKUP(D186,宠物成长生成表!$B$5:$J$103,6,0)+VLOOKUP(E186,宠物升阶生成表!$B$6:$F$21,5,0)</f>
        <v>101</v>
      </c>
      <c r="AI186" s="64"/>
      <c r="AJ186" s="64"/>
      <c r="AK186" s="64"/>
      <c r="AL186" s="64"/>
      <c r="AM186" s="64"/>
      <c r="AN186" s="64"/>
      <c r="AO186" s="64"/>
      <c r="AP186" s="64"/>
      <c r="AQ186" s="64"/>
      <c r="AR186" s="64"/>
      <c r="AS186" s="65">
        <f t="shared" ref="AS186:AS189" si="101">V186+AD186</f>
        <v>2768.52</v>
      </c>
      <c r="AT186" s="65">
        <f t="shared" ref="AT186:AT189" si="102">W186+AE186</f>
        <v>882.75799999999992</v>
      </c>
      <c r="AU186" s="65">
        <f t="shared" ref="AU186:AU189" si="103">X186+AF186</f>
        <v>1314.5299999999997</v>
      </c>
      <c r="AV186" s="67">
        <f t="shared" ref="AV186:AV189" si="104">Y186+AG186</f>
        <v>691.52599999999995</v>
      </c>
    </row>
    <row r="187" spans="2:48">
      <c r="B187" s="98"/>
      <c r="C187" s="68" t="s">
        <v>426</v>
      </c>
      <c r="D187" s="68">
        <v>12</v>
      </c>
      <c r="E187" s="92">
        <v>2</v>
      </c>
      <c r="F187" s="68"/>
      <c r="G187" s="68"/>
      <c r="H187" s="68">
        <v>10</v>
      </c>
      <c r="I187" s="68"/>
      <c r="J187" s="68">
        <v>9</v>
      </c>
      <c r="K187" s="68"/>
      <c r="L187" s="68">
        <v>6</v>
      </c>
      <c r="M187" s="68"/>
      <c r="N187" s="68">
        <v>0</v>
      </c>
      <c r="O187" s="68"/>
      <c r="P187" s="68"/>
      <c r="Q187" s="68"/>
      <c r="R187" s="68"/>
      <c r="S187" s="68"/>
      <c r="T187" s="68"/>
      <c r="U187" s="68"/>
      <c r="V187" s="69">
        <f>IF(J187=0,0,VLOOKUP(能力数值!J187,装备拆分数值生成!$AK$4:$AV$53,5,0))+IF(P187=0,0,VLOOKUP(能力数值!P187,装备拆分数值生成!$AK$4:$AV$53,9,0))+IF(R187=0,0,VLOOKUP(能力数值!R187,装备拆分数值生成!$AK$4:$AV$53,11,0))</f>
        <v>461</v>
      </c>
      <c r="W187" s="69">
        <f>IF(H187=0,0,VLOOKUP(能力数值!H187,装备拆分数值生成!$AK$4:$AV$53,3,0))+IF(N187=0,0,VLOOKUP(能力数值!N187,装备拆分数值生成!$AK$4:$AV$53,7,0))+IF(R187=0,0,VLOOKUP(能力数值!R187,装备拆分数值生成!$AK$4:$AV$53,12,0))</f>
        <v>264</v>
      </c>
      <c r="X187" s="69">
        <f>IF(H187=0,0,VLOOKUP(能力数值!H187,装备拆分数值生成!$AK$4:$AV$53,4,0))+IF(P187=0,0,VLOOKUP(能力数值!P187,装备拆分数值生成!$AK$4:$AV$53,10,0))</f>
        <v>132</v>
      </c>
      <c r="Y187" s="69">
        <f>IF(L187=0,0,VLOOKUP(能力数值!L187,装备拆分数值生成!$AK$4:$AV$53,6,0))+IF(N187=0,0,VLOOKUP(能力数值!N187,装备拆分数值生成!$AK$4:$AV$53,8,0))</f>
        <v>101</v>
      </c>
      <c r="Z187" s="68"/>
      <c r="AA187" s="68"/>
      <c r="AB187" s="68"/>
      <c r="AC187" s="68"/>
      <c r="AD187" s="68">
        <f>VLOOKUP(D187,宠物成长生成表!$B$5:$J$103,3,0)*$AO$2*(VLOOKUP(E187,$AP$1:$AQ$6,2,0))</f>
        <v>1758.0279999999998</v>
      </c>
      <c r="AE187" s="68">
        <f>VLOOKUP(D187,宠物成长生成表!$B$5:$J$103,4,0)*(VLOOKUP(E187,$AP$1:$AQ$6,2,0))</f>
        <v>618.69999999999993</v>
      </c>
      <c r="AF187" s="68">
        <f>VLOOKUP(D187,宠物成长生成表!$B$5:$J$103,4,0)*$AO$4*(VLOOKUP(E187,$AP$1:$AQ$6,2,0))</f>
        <v>550.64299999999992</v>
      </c>
      <c r="AG187" s="68">
        <f>VLOOKUP(D187,宠物成长生成表!$B$5:$J$103,7,0)*$AO$5*(VLOOKUP(E187,$AP$1:$AQ$6,2,0))</f>
        <v>448.36199999999997</v>
      </c>
      <c r="AH187" s="68">
        <f>VLOOKUP(D187,宠物成长生成表!$B$5:$J$103,6,0)+VLOOKUP(E187,宠物升阶生成表!$B$6:$F$21,5,0)</f>
        <v>95</v>
      </c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9">
        <f t="shared" si="101"/>
        <v>2219.0279999999998</v>
      </c>
      <c r="AT187" s="69">
        <f t="shared" si="102"/>
        <v>882.69999999999993</v>
      </c>
      <c r="AU187" s="69">
        <f t="shared" si="103"/>
        <v>682.64299999999992</v>
      </c>
      <c r="AV187" s="71">
        <f t="shared" si="104"/>
        <v>549.36199999999997</v>
      </c>
    </row>
    <row r="188" spans="2:48">
      <c r="B188" s="98"/>
      <c r="C188" s="68" t="s">
        <v>394</v>
      </c>
      <c r="D188" s="68">
        <v>12</v>
      </c>
      <c r="E188" s="92">
        <v>1</v>
      </c>
      <c r="F188" s="68"/>
      <c r="G188" s="68"/>
      <c r="H188" s="68">
        <v>10</v>
      </c>
      <c r="I188" s="68"/>
      <c r="J188" s="68">
        <v>9</v>
      </c>
      <c r="K188" s="68"/>
      <c r="L188" s="68">
        <v>6</v>
      </c>
      <c r="M188" s="68"/>
      <c r="N188" s="68">
        <v>3</v>
      </c>
      <c r="O188" s="68"/>
      <c r="P188" s="68">
        <v>3</v>
      </c>
      <c r="Q188" s="68"/>
      <c r="R188" s="68"/>
      <c r="S188" s="68"/>
      <c r="T188" s="68"/>
      <c r="U188" s="68"/>
      <c r="V188" s="69">
        <f>IF(J188=0,0,VLOOKUP(能力数值!J188,装备拆分数值生成!$AK$165:$AV$214,5,0))+IF(P188=0,0,VLOOKUP(能力数值!P188,装备拆分数值生成!$AK$165:$AV$214,9,0))+IF(R188=0,0,VLOOKUP(能力数值!R188,装备拆分数值生成!$AK$165:$AV$214,11,0))</f>
        <v>652</v>
      </c>
      <c r="W188" s="69">
        <f>IF(H188=0,0,VLOOKUP(能力数值!H188,装备拆分数值生成!$AK$165:$AV$214,3,0))</f>
        <v>198</v>
      </c>
      <c r="X188" s="69">
        <f>IF(H188=0,0,VLOOKUP(能力数值!H188,装备拆分数值生成!$AK$165:$AV$214,4,0))+IF(P188=0,0,VLOOKUP(能力数值!P188,装备拆分数值生成!$AK$165:$AV$214,10,0))</f>
        <v>241</v>
      </c>
      <c r="Y188" s="69">
        <f>IF(L188=0,0,VLOOKUP(能力数值!L188,装备拆分数值生成!$AK$165:$AV$214,6,0))+IF(N188=0,0,VLOOKUP(能力数值!N188,装备拆分数值生成!$AK$165:$AV$214,8,0))+IF(R188=0,0,VLOOKUP(能力数值!R188,装备拆分数值生成!$AK$165:$AV$214,12,0))</f>
        <v>189</v>
      </c>
      <c r="Z188" s="68"/>
      <c r="AA188" s="68"/>
      <c r="AB188" s="68"/>
      <c r="AC188" s="68"/>
      <c r="AD188" s="68">
        <f>VLOOKUP(D187,宠物成长生成表!$B$5:$J$103,3,0)*$AN$2*(VLOOKUP(E188,$AP$1:$AQ$6,2,0))</f>
        <v>1985.76</v>
      </c>
      <c r="AE188" s="68">
        <f>VLOOKUP(D187,宠物成长生成表!$B$5:$J$103,4,0)*$AN$3*(VLOOKUP(E188,$AP$1:$AQ$6,2,0))</f>
        <v>508.41</v>
      </c>
      <c r="AF188" s="68">
        <f>VLOOKUP(D187,宠物成长生成表!$B$5:$J$103,4,0)*$AN$4*(VLOOKUP(E188,$AP$1:$AQ$6,2,0))</f>
        <v>508.41</v>
      </c>
      <c r="AG188" s="68">
        <f>VLOOKUP(D187,宠物成长生成表!$B$5:$J$103,7,0)*$AN$5*(VLOOKUP(E188,$AP$1:$AQ$6,2,0))</f>
        <v>474.012</v>
      </c>
      <c r="AH188" s="68">
        <f>VLOOKUP(D188,宠物成长生成表!$B$5:$J$103,6,0)+VLOOKUP(E188,宠物升阶生成表!$B$6:$F$21,5,0)</f>
        <v>77</v>
      </c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9">
        <f t="shared" si="101"/>
        <v>2637.76</v>
      </c>
      <c r="AT188" s="69">
        <f t="shared" si="102"/>
        <v>706.41000000000008</v>
      </c>
      <c r="AU188" s="69">
        <f t="shared" si="103"/>
        <v>749.41000000000008</v>
      </c>
      <c r="AV188" s="71">
        <f t="shared" si="104"/>
        <v>663.01199999999994</v>
      </c>
    </row>
    <row r="189" spans="2:48">
      <c r="B189" s="98"/>
      <c r="C189" s="68" t="s">
        <v>427</v>
      </c>
      <c r="D189" s="68">
        <v>8</v>
      </c>
      <c r="E189" s="92"/>
      <c r="F189" s="68"/>
      <c r="G189" s="68"/>
      <c r="H189" s="68">
        <v>7</v>
      </c>
      <c r="I189" s="68"/>
      <c r="J189" s="68">
        <v>10</v>
      </c>
      <c r="K189" s="68"/>
      <c r="L189" s="88">
        <v>13</v>
      </c>
      <c r="M189" s="68"/>
      <c r="N189" s="68"/>
      <c r="O189" s="68"/>
      <c r="P189" s="68"/>
      <c r="Q189" s="68"/>
      <c r="R189" s="68"/>
      <c r="S189" s="68"/>
      <c r="T189" s="68"/>
      <c r="U189" s="68"/>
      <c r="V189" s="69">
        <f>IF(J189=0,0,VLOOKUP(能力数值!J189,装备拆分数值生成!$AK$112:$AV$161,5,0))+IF(P189=0,0,VLOOKUP(能力数值!P189,装备拆分数值生成!$AK$112:$AV$161,5,0))+IF(R189=0,0,VLOOKUP(能力数值!R189,装备拆分数值生成!$AK$112:$AV$161,11,0))</f>
        <v>775</v>
      </c>
      <c r="W189" s="69">
        <f>IF(H189=0,0,VLOOKUP(能力数值!H189,装备拆分数值生成!$AK$112:$AV$161,3,0))</f>
        <v>155</v>
      </c>
      <c r="X189" s="69">
        <f>IF(H189=0,0,VLOOKUP(能力数值!H189,装备拆分数值生成!$AK$112:$AV$161,4,0))</f>
        <v>155</v>
      </c>
      <c r="Y189" s="69">
        <f>IF(L189=0,0,VLOOKUP(能力数值!L189,装备拆分数值生成!$AK$112:$AV$161,6,0))+IF(N189=0,0,VLOOKUP(能力数值!N189,装备拆分数值生成!$AK$112:$AV$161,8,0))+IF(R189=0,0,VLOOKUP(能力数值!R189,装备拆分数值生成!$AK$112:$AV$161,12,0))</f>
        <v>228</v>
      </c>
      <c r="Z189" s="68"/>
      <c r="AA189" s="68"/>
      <c r="AB189" s="68"/>
      <c r="AC189" s="68"/>
      <c r="AD189" s="68">
        <f>VLOOKUP(D189,宠物成长生成表!$B$5:$J$103,3,0)*$AM$2*(VLOOKUP(E189,$AP$1:$AQ$6,2,0))</f>
        <v>1818.7</v>
      </c>
      <c r="AE189" s="68">
        <f>VLOOKUP(D189,宠物成长生成表!$B$5:$J$103,4,0)*$AM$3*(VLOOKUP(E189,$AP$1:$AQ$6,2,0))</f>
        <v>381.6</v>
      </c>
      <c r="AF189" s="68">
        <f>VLOOKUP(D189,宠物成长生成表!$B$5:$J$103,4,0)*$AM$4*(VLOOKUP(E189,$AP$1:$AQ$6,2,0))</f>
        <v>381.6</v>
      </c>
      <c r="AG189" s="68">
        <f>VLOOKUP(D189,宠物成长生成表!$B$5:$J$103,7,0)*$AM$5*(VLOOKUP(E189,$AP$1:$AQ$6,2,0))</f>
        <v>600.6</v>
      </c>
      <c r="AH189" s="68">
        <f>VLOOKUP(D189,宠物成长生成表!$B$5:$J$103,6,0)+VLOOKUP(E189,宠物升阶生成表!$B$6:$F$21,5,0)</f>
        <v>62</v>
      </c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9">
        <f t="shared" si="101"/>
        <v>2593.6999999999998</v>
      </c>
      <c r="AT189" s="69">
        <f t="shared" si="102"/>
        <v>536.6</v>
      </c>
      <c r="AU189" s="69">
        <f t="shared" si="103"/>
        <v>536.6</v>
      </c>
      <c r="AV189" s="71">
        <f t="shared" si="104"/>
        <v>828.6</v>
      </c>
    </row>
    <row r="190" spans="2:48" ht="17.25" thickBot="1">
      <c r="B190" s="99"/>
      <c r="C190" s="72" t="s">
        <v>425</v>
      </c>
      <c r="D190" s="72">
        <v>5</v>
      </c>
      <c r="E190" s="93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69"/>
      <c r="W190" s="69"/>
      <c r="X190" s="69"/>
      <c r="Y190" s="69"/>
      <c r="Z190" s="72"/>
      <c r="AA190" s="72"/>
      <c r="AB190" s="72"/>
      <c r="AC190" s="72"/>
      <c r="AD190" s="72">
        <f>VLOOKUP(D190,宠物成长生成表!$B$5:$J$103,3,0)*$AL$2*(VLOOKUP(E190,$AP$1:$AQ$6,2,0))</f>
        <v>1228.99</v>
      </c>
      <c r="AE190" s="72">
        <f>VLOOKUP(D190,宠物成长生成表!$B$5:$J$103,4,0)*$AL$3*(VLOOKUP(E190,$AP$1:$AQ$6,2,0))</f>
        <v>384.48</v>
      </c>
      <c r="AF190" s="72">
        <f>VLOOKUP(D190,宠物成长生成表!$B$5:$J$103,4,0)*$AL$4*(VLOOKUP(E190,$AP$1:$AQ$6,2,0))</f>
        <v>496.79999999999995</v>
      </c>
      <c r="AG190" s="72">
        <f>VLOOKUP(D190,宠物成长生成表!$B$5:$J$103,7,0)*$AL$5*(VLOOKUP(E190,$AP$1:$AQ$6,2,0))</f>
        <v>313.12</v>
      </c>
      <c r="AH190" s="81">
        <f>VLOOKUP(D190,宠物成长生成表!$B$5:$J$103,6,0)</f>
        <v>59</v>
      </c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8"/>
    </row>
    <row r="191" spans="2:48">
      <c r="B191" s="97" t="s">
        <v>499</v>
      </c>
      <c r="C191" s="64" t="s">
        <v>428</v>
      </c>
      <c r="D191" s="64">
        <v>20</v>
      </c>
      <c r="E191" s="91">
        <v>3</v>
      </c>
      <c r="F191" s="64"/>
      <c r="G191" s="64"/>
      <c r="H191" s="89">
        <v>20</v>
      </c>
      <c r="I191" s="64"/>
      <c r="J191" s="64">
        <v>11</v>
      </c>
      <c r="K191" s="64"/>
      <c r="L191" s="64">
        <v>11</v>
      </c>
      <c r="M191" s="64"/>
      <c r="N191" s="64">
        <v>1</v>
      </c>
      <c r="O191" s="64"/>
      <c r="P191" s="64">
        <v>6</v>
      </c>
      <c r="Q191" s="64"/>
      <c r="R191" s="64">
        <v>5</v>
      </c>
      <c r="S191" s="64"/>
      <c r="T191" s="64"/>
      <c r="U191" s="64"/>
      <c r="V191" s="65">
        <f>IF(J191=0,0,VLOOKUP(能力数值!J191,装备拆分数值生成!$AK$58:$AV$107,5,0))+IF(P191=0,0,VLOOKUP(P191,装备拆分数值生成!$AK$58:$AV$107,9,0))+IF(R191=0,0,VLOOKUP(R191,装备拆分数值生成!$AK$58:$AV$107,11,0))</f>
        <v>899</v>
      </c>
      <c r="W191" s="65">
        <f>IF(H191=0,0,VLOOKUP(H191,装备拆分数值生成!$AK$58:$AV$107,3,0))+IF(P191=0,0,VLOOKUP(P191,装备拆分数值生成!$AK$58:$AV$107,10,0))</f>
        <v>255</v>
      </c>
      <c r="X191" s="65">
        <f>IF(H191=0,0,VLOOKUP(H191,装备拆分数值生成!$AK$58:$AV$107,4,0))+IF(N191=0,0,VLOOKUP(N191,装备拆分数值生成!$AK$58:$AV$107,7,0))+IF(R191=0,0,VLOOKUP(R191,装备拆分数值生成!$AK$58:$AV$107,12,0))</f>
        <v>595</v>
      </c>
      <c r="Y191" s="65">
        <f>IF(L191=0,0,VLOOKUP(L191,装备拆分数值生成!$AK$58:$AV$107,6,0))+IF(N191=0,0,VLOOKUP(N191,装备拆分数值生成!$AK$58:$AV$107,8,0))</f>
        <v>186</v>
      </c>
      <c r="Z191" s="64"/>
      <c r="AA191" s="64"/>
      <c r="AB191" s="64"/>
      <c r="AC191" s="64"/>
      <c r="AD191" s="68">
        <f>VLOOKUP(D191,宠物成长生成表!$B$5:$J$103,3,0)*$AL$2*(VLOOKUP(E191,$AP$1:$AQ$6,2,0))</f>
        <v>2244.1919999999996</v>
      </c>
      <c r="AE191" s="68">
        <f>VLOOKUP(D191,宠物成长生成表!$B$5:$J$103,4,0)*$AL$3*(VLOOKUP(E191,$AP$1:$AQ$6,2,0))</f>
        <v>702.74400000000003</v>
      </c>
      <c r="AF191" s="68">
        <f>VLOOKUP(D191,宠物成长生成表!$B$5:$J$103,4,0)*$AL$4*(VLOOKUP(E191,$AP$1:$AQ$6,2,0))</f>
        <v>908.03999999999985</v>
      </c>
      <c r="AG191" s="68">
        <f>VLOOKUP(D191,宠物成长生成表!$B$5:$J$103,7,0)*$AL$5*(VLOOKUP(E191,$AP$1:$AQ$6,2,0))</f>
        <v>572.73599999999999</v>
      </c>
      <c r="AH191" s="64">
        <f>VLOOKUP(D191,宠物成长生成表!$B$5:$J$103,6,0)+VLOOKUP(E191,宠物升阶生成表!$B$6:$F$21,5,0)</f>
        <v>116</v>
      </c>
      <c r="AI191" s="64"/>
      <c r="AJ191" s="64"/>
      <c r="AK191" s="64"/>
      <c r="AL191" s="64"/>
      <c r="AM191" s="64"/>
      <c r="AN191" s="64"/>
      <c r="AO191" s="64"/>
      <c r="AP191" s="64"/>
      <c r="AQ191" s="64"/>
      <c r="AR191" s="64"/>
      <c r="AS191" s="65">
        <f t="shared" ref="AS191:AS194" si="105">V191+AD191</f>
        <v>3143.1919999999996</v>
      </c>
      <c r="AT191" s="65">
        <f t="shared" ref="AT191:AT194" si="106">W191+AE191</f>
        <v>957.74400000000003</v>
      </c>
      <c r="AU191" s="65">
        <f t="shared" ref="AU191:AU194" si="107">X191+AF191</f>
        <v>1503.04</v>
      </c>
      <c r="AV191" s="67">
        <f t="shared" ref="AV191:AV194" si="108">Y191+AG191</f>
        <v>758.73599999999999</v>
      </c>
    </row>
    <row r="192" spans="2:48">
      <c r="B192" s="98"/>
      <c r="C192" s="68" t="s">
        <v>426</v>
      </c>
      <c r="D192" s="68">
        <v>20</v>
      </c>
      <c r="E192" s="92">
        <v>2</v>
      </c>
      <c r="F192" s="68"/>
      <c r="G192" s="68"/>
      <c r="H192" s="68">
        <v>18</v>
      </c>
      <c r="I192" s="68"/>
      <c r="J192" s="68">
        <v>12</v>
      </c>
      <c r="K192" s="68"/>
      <c r="L192" s="68">
        <v>8</v>
      </c>
      <c r="M192" s="68"/>
      <c r="N192" s="68">
        <v>2</v>
      </c>
      <c r="O192" s="68"/>
      <c r="P192" s="68">
        <v>11</v>
      </c>
      <c r="Q192" s="68"/>
      <c r="R192" s="68">
        <v>4</v>
      </c>
      <c r="S192" s="68"/>
      <c r="T192" s="68"/>
      <c r="U192" s="68"/>
      <c r="V192" s="69">
        <f>IF(J192=0,0,VLOOKUP(能力数值!J192,装备拆分数值生成!$AK$4:$AV$53,5,0))+IF(P192=0,0,VLOOKUP(能力数值!P192,装备拆分数值生成!$AK$4:$AV$53,9,0))+IF(R192=0,0,VLOOKUP(能力数值!R192,装备拆分数值生成!$AK$4:$AV$53,11,0))</f>
        <v>1029</v>
      </c>
      <c r="W192" s="69">
        <f>IF(H192=0,0,VLOOKUP(能力数值!H192,装备拆分数值生成!$AK$4:$AV$53,3,0))+IF(N192=0,0,VLOOKUP(能力数值!N192,装备拆分数值生成!$AK$4:$AV$53,7,0))+IF(R192=0,0,VLOOKUP(能力数值!R192,装备拆分数值生成!$AK$4:$AV$53,12,0))</f>
        <v>551</v>
      </c>
      <c r="X192" s="69">
        <f>IF(H192=0,0,VLOOKUP(能力数值!H192,装备拆分数值生成!$AK$4:$AV$53,4,0))+IF(P192=0,0,VLOOKUP(能力数值!P192,装备拆分数值生成!$AK$4:$AV$53,10,0))</f>
        <v>244</v>
      </c>
      <c r="Y192" s="69">
        <f>IF(L192=0,0,VLOOKUP(能力数值!L192,装备拆分数值生成!$AK$4:$AV$53,6,0))+IF(N192=0,0,VLOOKUP(能力数值!N192,装备拆分数值生成!$AK$4:$AV$53,8,0))</f>
        <v>170</v>
      </c>
      <c r="Z192" s="68"/>
      <c r="AA192" s="68"/>
      <c r="AB192" s="68"/>
      <c r="AC192" s="68"/>
      <c r="AD192" s="68">
        <f>VLOOKUP(D192,宠物成长生成表!$B$5:$J$103,3,0)*$AO$2*(VLOOKUP(E192,$AP$1:$AQ$6,2,0))</f>
        <v>2150.6839999999997</v>
      </c>
      <c r="AE192" s="68">
        <f>VLOOKUP(D192,宠物成长生成表!$B$5:$J$103,4,0)*(VLOOKUP(E192,$AP$1:$AQ$6,2,0))</f>
        <v>756.69999999999993</v>
      </c>
      <c r="AF192" s="68">
        <f>VLOOKUP(D192,宠物成长生成表!$B$5:$J$103,4,0)*$AO$4*(VLOOKUP(E192,$AP$1:$AQ$6,2,0))</f>
        <v>673.46299999999997</v>
      </c>
      <c r="AG192" s="68">
        <f>VLOOKUP(D192,宠物成长生成表!$B$5:$J$103,7,0)*$AO$5*(VLOOKUP(E192,$AP$1:$AQ$6,2,0))</f>
        <v>548.87199999999996</v>
      </c>
      <c r="AH192" s="68">
        <f>VLOOKUP(D192,宠物成长生成表!$B$5:$J$103,6,0)+VLOOKUP(E192,宠物升阶生成表!$B$6:$F$21,5,0)</f>
        <v>103</v>
      </c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9">
        <f t="shared" si="105"/>
        <v>3179.6839999999997</v>
      </c>
      <c r="AT192" s="69">
        <f t="shared" si="106"/>
        <v>1307.6999999999998</v>
      </c>
      <c r="AU192" s="69">
        <f t="shared" si="107"/>
        <v>917.46299999999997</v>
      </c>
      <c r="AV192" s="71">
        <f t="shared" si="108"/>
        <v>718.87199999999996</v>
      </c>
    </row>
    <row r="193" spans="2:48">
      <c r="B193" s="98"/>
      <c r="C193" s="68" t="s">
        <v>394</v>
      </c>
      <c r="D193" s="68">
        <v>15</v>
      </c>
      <c r="E193" s="92">
        <v>2</v>
      </c>
      <c r="F193" s="68"/>
      <c r="G193" s="68"/>
      <c r="H193" s="68">
        <v>16</v>
      </c>
      <c r="I193" s="68"/>
      <c r="J193" s="68">
        <v>9</v>
      </c>
      <c r="K193" s="68"/>
      <c r="L193" s="68">
        <v>10</v>
      </c>
      <c r="M193" s="68"/>
      <c r="N193" s="68">
        <v>3</v>
      </c>
      <c r="O193" s="68"/>
      <c r="P193" s="68">
        <v>6</v>
      </c>
      <c r="Q193" s="68"/>
      <c r="R193" s="68">
        <v>5</v>
      </c>
      <c r="S193" s="68"/>
      <c r="T193" s="68"/>
      <c r="U193" s="68"/>
      <c r="V193" s="69">
        <f>IF(J193=0,0,VLOOKUP(能力数值!J193,装备拆分数值生成!$AK$165:$AV$214,5,0))+IF(P193=0,0,VLOOKUP(能力数值!P193,装备拆分数值生成!$AK$165:$AV$214,9,0))+IF(R193=0,0,VLOOKUP(能力数值!R193,装备拆分数值生成!$AK$165:$AV$214,11,0))</f>
        <v>841</v>
      </c>
      <c r="W193" s="69">
        <f>IF(H193=0,0,VLOOKUP(能力数值!H193,装备拆分数值生成!$AK$165:$AV$214,3,0))</f>
        <v>284</v>
      </c>
      <c r="X193" s="69">
        <f>IF(H193=0,0,VLOOKUP(能力数值!H193,装备拆分数值生成!$AK$165:$AV$214,4,0))+IF(P193=0,0,VLOOKUP(能力数值!P193,装备拆分数值生成!$AK$165:$AV$214,10,0))</f>
        <v>337</v>
      </c>
      <c r="Y193" s="69">
        <f>IF(L193=0,0,VLOOKUP(能力数值!L193,装备拆分数值生成!$AK$165:$AV$214,6,0))+IF(N193=0,0,VLOOKUP(能力数值!N193,装备拆分数值生成!$AK$165:$AV$214,8,0))+IF(R193=0,0,VLOOKUP(能力数值!R193,装备拆分数值生成!$AK$165:$AV$214,12,0))</f>
        <v>242</v>
      </c>
      <c r="Z193" s="68"/>
      <c r="AA193" s="68"/>
      <c r="AB193" s="68"/>
      <c r="AC193" s="68"/>
      <c r="AD193" s="68">
        <f>VLOOKUP(D192,宠物成长生成表!$B$5:$J$103,3,0)*$AN$2*(VLOOKUP(E193,$AP$1:$AQ$6,2,0))</f>
        <v>2660.64</v>
      </c>
      <c r="AE193" s="68">
        <f>VLOOKUP(D192,宠物成长生成表!$B$5:$J$103,4,0)*$AN$3*(VLOOKUP(E193,$AP$1:$AQ$6,2,0))</f>
        <v>681.03</v>
      </c>
      <c r="AF193" s="68">
        <f>VLOOKUP(D192,宠物成长生成表!$B$5:$J$103,4,0)*$AN$4*(VLOOKUP(E193,$AP$1:$AQ$6,2,0))</f>
        <v>681.03</v>
      </c>
      <c r="AG193" s="68">
        <f>VLOOKUP(D192,宠物成长生成表!$B$5:$J$103,7,0)*$AN$5*(VLOOKUP(E193,$AP$1:$AQ$6,2,0))</f>
        <v>635.53599999999994</v>
      </c>
      <c r="AH193" s="68">
        <f>VLOOKUP(D193,宠物成长生成表!$B$5:$J$103,6,0)+VLOOKUP(E193,宠物升阶生成表!$B$6:$F$21,5,0)</f>
        <v>98</v>
      </c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9">
        <f t="shared" si="105"/>
        <v>3501.64</v>
      </c>
      <c r="AT193" s="69">
        <f t="shared" si="106"/>
        <v>965.03</v>
      </c>
      <c r="AU193" s="69">
        <f t="shared" si="107"/>
        <v>1018.03</v>
      </c>
      <c r="AV193" s="71">
        <f t="shared" si="108"/>
        <v>877.53599999999994</v>
      </c>
    </row>
    <row r="194" spans="2:48">
      <c r="B194" s="98"/>
      <c r="C194" s="68" t="s">
        <v>427</v>
      </c>
      <c r="D194" s="68">
        <v>13</v>
      </c>
      <c r="E194" s="92">
        <v>1</v>
      </c>
      <c r="F194" s="68"/>
      <c r="G194" s="68"/>
      <c r="H194" s="68">
        <v>14</v>
      </c>
      <c r="I194" s="68"/>
      <c r="J194" s="68">
        <v>12</v>
      </c>
      <c r="K194" s="68"/>
      <c r="L194" s="88">
        <v>17</v>
      </c>
      <c r="M194" s="68"/>
      <c r="N194" s="68">
        <v>3</v>
      </c>
      <c r="O194" s="68"/>
      <c r="P194" s="68">
        <v>4</v>
      </c>
      <c r="Q194" s="68"/>
      <c r="R194" s="68">
        <v>7</v>
      </c>
      <c r="S194" s="68"/>
      <c r="T194" s="68"/>
      <c r="U194" s="68"/>
      <c r="V194" s="69">
        <f>IF(J194=0,0,VLOOKUP(能力数值!J194,装备拆分数值生成!$AK$112:$AV$161,5,0))+IF(P194=0,0,VLOOKUP(能力数值!P194,装备拆分数值生成!$AK$112:$AV$161,5,0))+IF(R194=0,0,VLOOKUP(能力数值!R194,装备拆分数值生成!$AK$112:$AV$161,11,0))</f>
        <v>1511</v>
      </c>
      <c r="W194" s="69">
        <f>IF(H194=0,0,VLOOKUP(能力数值!H194,装备拆分数值生成!$AK$112:$AV$161,3,0))</f>
        <v>233</v>
      </c>
      <c r="X194" s="69">
        <f>IF(H194=0,0,VLOOKUP(能力数值!H194,装备拆分数值生成!$AK$112:$AV$161,4,0))</f>
        <v>233</v>
      </c>
      <c r="Y194" s="69">
        <f>IF(L194=0,0,VLOOKUP(能力数值!L194,装备拆分数值生成!$AK$112:$AV$161,6,0))+IF(N194=0,0,VLOOKUP(能力数值!N194,装备拆分数值生成!$AK$112:$AV$161,8,0))+IF(R194=0,0,VLOOKUP(能力数值!R194,装备拆分数值生成!$AK$112:$AV$161,12,0))</f>
        <v>491</v>
      </c>
      <c r="Z194" s="68"/>
      <c r="AA194" s="68"/>
      <c r="AB194" s="68"/>
      <c r="AC194" s="68"/>
      <c r="AD194" s="68">
        <f>VLOOKUP(D194,宠物成长生成表!$B$5:$J$103,3,0)*$AM$2*(VLOOKUP(E194,$AP$1:$AQ$6,2,0))</f>
        <v>2211.3000000000002</v>
      </c>
      <c r="AE194" s="68">
        <f>VLOOKUP(D194,宠物成长生成表!$B$5:$J$103,4,0)*$AM$3*(VLOOKUP(E194,$AP$1:$AQ$6,2,0))</f>
        <v>464.52000000000004</v>
      </c>
      <c r="AF194" s="68">
        <f>VLOOKUP(D194,宠物成长生成表!$B$5:$J$103,4,0)*$AM$4*(VLOOKUP(E194,$AP$1:$AQ$6,2,0))</f>
        <v>464.52000000000004</v>
      </c>
      <c r="AG194" s="68">
        <f>VLOOKUP(D194,宠物成长生成表!$B$5:$J$103,7,0)*$AM$5*(VLOOKUP(E194,$AP$1:$AQ$6,2,0))</f>
        <v>730.42200000000003</v>
      </c>
      <c r="AH194" s="68">
        <f>VLOOKUP(D194,宠物成长生成表!$B$5:$J$103,6,0)+VLOOKUP(E194,宠物升阶生成表!$B$6:$F$21,5,0)</f>
        <v>78</v>
      </c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9">
        <f t="shared" si="105"/>
        <v>3722.3</v>
      </c>
      <c r="AT194" s="69">
        <f t="shared" si="106"/>
        <v>697.52</v>
      </c>
      <c r="AU194" s="69">
        <f t="shared" si="107"/>
        <v>697.52</v>
      </c>
      <c r="AV194" s="71">
        <f t="shared" si="108"/>
        <v>1221.422</v>
      </c>
    </row>
    <row r="195" spans="2:48" ht="17.25" thickBot="1">
      <c r="B195" s="99"/>
      <c r="C195" s="72" t="s">
        <v>425</v>
      </c>
      <c r="D195" s="72">
        <v>5</v>
      </c>
      <c r="E195" s="93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69"/>
      <c r="W195" s="69"/>
      <c r="X195" s="69"/>
      <c r="Y195" s="69"/>
      <c r="Z195" s="72"/>
      <c r="AA195" s="72"/>
      <c r="AB195" s="72"/>
      <c r="AC195" s="72"/>
      <c r="AD195" s="72">
        <f>VLOOKUP(D195,宠物成长生成表!$B$5:$J$103,3,0)*$AL$2*(VLOOKUP(E195,$AP$1:$AQ$6,2,0))</f>
        <v>1228.99</v>
      </c>
      <c r="AE195" s="72">
        <f>VLOOKUP(D195,宠物成长生成表!$B$5:$J$103,4,0)*$AL$3*(VLOOKUP(E195,$AP$1:$AQ$6,2,0))</f>
        <v>384.48</v>
      </c>
      <c r="AF195" s="72">
        <f>VLOOKUP(D195,宠物成长生成表!$B$5:$J$103,4,0)*$AL$4*(VLOOKUP(E195,$AP$1:$AQ$6,2,0))</f>
        <v>496.79999999999995</v>
      </c>
      <c r="AG195" s="72">
        <f>VLOOKUP(D195,宠物成长生成表!$B$5:$J$103,7,0)*$AL$5*(VLOOKUP(E195,$AP$1:$AQ$6,2,0))</f>
        <v>313.12</v>
      </c>
      <c r="AH195" s="81">
        <f>VLOOKUP(D195,宠物成长生成表!$B$5:$J$103,6,0)</f>
        <v>59</v>
      </c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8"/>
    </row>
    <row r="196" spans="2:48">
      <c r="B196" s="97" t="s">
        <v>500</v>
      </c>
      <c r="C196" s="64" t="s">
        <v>428</v>
      </c>
      <c r="D196" s="64">
        <v>24</v>
      </c>
      <c r="E196" s="91">
        <v>3</v>
      </c>
      <c r="F196" s="64"/>
      <c r="G196" s="64"/>
      <c r="H196" s="89">
        <v>21</v>
      </c>
      <c r="I196" s="64"/>
      <c r="J196" s="64">
        <v>22</v>
      </c>
      <c r="K196" s="64"/>
      <c r="L196" s="64">
        <v>19</v>
      </c>
      <c r="M196" s="64"/>
      <c r="N196" s="64">
        <v>13</v>
      </c>
      <c r="O196" s="64"/>
      <c r="P196" s="64">
        <v>13</v>
      </c>
      <c r="Q196" s="64"/>
      <c r="R196" s="64">
        <v>14</v>
      </c>
      <c r="S196" s="64"/>
      <c r="T196" s="64"/>
      <c r="U196" s="64"/>
      <c r="V196" s="65">
        <f>IF(J196=0,0,VLOOKUP(能力数值!J196,装备拆分数值生成!$AK$58:$AV$107,5,0))+IF(P196=0,0,VLOOKUP(P196,装备拆分数值生成!$AK$58:$AV$107,9,0))+IF(R196=0,0,VLOOKUP(R196,装备拆分数值生成!$AK$58:$AV$107,11,0))</f>
        <v>1572</v>
      </c>
      <c r="W196" s="65">
        <f>IF(H196=0,0,VLOOKUP(H196,装备拆分数值生成!$AK$58:$AV$107,3,0))+IF(P196=0,0,VLOOKUP(P196,装备拆分数值生成!$AK$58:$AV$107,10,0))</f>
        <v>290</v>
      </c>
      <c r="X196" s="65">
        <f>IF(H196=0,0,VLOOKUP(H196,装备拆分数值生成!$AK$58:$AV$107,4,0))+IF(N196=0,0,VLOOKUP(N196,装备拆分数值生成!$AK$58:$AV$107,7,0))+IF(R196=0,0,VLOOKUP(R196,装备拆分数值生成!$AK$58:$AV$107,12,0))</f>
        <v>751</v>
      </c>
      <c r="Y196" s="65">
        <f>IF(L196=0,0,VLOOKUP(L196,装备拆分数值生成!$AK$58:$AV$107,6,0))+IF(N196=0,0,VLOOKUP(N196,装备拆分数值生成!$AK$58:$AV$107,8,0))</f>
        <v>323</v>
      </c>
      <c r="Z196" s="64"/>
      <c r="AA196" s="64"/>
      <c r="AB196" s="64"/>
      <c r="AC196" s="64"/>
      <c r="AD196" s="68">
        <f>VLOOKUP(D196,宠物成长生成表!$B$5:$J$103,3,0)*$AL$2*(VLOOKUP(E196,$AP$1:$AQ$6,2,0))</f>
        <v>2449.0559999999996</v>
      </c>
      <c r="AE196" s="68">
        <f>VLOOKUP(D196,宠物成长生成表!$B$5:$J$103,4,0)*$AL$3*(VLOOKUP(E196,$AP$1:$AQ$6,2,0))</f>
        <v>766.82399999999996</v>
      </c>
      <c r="AF196" s="68">
        <f>VLOOKUP(D196,宠物成长生成表!$B$5:$J$103,4,0)*$AL$4*(VLOOKUP(E196,$AP$1:$AQ$6,2,0))</f>
        <v>990.83999999999992</v>
      </c>
      <c r="AG196" s="68">
        <f>VLOOKUP(D196,宠物成长生成表!$B$5:$J$103,7,0)*$AL$5*(VLOOKUP(E196,$AP$1:$AQ$6,2,0))</f>
        <v>624.72</v>
      </c>
      <c r="AH196" s="64">
        <f>VLOOKUP(D196,宠物成长生成表!$B$5:$J$103,6,0)+VLOOKUP(E196,宠物升阶生成表!$B$6:$F$21,5,0)</f>
        <v>124</v>
      </c>
      <c r="AI196" s="64"/>
      <c r="AJ196" s="64"/>
      <c r="AK196" s="64"/>
      <c r="AL196" s="64"/>
      <c r="AM196" s="64"/>
      <c r="AN196" s="64"/>
      <c r="AO196" s="64"/>
      <c r="AP196" s="64"/>
      <c r="AQ196" s="64"/>
      <c r="AR196" s="64"/>
      <c r="AS196" s="65">
        <f t="shared" ref="AS196:AS199" si="109">V196+AD196</f>
        <v>4021.0559999999996</v>
      </c>
      <c r="AT196" s="65">
        <f t="shared" ref="AT196:AT199" si="110">W196+AE196</f>
        <v>1056.8240000000001</v>
      </c>
      <c r="AU196" s="65">
        <f t="shared" ref="AU196:AU199" si="111">X196+AF196</f>
        <v>1741.84</v>
      </c>
      <c r="AV196" s="67">
        <f t="shared" ref="AV196:AV199" si="112">Y196+AG196</f>
        <v>947.72</v>
      </c>
    </row>
    <row r="197" spans="2:48">
      <c r="B197" s="98"/>
      <c r="C197" s="68" t="s">
        <v>426</v>
      </c>
      <c r="D197" s="68">
        <v>25</v>
      </c>
      <c r="E197" s="92">
        <v>4</v>
      </c>
      <c r="F197" s="68"/>
      <c r="G197" s="68"/>
      <c r="H197" s="68">
        <v>20</v>
      </c>
      <c r="I197" s="68"/>
      <c r="J197" s="68">
        <v>14</v>
      </c>
      <c r="K197" s="68"/>
      <c r="L197" s="68">
        <v>17</v>
      </c>
      <c r="M197" s="68"/>
      <c r="N197" s="68">
        <v>11</v>
      </c>
      <c r="O197" s="68"/>
      <c r="P197" s="68">
        <v>11</v>
      </c>
      <c r="Q197" s="68"/>
      <c r="R197" s="68">
        <v>10</v>
      </c>
      <c r="S197" s="68"/>
      <c r="T197" s="68"/>
      <c r="U197" s="68"/>
      <c r="V197" s="69">
        <f>IF(J197=0,0,VLOOKUP(能力数值!J197,装备拆分数值生成!$AK$4:$AV$53,5,0))+IF(P197=0,0,VLOOKUP(能力数值!P197,装备拆分数值生成!$AK$4:$AV$53,9,0))+IF(R197=0,0,VLOOKUP(能力数值!R197,装备拆分数值生成!$AK$4:$AV$53,11,0))</f>
        <v>1129</v>
      </c>
      <c r="W197" s="69">
        <f>IF(H197=0,0,VLOOKUP(能力数值!H197,装备拆分数值生成!$AK$4:$AV$53,3,0))+IF(N197=0,0,VLOOKUP(能力数值!N197,装备拆分数值生成!$AK$4:$AV$53,7,0))+IF(R197=0,0,VLOOKUP(能力数值!R197,装备拆分数值生成!$AK$4:$AV$53,12,0))</f>
        <v>660</v>
      </c>
      <c r="X197" s="69">
        <f>IF(H197=0,0,VLOOKUP(能力数值!H197,装备拆分数值生成!$AK$4:$AV$53,4,0))+IF(P197=0,0,VLOOKUP(能力数值!P197,装备拆分数值生成!$AK$4:$AV$53,10,0))</f>
        <v>264</v>
      </c>
      <c r="Y197" s="69">
        <f>IF(L197=0,0,VLOOKUP(能力数值!L197,装备拆分数值生成!$AK$4:$AV$53,6,0))+IF(N197=0,0,VLOOKUP(能力数值!N197,装备拆分数值生成!$AK$4:$AV$53,8,0))</f>
        <v>290</v>
      </c>
      <c r="Z197" s="68"/>
      <c r="AA197" s="68"/>
      <c r="AB197" s="68"/>
      <c r="AC197" s="68"/>
      <c r="AD197" s="68">
        <f>VLOOKUP(D197,宠物成长生成表!$B$5:$J$103,3,0)*$AO$2*(VLOOKUP(E197,$AP$1:$AQ$6,2,0))</f>
        <v>2673.9019999999932</v>
      </c>
      <c r="AE197" s="68">
        <f>VLOOKUP(D197,宠物成长生成表!$B$5:$J$103,4,0)*(VLOOKUP(E197,$AP$1:$AQ$6,2,0))</f>
        <v>940.68333333333101</v>
      </c>
      <c r="AF197" s="68">
        <f>VLOOKUP(D197,宠物成长生成表!$B$5:$J$103,4,0)*$AO$4*(VLOOKUP(E197,$AP$1:$AQ$6,2,0))</f>
        <v>837.20816666666451</v>
      </c>
      <c r="AG197" s="68">
        <f>VLOOKUP(D197,宠物成长生成表!$B$5:$J$103,7,0)*$AO$5*(VLOOKUP(E197,$AP$1:$AQ$6,2,0))</f>
        <v>681.75799999999833</v>
      </c>
      <c r="AH197" s="68">
        <f>VLOOKUP(D197,宠物成长生成表!$B$5:$J$103,6,0)+VLOOKUP(E197,宠物升阶生成表!$B$6:$F$21,5,0)</f>
        <v>139</v>
      </c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9">
        <f t="shared" si="109"/>
        <v>3802.9019999999932</v>
      </c>
      <c r="AT197" s="69">
        <f t="shared" si="110"/>
        <v>1600.6833333333311</v>
      </c>
      <c r="AU197" s="69">
        <f t="shared" si="111"/>
        <v>1101.2081666666645</v>
      </c>
      <c r="AV197" s="71">
        <f t="shared" si="112"/>
        <v>971.75799999999833</v>
      </c>
    </row>
    <row r="198" spans="2:48">
      <c r="B198" s="98"/>
      <c r="C198" s="68" t="s">
        <v>394</v>
      </c>
      <c r="D198" s="68">
        <v>25</v>
      </c>
      <c r="E198" s="92">
        <v>3</v>
      </c>
      <c r="F198" s="68"/>
      <c r="G198" s="68"/>
      <c r="H198" s="68">
        <v>16</v>
      </c>
      <c r="I198" s="68"/>
      <c r="J198" s="68">
        <v>15</v>
      </c>
      <c r="K198" s="68"/>
      <c r="L198" s="68">
        <v>16</v>
      </c>
      <c r="M198" s="68"/>
      <c r="N198" s="68">
        <v>12</v>
      </c>
      <c r="O198" s="68"/>
      <c r="P198" s="68">
        <v>13</v>
      </c>
      <c r="Q198" s="68"/>
      <c r="R198" s="68">
        <v>12</v>
      </c>
      <c r="S198" s="68"/>
      <c r="T198" s="68"/>
      <c r="U198" s="68"/>
      <c r="V198" s="69">
        <f>IF(J198=0,0,VLOOKUP(能力数值!J198,装备拆分数值生成!$AK$165:$AV$214,5,0))+IF(P198=0,0,VLOOKUP(能力数值!P198,装备拆分数值生成!$AK$165:$AV$214,9,0))+IF(R198=0,0,VLOOKUP(能力数值!R198,装备拆分数值生成!$AK$165:$AV$214,11,0))</f>
        <v>1229</v>
      </c>
      <c r="W198" s="69">
        <f>IF(H198=0,0,VLOOKUP(能力数值!H198,装备拆分数值生成!$AK$165:$AV$214,3,0))</f>
        <v>284</v>
      </c>
      <c r="X198" s="69">
        <f>IF(H198=0,0,VLOOKUP(能力数值!H198,装备拆分数值生成!$AK$165:$AV$214,4,0))+IF(P198=0,0,VLOOKUP(能力数值!P198,装备拆分数值生成!$AK$165:$AV$214,10,0))</f>
        <v>363</v>
      </c>
      <c r="Y198" s="69">
        <f>IF(L198=0,0,VLOOKUP(能力数值!L198,装备拆分数值生成!$AK$165:$AV$214,6,0))+IF(N198=0,0,VLOOKUP(能力数值!N198,装备拆分数值生成!$AK$165:$AV$214,8,0))+IF(R198=0,0,VLOOKUP(能力数值!R198,装备拆分数值生成!$AK$165:$AV$214,12,0))</f>
        <v>368</v>
      </c>
      <c r="Z198" s="68"/>
      <c r="AA198" s="68"/>
      <c r="AB198" s="68"/>
      <c r="AC198" s="68"/>
      <c r="AD198" s="68">
        <f>VLOOKUP(D197,宠物成长生成表!$B$5:$J$103,3,0)*$AN$2*(VLOOKUP(E198,$AP$1:$AQ$6,2,0))</f>
        <v>3093.12</v>
      </c>
      <c r="AE198" s="68">
        <f>VLOOKUP(D197,宠物成长生成表!$B$5:$J$103,4,0)*$AN$3*(VLOOKUP(E198,$AP$1:$AQ$6,2,0))</f>
        <v>791.64</v>
      </c>
      <c r="AF198" s="68">
        <f>VLOOKUP(D197,宠物成长生成表!$B$5:$J$103,4,0)*$AN$4*(VLOOKUP(E198,$AP$1:$AQ$6,2,0))</f>
        <v>791.64</v>
      </c>
      <c r="AG198" s="68">
        <f>VLOOKUP(D197,宠物成长生成表!$B$5:$J$103,7,0)*$AN$5*(VLOOKUP(E198,$AP$1:$AQ$6,2,0))</f>
        <v>738.14400000000001</v>
      </c>
      <c r="AH198" s="68">
        <f>VLOOKUP(D198,宠物成长生成表!$B$5:$J$103,6,0)+VLOOKUP(E198,宠物升阶生成表!$B$6:$F$21,5,0)</f>
        <v>126</v>
      </c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9">
        <f t="shared" si="109"/>
        <v>4322.12</v>
      </c>
      <c r="AT198" s="69">
        <f t="shared" si="110"/>
        <v>1075.6399999999999</v>
      </c>
      <c r="AU198" s="69">
        <f t="shared" si="111"/>
        <v>1154.6399999999999</v>
      </c>
      <c r="AV198" s="71">
        <f t="shared" si="112"/>
        <v>1106.144</v>
      </c>
    </row>
    <row r="199" spans="2:48">
      <c r="B199" s="98"/>
      <c r="C199" s="68" t="s">
        <v>427</v>
      </c>
      <c r="D199" s="68">
        <v>20</v>
      </c>
      <c r="E199" s="92">
        <v>2</v>
      </c>
      <c r="F199" s="68"/>
      <c r="G199" s="68"/>
      <c r="H199" s="68">
        <v>18</v>
      </c>
      <c r="I199" s="68"/>
      <c r="J199" s="68">
        <v>26</v>
      </c>
      <c r="K199" s="68"/>
      <c r="L199" s="88">
        <v>20</v>
      </c>
      <c r="M199" s="68"/>
      <c r="N199" s="68">
        <v>10</v>
      </c>
      <c r="O199" s="68"/>
      <c r="P199" s="68">
        <v>10</v>
      </c>
      <c r="Q199" s="68"/>
      <c r="R199" s="68">
        <v>10</v>
      </c>
      <c r="S199" s="68"/>
      <c r="T199" s="68"/>
      <c r="U199" s="68"/>
      <c r="V199" s="69">
        <f>IF(J199=0,0,VLOOKUP(能力数值!J199,装备拆分数值生成!$AK$112:$AV$161,5,0))+IF(P199=0,0,VLOOKUP(能力数值!P199,装备拆分数值生成!$AK$112:$AV$161,5,0))+IF(R199=0,0,VLOOKUP(能力数值!R199,装备拆分数值生成!$AK$112:$AV$161,11,0))</f>
        <v>2801</v>
      </c>
      <c r="W199" s="69">
        <f>IF(H199=0,0,VLOOKUP(能力数值!H199,装备拆分数值生成!$AK$112:$AV$161,3,0))</f>
        <v>287</v>
      </c>
      <c r="X199" s="69">
        <f>IF(H199=0,0,VLOOKUP(能力数值!H199,装备拆分数值生成!$AK$112:$AV$161,4,0))</f>
        <v>287</v>
      </c>
      <c r="Y199" s="69">
        <f>IF(L199=0,0,VLOOKUP(能力数值!L199,装备拆分数值生成!$AK$112:$AV$161,6,0))+IF(N199=0,0,VLOOKUP(能力数值!N199,装备拆分数值生成!$AK$112:$AV$161,8,0))+IF(R199=0,0,VLOOKUP(能力数值!R199,装备拆分数值生成!$AK$112:$AV$161,12,0))</f>
        <v>600</v>
      </c>
      <c r="Z199" s="68"/>
      <c r="AA199" s="68"/>
      <c r="AB199" s="68"/>
      <c r="AC199" s="68"/>
      <c r="AD199" s="68">
        <f>VLOOKUP(D199,宠物成长生成表!$B$5:$J$103,3,0)*$AM$2*(VLOOKUP(E199,$AP$1:$AQ$6,2,0))</f>
        <v>2882.3599999999997</v>
      </c>
      <c r="AE199" s="68">
        <f>VLOOKUP(D199,宠物成长生成表!$B$5:$J$103,4,0)*$AM$3*(VLOOKUP(E199,$AP$1:$AQ$6,2,0))</f>
        <v>605.3599999999999</v>
      </c>
      <c r="AF199" s="68">
        <f>VLOOKUP(D199,宠物成长生成表!$B$5:$J$103,4,0)*$AM$4*(VLOOKUP(E199,$AP$1:$AQ$6,2,0))</f>
        <v>605.3599999999999</v>
      </c>
      <c r="AG199" s="68">
        <f>VLOOKUP(D199,宠物成长生成表!$B$5:$J$103,7,0)*$AM$5*(VLOOKUP(E199,$AP$1:$AQ$6,2,0))</f>
        <v>953.30399999999997</v>
      </c>
      <c r="AH199" s="68">
        <f>VLOOKUP(D199,宠物成长生成表!$B$5:$J$103,6,0)+VLOOKUP(E199,宠物升阶生成表!$B$6:$F$21,5,0)</f>
        <v>103</v>
      </c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9">
        <f t="shared" si="109"/>
        <v>5683.36</v>
      </c>
      <c r="AT199" s="69">
        <f t="shared" si="110"/>
        <v>892.3599999999999</v>
      </c>
      <c r="AU199" s="69">
        <f t="shared" si="111"/>
        <v>892.3599999999999</v>
      </c>
      <c r="AV199" s="71">
        <f t="shared" si="112"/>
        <v>1553.3040000000001</v>
      </c>
    </row>
    <row r="200" spans="2:48" ht="17.25" thickBot="1">
      <c r="B200" s="99"/>
      <c r="C200" s="72" t="s">
        <v>425</v>
      </c>
      <c r="D200" s="72">
        <v>5</v>
      </c>
      <c r="E200" s="93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69"/>
      <c r="W200" s="69"/>
      <c r="X200" s="69"/>
      <c r="Y200" s="69"/>
      <c r="Z200" s="72"/>
      <c r="AA200" s="72"/>
      <c r="AB200" s="72"/>
      <c r="AC200" s="72"/>
      <c r="AD200" s="72">
        <f>VLOOKUP(D200,宠物成长生成表!$B$5:$J$103,3,0)*$AL$2*(VLOOKUP(E200,$AP$1:$AQ$6,2,0))</f>
        <v>1228.99</v>
      </c>
      <c r="AE200" s="72">
        <f>VLOOKUP(D200,宠物成长生成表!$B$5:$J$103,4,0)*$AL$3*(VLOOKUP(E200,$AP$1:$AQ$6,2,0))</f>
        <v>384.48</v>
      </c>
      <c r="AF200" s="72">
        <f>VLOOKUP(D200,宠物成长生成表!$B$5:$J$103,4,0)*$AL$4*(VLOOKUP(E200,$AP$1:$AQ$6,2,0))</f>
        <v>496.79999999999995</v>
      </c>
      <c r="AG200" s="72">
        <f>VLOOKUP(D200,宠物成长生成表!$B$5:$J$103,7,0)*$AL$5*(VLOOKUP(E200,$AP$1:$AQ$6,2,0))</f>
        <v>313.12</v>
      </c>
      <c r="AH200" s="81">
        <f>VLOOKUP(D200,宠物成长生成表!$B$5:$J$103,6,0)</f>
        <v>59</v>
      </c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8"/>
    </row>
    <row r="201" spans="2:48">
      <c r="B201" s="97" t="s">
        <v>501</v>
      </c>
      <c r="C201" s="64" t="s">
        <v>428</v>
      </c>
      <c r="D201" s="64">
        <v>24</v>
      </c>
      <c r="E201" s="91">
        <v>3</v>
      </c>
      <c r="F201" s="64"/>
      <c r="G201" s="64"/>
      <c r="H201" s="89">
        <v>21</v>
      </c>
      <c r="I201" s="64"/>
      <c r="J201" s="64">
        <v>22</v>
      </c>
      <c r="K201" s="64"/>
      <c r="L201" s="64">
        <v>19</v>
      </c>
      <c r="M201" s="64"/>
      <c r="N201" s="64">
        <v>13</v>
      </c>
      <c r="O201" s="64"/>
      <c r="P201" s="64">
        <v>13</v>
      </c>
      <c r="Q201" s="64"/>
      <c r="R201" s="64">
        <v>14</v>
      </c>
      <c r="S201" s="64"/>
      <c r="T201" s="64"/>
      <c r="U201" s="64"/>
      <c r="V201" s="65">
        <f>IF(J201=0,0,VLOOKUP(能力数值!J201,装备拆分数值生成!$AK$58:$AV$107,5,0))+IF(P201=0,0,VLOOKUP(P201,装备拆分数值生成!$AK$58:$AV$107,9,0))+IF(R201=0,0,VLOOKUP(R201,装备拆分数值生成!$AK$58:$AV$107,11,0))</f>
        <v>1572</v>
      </c>
      <c r="W201" s="65">
        <f>IF(H201=0,0,VLOOKUP(H201,装备拆分数值生成!$AK$58:$AV$107,3,0))+IF(P201=0,0,VLOOKUP(P201,装备拆分数值生成!$AK$58:$AV$107,10,0))</f>
        <v>290</v>
      </c>
      <c r="X201" s="65">
        <f>IF(H201=0,0,VLOOKUP(H201,装备拆分数值生成!$AK$58:$AV$107,4,0))+IF(N201=0,0,VLOOKUP(N201,装备拆分数值生成!$AK$58:$AV$107,7,0))+IF(R201=0,0,VLOOKUP(R201,装备拆分数值生成!$AK$58:$AV$107,12,0))</f>
        <v>751</v>
      </c>
      <c r="Y201" s="65">
        <f>IF(L201=0,0,VLOOKUP(L201,装备拆分数值生成!$AK$58:$AV$107,6,0))+IF(N201=0,0,VLOOKUP(N201,装备拆分数值生成!$AK$58:$AV$107,8,0))</f>
        <v>323</v>
      </c>
      <c r="Z201" s="64"/>
      <c r="AA201" s="64"/>
      <c r="AB201" s="64"/>
      <c r="AC201" s="64"/>
      <c r="AD201" s="68">
        <f>VLOOKUP(D201,宠物成长生成表!$B$5:$J$103,3,0)*$AL$2*(VLOOKUP(E201,$AP$1:$AQ$6,2,0))</f>
        <v>2449.0559999999996</v>
      </c>
      <c r="AE201" s="68">
        <f>VLOOKUP(D201,宠物成长生成表!$B$5:$J$103,4,0)*$AL$3*(VLOOKUP(E201,$AP$1:$AQ$6,2,0))</f>
        <v>766.82399999999996</v>
      </c>
      <c r="AF201" s="68">
        <f>VLOOKUP(D201,宠物成长生成表!$B$5:$J$103,4,0)*$AL$4*(VLOOKUP(E201,$AP$1:$AQ$6,2,0))</f>
        <v>990.83999999999992</v>
      </c>
      <c r="AG201" s="68">
        <f>VLOOKUP(D201,宠物成长生成表!$B$5:$J$103,7,0)*$AL$5*(VLOOKUP(E201,$AP$1:$AQ$6,2,0))</f>
        <v>624.72</v>
      </c>
      <c r="AH201" s="64">
        <f>VLOOKUP(D201,宠物成长生成表!$B$5:$J$103,6,0)+VLOOKUP(E201,宠物升阶生成表!$B$6:$F$21,5,0)</f>
        <v>124</v>
      </c>
      <c r="AI201" s="64"/>
      <c r="AJ201" s="64"/>
      <c r="AK201" s="64"/>
      <c r="AL201" s="64"/>
      <c r="AM201" s="64"/>
      <c r="AN201" s="64"/>
      <c r="AO201" s="64"/>
      <c r="AP201" s="64"/>
      <c r="AQ201" s="64"/>
      <c r="AR201" s="64"/>
      <c r="AS201" s="65">
        <f t="shared" ref="AS201:AS204" si="113">V201+AD201</f>
        <v>4021.0559999999996</v>
      </c>
      <c r="AT201" s="65">
        <f t="shared" ref="AT201:AT204" si="114">W201+AE201</f>
        <v>1056.8240000000001</v>
      </c>
      <c r="AU201" s="65">
        <f t="shared" ref="AU201:AU204" si="115">X201+AF201</f>
        <v>1741.84</v>
      </c>
      <c r="AV201" s="67">
        <f t="shared" ref="AV201:AV204" si="116">Y201+AG201</f>
        <v>947.72</v>
      </c>
    </row>
    <row r="202" spans="2:48">
      <c r="B202" s="98"/>
      <c r="C202" s="68" t="s">
        <v>426</v>
      </c>
      <c r="D202" s="68">
        <v>25</v>
      </c>
      <c r="E202" s="92">
        <v>4</v>
      </c>
      <c r="F202" s="68"/>
      <c r="G202" s="68"/>
      <c r="H202" s="68">
        <v>20</v>
      </c>
      <c r="I202" s="68"/>
      <c r="J202" s="68">
        <v>14</v>
      </c>
      <c r="K202" s="68"/>
      <c r="L202" s="68">
        <v>17</v>
      </c>
      <c r="M202" s="68"/>
      <c r="N202" s="68">
        <v>11</v>
      </c>
      <c r="O202" s="68"/>
      <c r="P202" s="68">
        <v>11</v>
      </c>
      <c r="Q202" s="68"/>
      <c r="R202" s="68">
        <v>10</v>
      </c>
      <c r="S202" s="68"/>
      <c r="T202" s="68"/>
      <c r="U202" s="68"/>
      <c r="V202" s="69">
        <f>IF(J202=0,0,VLOOKUP(能力数值!J202,装备拆分数值生成!$AK$4:$AV$53,5,0))+IF(P202=0,0,VLOOKUP(能力数值!P202,装备拆分数值生成!$AK$4:$AV$53,9,0))+IF(R202=0,0,VLOOKUP(能力数值!R202,装备拆分数值生成!$AK$4:$AV$53,11,0))</f>
        <v>1129</v>
      </c>
      <c r="W202" s="69">
        <f>IF(H202=0,0,VLOOKUP(能力数值!H202,装备拆分数值生成!$AK$4:$AV$53,3,0))+IF(N202=0,0,VLOOKUP(能力数值!N202,装备拆分数值生成!$AK$4:$AV$53,7,0))+IF(R202=0,0,VLOOKUP(能力数值!R202,装备拆分数值生成!$AK$4:$AV$53,12,0))</f>
        <v>660</v>
      </c>
      <c r="X202" s="69">
        <f>IF(H202=0,0,VLOOKUP(能力数值!H202,装备拆分数值生成!$AK$4:$AV$53,4,0))+IF(P202=0,0,VLOOKUP(能力数值!P202,装备拆分数值生成!$AK$4:$AV$53,10,0))</f>
        <v>264</v>
      </c>
      <c r="Y202" s="69">
        <f>IF(L202=0,0,VLOOKUP(能力数值!L202,装备拆分数值生成!$AK$4:$AV$53,6,0))+IF(N202=0,0,VLOOKUP(能力数值!N202,装备拆分数值生成!$AK$4:$AV$53,8,0))</f>
        <v>290</v>
      </c>
      <c r="Z202" s="68"/>
      <c r="AA202" s="68"/>
      <c r="AB202" s="68"/>
      <c r="AC202" s="68"/>
      <c r="AD202" s="68">
        <f>VLOOKUP(D202,宠物成长生成表!$B$5:$J$103,3,0)*$AO$2*(VLOOKUP(E202,$AP$1:$AQ$6,2,0))</f>
        <v>2673.9019999999932</v>
      </c>
      <c r="AE202" s="68">
        <f>VLOOKUP(D202,宠物成长生成表!$B$5:$J$103,4,0)*(VLOOKUP(E202,$AP$1:$AQ$6,2,0))</f>
        <v>940.68333333333101</v>
      </c>
      <c r="AF202" s="68">
        <f>VLOOKUP(D202,宠物成长生成表!$B$5:$J$103,4,0)*$AO$4*(VLOOKUP(E202,$AP$1:$AQ$6,2,0))</f>
        <v>837.20816666666451</v>
      </c>
      <c r="AG202" s="68">
        <f>VLOOKUP(D202,宠物成长生成表!$B$5:$J$103,7,0)*$AO$5*(VLOOKUP(E202,$AP$1:$AQ$6,2,0))</f>
        <v>681.75799999999833</v>
      </c>
      <c r="AH202" s="68">
        <f>VLOOKUP(D202,宠物成长生成表!$B$5:$J$103,6,0)+VLOOKUP(E202,宠物升阶生成表!$B$6:$F$21,5,0)</f>
        <v>139</v>
      </c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9">
        <f t="shared" si="113"/>
        <v>3802.9019999999932</v>
      </c>
      <c r="AT202" s="69">
        <f t="shared" si="114"/>
        <v>1600.6833333333311</v>
      </c>
      <c r="AU202" s="69">
        <f t="shared" si="115"/>
        <v>1101.2081666666645</v>
      </c>
      <c r="AV202" s="71">
        <f t="shared" si="116"/>
        <v>971.75799999999833</v>
      </c>
    </row>
    <row r="203" spans="2:48">
      <c r="B203" s="98"/>
      <c r="C203" s="68" t="s">
        <v>394</v>
      </c>
      <c r="D203" s="68">
        <v>25</v>
      </c>
      <c r="E203" s="92">
        <v>4</v>
      </c>
      <c r="F203" s="68"/>
      <c r="G203" s="68"/>
      <c r="H203" s="68">
        <v>19</v>
      </c>
      <c r="I203" s="68"/>
      <c r="J203" s="68">
        <v>15</v>
      </c>
      <c r="K203" s="68"/>
      <c r="L203" s="68">
        <v>16</v>
      </c>
      <c r="M203" s="68"/>
      <c r="N203" s="68">
        <v>12</v>
      </c>
      <c r="O203" s="68"/>
      <c r="P203" s="68">
        <v>13</v>
      </c>
      <c r="Q203" s="68"/>
      <c r="R203" s="68">
        <v>12</v>
      </c>
      <c r="S203" s="68"/>
      <c r="T203" s="68"/>
      <c r="U203" s="68"/>
      <c r="V203" s="69">
        <f>IF(J203=0,0,VLOOKUP(能力数值!J203,装备拆分数值生成!$AK$165:$AV$214,5,0))+IF(P203=0,0,VLOOKUP(能力数值!P203,装备拆分数值生成!$AK$165:$AV$214,9,0))+IF(R203=0,0,VLOOKUP(能力数值!R203,装备拆分数值生成!$AK$165:$AV$214,11,0))</f>
        <v>1229</v>
      </c>
      <c r="W203" s="69">
        <f>IF(H203=0,0,VLOOKUP(能力数值!H203,装备拆分数值生成!$AK$165:$AV$214,3,0))</f>
        <v>328</v>
      </c>
      <c r="X203" s="69">
        <f>IF(H203=0,0,VLOOKUP(能力数值!H203,装备拆分数值生成!$AK$165:$AV$214,4,0))+IF(P203=0,0,VLOOKUP(能力数值!P203,装备拆分数值生成!$AK$165:$AV$214,10,0))</f>
        <v>407</v>
      </c>
      <c r="Y203" s="69">
        <f>IF(L203=0,0,VLOOKUP(能力数值!L203,装备拆分数值生成!$AK$165:$AV$214,6,0))+IF(N203=0,0,VLOOKUP(能力数值!N203,装备拆分数值生成!$AK$165:$AV$214,8,0))+IF(R203=0,0,VLOOKUP(能力数值!R203,装备拆分数值生成!$AK$165:$AV$214,12,0))</f>
        <v>368</v>
      </c>
      <c r="Z203" s="68"/>
      <c r="AA203" s="68"/>
      <c r="AB203" s="68"/>
      <c r="AC203" s="68"/>
      <c r="AD203" s="68">
        <f>VLOOKUP(D202,宠物成长生成表!$B$5:$J$103,3,0)*$AN$2*(VLOOKUP(E203,$AP$1:$AQ$6,2,0))</f>
        <v>3307.9199999999914</v>
      </c>
      <c r="AE203" s="68">
        <f>VLOOKUP(D202,宠物成长生成表!$B$5:$J$103,4,0)*$AN$3*(VLOOKUP(E203,$AP$1:$AQ$6,2,0))</f>
        <v>846.61499999999796</v>
      </c>
      <c r="AF203" s="68">
        <f>VLOOKUP(D202,宠物成长生成表!$B$5:$J$103,4,0)*$AN$4*(VLOOKUP(E203,$AP$1:$AQ$6,2,0))</f>
        <v>846.61499999999796</v>
      </c>
      <c r="AG203" s="68">
        <f>VLOOKUP(D202,宠物成长生成表!$B$5:$J$103,7,0)*$AN$5*(VLOOKUP(E203,$AP$1:$AQ$6,2,0))</f>
        <v>789.40399999999806</v>
      </c>
      <c r="AH203" s="68">
        <f>VLOOKUP(D203,宠物成长生成表!$B$5:$J$103,6,0)+VLOOKUP(E203,宠物升阶生成表!$B$6:$F$21,5,0)</f>
        <v>139</v>
      </c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9">
        <f t="shared" si="113"/>
        <v>4536.919999999991</v>
      </c>
      <c r="AT203" s="69">
        <f t="shared" si="114"/>
        <v>1174.614999999998</v>
      </c>
      <c r="AU203" s="69">
        <f t="shared" si="115"/>
        <v>1253.614999999998</v>
      </c>
      <c r="AV203" s="71">
        <f t="shared" si="116"/>
        <v>1157.4039999999982</v>
      </c>
    </row>
    <row r="204" spans="2:48">
      <c r="B204" s="98"/>
      <c r="C204" s="68" t="s">
        <v>427</v>
      </c>
      <c r="D204" s="68">
        <v>20</v>
      </c>
      <c r="E204" s="92">
        <v>2</v>
      </c>
      <c r="F204" s="68"/>
      <c r="G204" s="68"/>
      <c r="H204" s="68">
        <v>18</v>
      </c>
      <c r="I204" s="68"/>
      <c r="J204" s="68">
        <v>26</v>
      </c>
      <c r="K204" s="68"/>
      <c r="L204" s="88">
        <v>20</v>
      </c>
      <c r="M204" s="68"/>
      <c r="N204" s="68">
        <v>10</v>
      </c>
      <c r="O204" s="68"/>
      <c r="P204" s="68">
        <v>10</v>
      </c>
      <c r="Q204" s="68"/>
      <c r="R204" s="68">
        <v>10</v>
      </c>
      <c r="S204" s="68"/>
      <c r="T204" s="68"/>
      <c r="U204" s="68"/>
      <c r="V204" s="69">
        <f>IF(J204=0,0,VLOOKUP(能力数值!J204,装备拆分数值生成!$AK$112:$AV$161,5,0))+IF(P204=0,0,VLOOKUP(能力数值!P204,装备拆分数值生成!$AK$112:$AV$161,5,0))+IF(R204=0,0,VLOOKUP(能力数值!R204,装备拆分数值生成!$AK$112:$AV$161,11,0))</f>
        <v>2801</v>
      </c>
      <c r="W204" s="69">
        <f>IF(H204=0,0,VLOOKUP(能力数值!H204,装备拆分数值生成!$AK$112:$AV$161,3,0))</f>
        <v>287</v>
      </c>
      <c r="X204" s="69">
        <f>IF(H204=0,0,VLOOKUP(能力数值!H204,装备拆分数值生成!$AK$112:$AV$161,4,0))</f>
        <v>287</v>
      </c>
      <c r="Y204" s="69">
        <f>IF(L204=0,0,VLOOKUP(能力数值!L204,装备拆分数值生成!$AK$112:$AV$161,6,0))+IF(N204=0,0,VLOOKUP(能力数值!N204,装备拆分数值生成!$AK$112:$AV$161,8,0))+IF(R204=0,0,VLOOKUP(能力数值!R204,装备拆分数值生成!$AK$112:$AV$161,12,0))</f>
        <v>600</v>
      </c>
      <c r="Z204" s="68"/>
      <c r="AA204" s="68"/>
      <c r="AB204" s="68"/>
      <c r="AC204" s="68"/>
      <c r="AD204" s="68">
        <f>VLOOKUP(D204,宠物成长生成表!$B$5:$J$103,3,0)*$AM$2*(VLOOKUP(E204,$AP$1:$AQ$6,2,0))</f>
        <v>2882.3599999999997</v>
      </c>
      <c r="AE204" s="68">
        <f>VLOOKUP(D204,宠物成长生成表!$B$5:$J$103,4,0)*$AM$3*(VLOOKUP(E204,$AP$1:$AQ$6,2,0))</f>
        <v>605.3599999999999</v>
      </c>
      <c r="AF204" s="68">
        <f>VLOOKUP(D204,宠物成长生成表!$B$5:$J$103,4,0)*$AM$4*(VLOOKUP(E204,$AP$1:$AQ$6,2,0))</f>
        <v>605.3599999999999</v>
      </c>
      <c r="AG204" s="68">
        <f>VLOOKUP(D204,宠物成长生成表!$B$5:$J$103,7,0)*$AM$5*(VLOOKUP(E204,$AP$1:$AQ$6,2,0))</f>
        <v>953.30399999999997</v>
      </c>
      <c r="AH204" s="68">
        <f>VLOOKUP(D204,宠物成长生成表!$B$5:$J$103,6,0)+VLOOKUP(E204,宠物升阶生成表!$B$6:$F$21,5,0)</f>
        <v>103</v>
      </c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9">
        <f t="shared" si="113"/>
        <v>5683.36</v>
      </c>
      <c r="AT204" s="69">
        <f t="shared" si="114"/>
        <v>892.3599999999999</v>
      </c>
      <c r="AU204" s="69">
        <f t="shared" si="115"/>
        <v>892.3599999999999</v>
      </c>
      <c r="AV204" s="71">
        <f t="shared" si="116"/>
        <v>1553.3040000000001</v>
      </c>
    </row>
    <row r="205" spans="2:48" ht="17.25" thickBot="1">
      <c r="B205" s="99"/>
      <c r="C205" s="72" t="s">
        <v>425</v>
      </c>
      <c r="D205" s="72">
        <v>5</v>
      </c>
      <c r="E205" s="93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69"/>
      <c r="W205" s="69"/>
      <c r="X205" s="69"/>
      <c r="Y205" s="69"/>
      <c r="Z205" s="72"/>
      <c r="AA205" s="72"/>
      <c r="AB205" s="72"/>
      <c r="AC205" s="72"/>
      <c r="AD205" s="72">
        <f>VLOOKUP(D205,宠物成长生成表!$B$5:$J$103,3,0)*$AL$2*(VLOOKUP(E205,$AP$1:$AQ$6,2,0))</f>
        <v>1228.99</v>
      </c>
      <c r="AE205" s="72">
        <f>VLOOKUP(D205,宠物成长生成表!$B$5:$J$103,4,0)*$AL$3*(VLOOKUP(E205,$AP$1:$AQ$6,2,0))</f>
        <v>384.48</v>
      </c>
      <c r="AF205" s="72">
        <f>VLOOKUP(D205,宠物成长生成表!$B$5:$J$103,4,0)*$AL$4*(VLOOKUP(E205,$AP$1:$AQ$6,2,0))</f>
        <v>496.79999999999995</v>
      </c>
      <c r="AG205" s="72">
        <f>VLOOKUP(D205,宠物成长生成表!$B$5:$J$103,7,0)*$AL$5*(VLOOKUP(E205,$AP$1:$AQ$6,2,0))</f>
        <v>313.12</v>
      </c>
      <c r="AH205" s="81">
        <f>VLOOKUP(D205,宠物成长生成表!$B$5:$J$103,6,0)</f>
        <v>59</v>
      </c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8"/>
    </row>
    <row r="206" spans="2:48">
      <c r="B206" s="97" t="s">
        <v>502</v>
      </c>
      <c r="C206" s="64" t="s">
        <v>428</v>
      </c>
      <c r="D206" s="64">
        <v>24</v>
      </c>
      <c r="E206" s="91">
        <v>3</v>
      </c>
      <c r="F206" s="64"/>
      <c r="G206" s="64"/>
      <c r="H206" s="89">
        <v>21</v>
      </c>
      <c r="I206" s="64"/>
      <c r="J206" s="64">
        <v>22</v>
      </c>
      <c r="K206" s="64"/>
      <c r="L206" s="64">
        <v>19</v>
      </c>
      <c r="M206" s="64"/>
      <c r="N206" s="64">
        <v>13</v>
      </c>
      <c r="O206" s="64"/>
      <c r="P206" s="64">
        <v>13</v>
      </c>
      <c r="Q206" s="64"/>
      <c r="R206" s="64">
        <v>14</v>
      </c>
      <c r="S206" s="64"/>
      <c r="T206" s="64"/>
      <c r="U206" s="64"/>
      <c r="V206" s="65">
        <f>IF(J206=0,0,VLOOKUP(能力数值!J206,装备拆分数值生成!$AK$58:$AV$107,5,0))+IF(P206=0,0,VLOOKUP(P206,装备拆分数值生成!$AK$58:$AV$107,9,0))+IF(R206=0,0,VLOOKUP(R206,装备拆分数值生成!$AK$58:$AV$107,11,0))</f>
        <v>1572</v>
      </c>
      <c r="W206" s="65">
        <f>IF(H206=0,0,VLOOKUP(H206,装备拆分数值生成!$AK$58:$AV$107,3,0))+IF(P206=0,0,VLOOKUP(P206,装备拆分数值生成!$AK$58:$AV$107,10,0))</f>
        <v>290</v>
      </c>
      <c r="X206" s="65">
        <f>IF(H206=0,0,VLOOKUP(H206,装备拆分数值生成!$AK$58:$AV$107,4,0))+IF(N206=0,0,VLOOKUP(N206,装备拆分数值生成!$AK$58:$AV$107,7,0))+IF(R206=0,0,VLOOKUP(R206,装备拆分数值生成!$AK$58:$AV$107,12,0))</f>
        <v>751</v>
      </c>
      <c r="Y206" s="65">
        <f>IF(L206=0,0,VLOOKUP(L206,装备拆分数值生成!$AK$58:$AV$107,6,0))+IF(N206=0,0,VLOOKUP(N206,装备拆分数值生成!$AK$58:$AV$107,8,0))</f>
        <v>323</v>
      </c>
      <c r="Z206" s="64"/>
      <c r="AA206" s="64"/>
      <c r="AB206" s="64"/>
      <c r="AC206" s="64"/>
      <c r="AD206" s="68">
        <f>VLOOKUP(D206,宠物成长生成表!$B$5:$J$103,3,0)*$AL$2*(VLOOKUP(E206,$AP$1:$AQ$6,2,0))</f>
        <v>2449.0559999999996</v>
      </c>
      <c r="AE206" s="68">
        <f>VLOOKUP(D206,宠物成长生成表!$B$5:$J$103,4,0)*$AL$3*(VLOOKUP(E206,$AP$1:$AQ$6,2,0))</f>
        <v>766.82399999999996</v>
      </c>
      <c r="AF206" s="68">
        <f>VLOOKUP(D206,宠物成长生成表!$B$5:$J$103,4,0)*$AL$4*(VLOOKUP(E206,$AP$1:$AQ$6,2,0))</f>
        <v>990.83999999999992</v>
      </c>
      <c r="AG206" s="68">
        <f>VLOOKUP(D206,宠物成长生成表!$B$5:$J$103,7,0)*$AL$5*(VLOOKUP(E206,$AP$1:$AQ$6,2,0))</f>
        <v>624.72</v>
      </c>
      <c r="AH206" s="64">
        <f>VLOOKUP(D206,宠物成长生成表!$B$5:$J$103,6,0)+VLOOKUP(E206,宠物升阶生成表!$B$6:$F$21,5,0)</f>
        <v>124</v>
      </c>
      <c r="AI206" s="64"/>
      <c r="AJ206" s="64"/>
      <c r="AK206" s="64"/>
      <c r="AL206" s="64"/>
      <c r="AM206" s="64"/>
      <c r="AN206" s="64"/>
      <c r="AO206" s="64"/>
      <c r="AP206" s="64"/>
      <c r="AQ206" s="64"/>
      <c r="AR206" s="64"/>
      <c r="AS206" s="65">
        <f t="shared" ref="AS206:AS209" si="117">V206+AD206</f>
        <v>4021.0559999999996</v>
      </c>
      <c r="AT206" s="65">
        <f t="shared" ref="AT206:AT209" si="118">W206+AE206</f>
        <v>1056.8240000000001</v>
      </c>
      <c r="AU206" s="65">
        <f t="shared" ref="AU206:AU209" si="119">X206+AF206</f>
        <v>1741.84</v>
      </c>
      <c r="AV206" s="67">
        <f t="shared" ref="AV206:AV209" si="120">Y206+AG206</f>
        <v>947.72</v>
      </c>
    </row>
    <row r="207" spans="2:48">
      <c r="B207" s="98"/>
      <c r="C207" s="68" t="s">
        <v>426</v>
      </c>
      <c r="D207" s="68">
        <v>25</v>
      </c>
      <c r="E207" s="92">
        <v>4</v>
      </c>
      <c r="F207" s="68"/>
      <c r="G207" s="68"/>
      <c r="H207" s="68">
        <v>20</v>
      </c>
      <c r="I207" s="68"/>
      <c r="J207" s="68">
        <v>14</v>
      </c>
      <c r="K207" s="68"/>
      <c r="L207" s="68">
        <v>17</v>
      </c>
      <c r="M207" s="68"/>
      <c r="N207" s="68">
        <v>11</v>
      </c>
      <c r="O207" s="68"/>
      <c r="P207" s="68">
        <v>11</v>
      </c>
      <c r="Q207" s="68"/>
      <c r="R207" s="68">
        <v>10</v>
      </c>
      <c r="S207" s="68"/>
      <c r="T207" s="68"/>
      <c r="U207" s="68"/>
      <c r="V207" s="69">
        <f>IF(J207=0,0,VLOOKUP(能力数值!J207,装备拆分数值生成!$AK$4:$AV$53,5,0))+IF(P207=0,0,VLOOKUP(能力数值!P207,装备拆分数值生成!$AK$4:$AV$53,9,0))+IF(R207=0,0,VLOOKUP(能力数值!R207,装备拆分数值生成!$AK$4:$AV$53,11,0))</f>
        <v>1129</v>
      </c>
      <c r="W207" s="69">
        <f>IF(H207=0,0,VLOOKUP(能力数值!H207,装备拆分数值生成!$AK$4:$AV$53,3,0))+IF(N207=0,0,VLOOKUP(能力数值!N207,装备拆分数值生成!$AK$4:$AV$53,7,0))+IF(R207=0,0,VLOOKUP(能力数值!R207,装备拆分数值生成!$AK$4:$AV$53,12,0))</f>
        <v>660</v>
      </c>
      <c r="X207" s="69">
        <f>IF(H207=0,0,VLOOKUP(能力数值!H207,装备拆分数值生成!$AK$4:$AV$53,4,0))+IF(P207=0,0,VLOOKUP(能力数值!P207,装备拆分数值生成!$AK$4:$AV$53,10,0))</f>
        <v>264</v>
      </c>
      <c r="Y207" s="69">
        <f>IF(L207=0,0,VLOOKUP(能力数值!L207,装备拆分数值生成!$AK$4:$AV$53,6,0))+IF(N207=0,0,VLOOKUP(能力数值!N207,装备拆分数值生成!$AK$4:$AV$53,8,0))</f>
        <v>290</v>
      </c>
      <c r="Z207" s="68"/>
      <c r="AA207" s="68"/>
      <c r="AB207" s="68"/>
      <c r="AC207" s="68"/>
      <c r="AD207" s="68">
        <f>VLOOKUP(D207,宠物成长生成表!$B$5:$J$103,3,0)*$AO$2*(VLOOKUP(E207,$AP$1:$AQ$6,2,0))</f>
        <v>2673.9019999999932</v>
      </c>
      <c r="AE207" s="68">
        <f>VLOOKUP(D207,宠物成长生成表!$B$5:$J$103,4,0)*(VLOOKUP(E207,$AP$1:$AQ$6,2,0))</f>
        <v>940.68333333333101</v>
      </c>
      <c r="AF207" s="68">
        <f>VLOOKUP(D207,宠物成长生成表!$B$5:$J$103,4,0)*$AO$4*(VLOOKUP(E207,$AP$1:$AQ$6,2,0))</f>
        <v>837.20816666666451</v>
      </c>
      <c r="AG207" s="68">
        <f>VLOOKUP(D207,宠物成长生成表!$B$5:$J$103,7,0)*$AO$5*(VLOOKUP(E207,$AP$1:$AQ$6,2,0))</f>
        <v>681.75799999999833</v>
      </c>
      <c r="AH207" s="68">
        <f>VLOOKUP(D207,宠物成长生成表!$B$5:$J$103,6,0)+VLOOKUP(E207,宠物升阶生成表!$B$6:$F$21,5,0)</f>
        <v>139</v>
      </c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9">
        <f t="shared" si="117"/>
        <v>3802.9019999999932</v>
      </c>
      <c r="AT207" s="69">
        <f t="shared" si="118"/>
        <v>1600.6833333333311</v>
      </c>
      <c r="AU207" s="69">
        <f t="shared" si="119"/>
        <v>1101.2081666666645</v>
      </c>
      <c r="AV207" s="71">
        <f t="shared" si="120"/>
        <v>971.75799999999833</v>
      </c>
    </row>
    <row r="208" spans="2:48">
      <c r="B208" s="98"/>
      <c r="C208" s="68" t="s">
        <v>394</v>
      </c>
      <c r="D208" s="68">
        <v>25</v>
      </c>
      <c r="E208" s="92">
        <v>4</v>
      </c>
      <c r="F208" s="68"/>
      <c r="G208" s="68"/>
      <c r="H208" s="68">
        <v>19</v>
      </c>
      <c r="I208" s="68"/>
      <c r="J208" s="68">
        <v>15</v>
      </c>
      <c r="K208" s="68"/>
      <c r="L208" s="68">
        <v>16</v>
      </c>
      <c r="M208" s="68"/>
      <c r="N208" s="68">
        <v>12</v>
      </c>
      <c r="O208" s="68"/>
      <c r="P208" s="68">
        <v>13</v>
      </c>
      <c r="Q208" s="68"/>
      <c r="R208" s="68">
        <v>12</v>
      </c>
      <c r="S208" s="68"/>
      <c r="T208" s="68"/>
      <c r="U208" s="68"/>
      <c r="V208" s="69">
        <f>IF(J208=0,0,VLOOKUP(能力数值!J208,装备拆分数值生成!$AK$165:$AV$214,5,0))+IF(P208=0,0,VLOOKUP(能力数值!P208,装备拆分数值生成!$AK$165:$AV$214,9,0))+IF(R208=0,0,VLOOKUP(能力数值!R208,装备拆分数值生成!$AK$165:$AV$214,11,0))</f>
        <v>1229</v>
      </c>
      <c r="W208" s="69">
        <f>IF(H208=0,0,VLOOKUP(能力数值!H208,装备拆分数值生成!$AK$165:$AV$214,3,0))</f>
        <v>328</v>
      </c>
      <c r="X208" s="69">
        <f>IF(H208=0,0,VLOOKUP(能力数值!H208,装备拆分数值生成!$AK$165:$AV$214,4,0))+IF(P208=0,0,VLOOKUP(能力数值!P208,装备拆分数值生成!$AK$165:$AV$214,10,0))</f>
        <v>407</v>
      </c>
      <c r="Y208" s="69">
        <f>IF(L208=0,0,VLOOKUP(能力数值!L208,装备拆分数值生成!$AK$165:$AV$214,6,0))+IF(N208=0,0,VLOOKUP(能力数值!N208,装备拆分数值生成!$AK$165:$AV$214,8,0))+IF(R208=0,0,VLOOKUP(能力数值!R208,装备拆分数值生成!$AK$165:$AV$214,12,0))</f>
        <v>368</v>
      </c>
      <c r="Z208" s="68"/>
      <c r="AA208" s="68"/>
      <c r="AB208" s="68"/>
      <c r="AC208" s="68"/>
      <c r="AD208" s="68">
        <f>VLOOKUP(D207,宠物成长生成表!$B$5:$J$103,3,0)*$AN$2*(VLOOKUP(E208,$AP$1:$AQ$6,2,0))</f>
        <v>3307.9199999999914</v>
      </c>
      <c r="AE208" s="68">
        <f>VLOOKUP(D207,宠物成长生成表!$B$5:$J$103,4,0)*$AN$3*(VLOOKUP(E208,$AP$1:$AQ$6,2,0))</f>
        <v>846.61499999999796</v>
      </c>
      <c r="AF208" s="68">
        <f>VLOOKUP(D207,宠物成长生成表!$B$5:$J$103,4,0)*$AN$4*(VLOOKUP(E208,$AP$1:$AQ$6,2,0))</f>
        <v>846.61499999999796</v>
      </c>
      <c r="AG208" s="68">
        <f>VLOOKUP(D207,宠物成长生成表!$B$5:$J$103,7,0)*$AN$5*(VLOOKUP(E208,$AP$1:$AQ$6,2,0))</f>
        <v>789.40399999999806</v>
      </c>
      <c r="AH208" s="68">
        <f>VLOOKUP(D208,宠物成长生成表!$B$5:$J$103,6,0)+VLOOKUP(E208,宠物升阶生成表!$B$6:$F$21,5,0)</f>
        <v>139</v>
      </c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9">
        <f t="shared" si="117"/>
        <v>4536.919999999991</v>
      </c>
      <c r="AT208" s="69">
        <f t="shared" si="118"/>
        <v>1174.614999999998</v>
      </c>
      <c r="AU208" s="69">
        <f t="shared" si="119"/>
        <v>1253.614999999998</v>
      </c>
      <c r="AV208" s="71">
        <f t="shared" si="120"/>
        <v>1157.4039999999982</v>
      </c>
    </row>
    <row r="209" spans="2:48">
      <c r="B209" s="98"/>
      <c r="C209" s="68" t="s">
        <v>427</v>
      </c>
      <c r="D209" s="68">
        <v>20</v>
      </c>
      <c r="E209" s="92">
        <v>2</v>
      </c>
      <c r="F209" s="68"/>
      <c r="G209" s="68"/>
      <c r="H209" s="68">
        <v>18</v>
      </c>
      <c r="I209" s="68"/>
      <c r="J209" s="68">
        <v>26</v>
      </c>
      <c r="K209" s="68"/>
      <c r="L209" s="88">
        <v>20</v>
      </c>
      <c r="M209" s="68"/>
      <c r="N209" s="68">
        <v>10</v>
      </c>
      <c r="O209" s="68"/>
      <c r="P209" s="68">
        <v>10</v>
      </c>
      <c r="Q209" s="68"/>
      <c r="R209" s="68">
        <v>10</v>
      </c>
      <c r="S209" s="68"/>
      <c r="T209" s="68"/>
      <c r="U209" s="68"/>
      <c r="V209" s="69">
        <f>IF(J209=0,0,VLOOKUP(能力数值!J209,装备拆分数值生成!$AK$112:$AV$161,5,0))+IF(P209=0,0,VLOOKUP(能力数值!P209,装备拆分数值生成!$AK$112:$AV$161,5,0))+IF(R209=0,0,VLOOKUP(能力数值!R209,装备拆分数值生成!$AK$112:$AV$161,11,0))</f>
        <v>2801</v>
      </c>
      <c r="W209" s="69">
        <f>IF(H209=0,0,VLOOKUP(能力数值!H209,装备拆分数值生成!$AK$112:$AV$161,3,0))</f>
        <v>287</v>
      </c>
      <c r="X209" s="69">
        <f>IF(H209=0,0,VLOOKUP(能力数值!H209,装备拆分数值生成!$AK$112:$AV$161,4,0))</f>
        <v>287</v>
      </c>
      <c r="Y209" s="69">
        <f>IF(L209=0,0,VLOOKUP(能力数值!L209,装备拆分数值生成!$AK$112:$AV$161,6,0))+IF(N209=0,0,VLOOKUP(能力数值!N209,装备拆分数值生成!$AK$112:$AV$161,8,0))+IF(R209=0,0,VLOOKUP(能力数值!R209,装备拆分数值生成!$AK$112:$AV$161,12,0))</f>
        <v>600</v>
      </c>
      <c r="Z209" s="68"/>
      <c r="AA209" s="68"/>
      <c r="AB209" s="68"/>
      <c r="AC209" s="68"/>
      <c r="AD209" s="68">
        <f>VLOOKUP(D209,宠物成长生成表!$B$5:$J$103,3,0)*$AM$2*(VLOOKUP(E209,$AP$1:$AQ$6,2,0))</f>
        <v>2882.3599999999997</v>
      </c>
      <c r="AE209" s="68">
        <f>VLOOKUP(D209,宠物成长生成表!$B$5:$J$103,4,0)*$AM$3*(VLOOKUP(E209,$AP$1:$AQ$6,2,0))</f>
        <v>605.3599999999999</v>
      </c>
      <c r="AF209" s="68">
        <f>VLOOKUP(D209,宠物成长生成表!$B$5:$J$103,4,0)*$AM$4*(VLOOKUP(E209,$AP$1:$AQ$6,2,0))</f>
        <v>605.3599999999999</v>
      </c>
      <c r="AG209" s="68">
        <f>VLOOKUP(D209,宠物成长生成表!$B$5:$J$103,7,0)*$AM$5*(VLOOKUP(E209,$AP$1:$AQ$6,2,0))</f>
        <v>953.30399999999997</v>
      </c>
      <c r="AH209" s="68">
        <f>VLOOKUP(D209,宠物成长生成表!$B$5:$J$103,6,0)+VLOOKUP(E209,宠物升阶生成表!$B$6:$F$21,5,0)</f>
        <v>103</v>
      </c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9">
        <f t="shared" si="117"/>
        <v>5683.36</v>
      </c>
      <c r="AT209" s="69">
        <f t="shared" si="118"/>
        <v>892.3599999999999</v>
      </c>
      <c r="AU209" s="69">
        <f t="shared" si="119"/>
        <v>892.3599999999999</v>
      </c>
      <c r="AV209" s="71">
        <f t="shared" si="120"/>
        <v>1553.3040000000001</v>
      </c>
    </row>
    <row r="210" spans="2:48" ht="17.25" thickBot="1">
      <c r="B210" s="99"/>
      <c r="C210" s="72" t="s">
        <v>425</v>
      </c>
      <c r="D210" s="72">
        <v>5</v>
      </c>
      <c r="E210" s="93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69"/>
      <c r="W210" s="69"/>
      <c r="X210" s="69"/>
      <c r="Y210" s="69"/>
      <c r="Z210" s="72"/>
      <c r="AA210" s="72"/>
      <c r="AB210" s="72"/>
      <c r="AC210" s="72"/>
      <c r="AD210" s="72">
        <f>VLOOKUP(D210,宠物成长生成表!$B$5:$J$103,3,0)*$AL$2*(VLOOKUP(E210,$AP$1:$AQ$6,2,0))</f>
        <v>1228.99</v>
      </c>
      <c r="AE210" s="72">
        <f>VLOOKUP(D210,宠物成长生成表!$B$5:$J$103,4,0)*$AL$3*(VLOOKUP(E210,$AP$1:$AQ$6,2,0))</f>
        <v>384.48</v>
      </c>
      <c r="AF210" s="72">
        <f>VLOOKUP(D210,宠物成长生成表!$B$5:$J$103,4,0)*$AL$4*(VLOOKUP(E210,$AP$1:$AQ$6,2,0))</f>
        <v>496.79999999999995</v>
      </c>
      <c r="AG210" s="72">
        <f>VLOOKUP(D210,宠物成长生成表!$B$5:$J$103,7,0)*$AL$5*(VLOOKUP(E210,$AP$1:$AQ$6,2,0))</f>
        <v>313.12</v>
      </c>
      <c r="AH210" s="81">
        <f>VLOOKUP(D210,宠物成长生成表!$B$5:$J$103,6,0)</f>
        <v>59</v>
      </c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8"/>
    </row>
    <row r="211" spans="2:48">
      <c r="B211" s="97" t="s">
        <v>510</v>
      </c>
      <c r="C211" s="64" t="s">
        <v>428</v>
      </c>
      <c r="D211" s="64">
        <v>20</v>
      </c>
      <c r="E211" s="91">
        <v>3</v>
      </c>
      <c r="F211" s="64"/>
      <c r="G211" s="64"/>
      <c r="H211" s="89">
        <v>20</v>
      </c>
      <c r="I211" s="64"/>
      <c r="J211" s="64">
        <v>11</v>
      </c>
      <c r="K211" s="64"/>
      <c r="L211" s="64">
        <v>11</v>
      </c>
      <c r="M211" s="64"/>
      <c r="N211" s="64">
        <v>1</v>
      </c>
      <c r="O211" s="64"/>
      <c r="P211" s="64">
        <v>6</v>
      </c>
      <c r="Q211" s="64"/>
      <c r="R211" s="64">
        <v>5</v>
      </c>
      <c r="S211" s="64"/>
      <c r="T211" s="64"/>
      <c r="U211" s="64"/>
      <c r="V211" s="65">
        <f>IF(J211=0,0,VLOOKUP(能力数值!J211,装备拆分数值生成!$AK$58:$AV$107,5,0))+IF(P211=0,0,VLOOKUP(P211,装备拆分数值生成!$AK$58:$AV$107,9,0))+IF(R211=0,0,VLOOKUP(R211,装备拆分数值生成!$AK$58:$AV$107,11,0))</f>
        <v>899</v>
      </c>
      <c r="W211" s="65">
        <f>IF(H211=0,0,VLOOKUP(H211,装备拆分数值生成!$AK$58:$AV$107,3,0))+IF(P211=0,0,VLOOKUP(P211,装备拆分数值生成!$AK$58:$AV$107,10,0))</f>
        <v>255</v>
      </c>
      <c r="X211" s="65">
        <f>IF(H211=0,0,VLOOKUP(H211,装备拆分数值生成!$AK$58:$AV$107,4,0))+IF(N211=0,0,VLOOKUP(N211,装备拆分数值生成!$AK$58:$AV$107,7,0))+IF(R211=0,0,VLOOKUP(R211,装备拆分数值生成!$AK$58:$AV$107,12,0))</f>
        <v>595</v>
      </c>
      <c r="Y211" s="65">
        <f>IF(L211=0,0,VLOOKUP(L211,装备拆分数值生成!$AK$58:$AV$107,6,0))+IF(N211=0,0,VLOOKUP(N211,装备拆分数值生成!$AK$58:$AV$107,8,0))</f>
        <v>186</v>
      </c>
      <c r="Z211" s="64"/>
      <c r="AA211" s="64"/>
      <c r="AB211" s="64"/>
      <c r="AC211" s="64"/>
      <c r="AD211" s="68">
        <f>VLOOKUP(D211,宠物成长生成表!$B$5:$J$103,3,0)*$AL$2*(VLOOKUP(E211,$AP$1:$AQ$6,2,0))</f>
        <v>2244.1919999999996</v>
      </c>
      <c r="AE211" s="68">
        <f>VLOOKUP(D211,宠物成长生成表!$B$5:$J$103,4,0)*$AL$3*(VLOOKUP(E211,$AP$1:$AQ$6,2,0))</f>
        <v>702.74400000000003</v>
      </c>
      <c r="AF211" s="68">
        <f>VLOOKUP(D211,宠物成长生成表!$B$5:$J$103,4,0)*$AL$4*(VLOOKUP(E211,$AP$1:$AQ$6,2,0))</f>
        <v>908.03999999999985</v>
      </c>
      <c r="AG211" s="68">
        <f>VLOOKUP(D211,宠物成长生成表!$B$5:$J$103,7,0)*$AL$5*(VLOOKUP(E211,$AP$1:$AQ$6,2,0))</f>
        <v>572.73599999999999</v>
      </c>
      <c r="AH211" s="64">
        <f>VLOOKUP(D211,宠物成长生成表!$B$5:$J$103,6,0)+VLOOKUP(E211,宠物升阶生成表!$B$6:$F$21,5,0)</f>
        <v>116</v>
      </c>
      <c r="AI211" s="64"/>
      <c r="AJ211" s="64"/>
      <c r="AK211" s="64"/>
      <c r="AL211" s="64"/>
      <c r="AM211" s="64"/>
      <c r="AN211" s="64"/>
      <c r="AO211" s="64"/>
      <c r="AP211" s="64"/>
      <c r="AQ211" s="64"/>
      <c r="AR211" s="64"/>
      <c r="AS211" s="65">
        <f t="shared" ref="AS211:AS214" si="121">V211+AD211</f>
        <v>3143.1919999999996</v>
      </c>
      <c r="AT211" s="65">
        <f t="shared" ref="AT211:AT214" si="122">W211+AE211</f>
        <v>957.74400000000003</v>
      </c>
      <c r="AU211" s="65">
        <f t="shared" ref="AU211:AU214" si="123">X211+AF211</f>
        <v>1503.04</v>
      </c>
      <c r="AV211" s="67">
        <f t="shared" ref="AV211:AV214" si="124">Y211+AG211</f>
        <v>758.73599999999999</v>
      </c>
    </row>
    <row r="212" spans="2:48">
      <c r="B212" s="98"/>
      <c r="C212" s="68" t="s">
        <v>426</v>
      </c>
      <c r="D212" s="68">
        <v>20</v>
      </c>
      <c r="E212" s="92">
        <v>2</v>
      </c>
      <c r="F212" s="68"/>
      <c r="G212" s="68"/>
      <c r="H212" s="68">
        <v>18</v>
      </c>
      <c r="I212" s="68"/>
      <c r="J212" s="68">
        <v>12</v>
      </c>
      <c r="K212" s="68"/>
      <c r="L212" s="68">
        <v>8</v>
      </c>
      <c r="M212" s="68"/>
      <c r="N212" s="68">
        <v>2</v>
      </c>
      <c r="O212" s="68"/>
      <c r="P212" s="68">
        <v>11</v>
      </c>
      <c r="Q212" s="68"/>
      <c r="R212" s="68">
        <v>4</v>
      </c>
      <c r="S212" s="68"/>
      <c r="T212" s="68"/>
      <c r="U212" s="68"/>
      <c r="V212" s="69">
        <f>IF(J212=0,0,VLOOKUP(能力数值!J212,装备拆分数值生成!$AK$4:$AV$53,5,0))+IF(P212=0,0,VLOOKUP(能力数值!P212,装备拆分数值生成!$AK$4:$AV$53,9,0))+IF(R212=0,0,VLOOKUP(能力数值!R212,装备拆分数值生成!$AK$4:$AV$53,11,0))</f>
        <v>1029</v>
      </c>
      <c r="W212" s="69">
        <f>IF(H212=0,0,VLOOKUP(能力数值!H212,装备拆分数值生成!$AK$4:$AV$53,3,0))+IF(N212=0,0,VLOOKUP(能力数值!N212,装备拆分数值生成!$AK$4:$AV$53,7,0))+IF(R212=0,0,VLOOKUP(能力数值!R212,装备拆分数值生成!$AK$4:$AV$53,12,0))</f>
        <v>551</v>
      </c>
      <c r="X212" s="69">
        <f>IF(H212=0,0,VLOOKUP(能力数值!H212,装备拆分数值生成!$AK$4:$AV$53,4,0))+IF(P212=0,0,VLOOKUP(能力数值!P212,装备拆分数值生成!$AK$4:$AV$53,10,0))</f>
        <v>244</v>
      </c>
      <c r="Y212" s="69">
        <f>IF(L212=0,0,VLOOKUP(能力数值!L212,装备拆分数值生成!$AK$4:$AV$53,6,0))+IF(N212=0,0,VLOOKUP(能力数值!N212,装备拆分数值生成!$AK$4:$AV$53,8,0))</f>
        <v>170</v>
      </c>
      <c r="Z212" s="68"/>
      <c r="AA212" s="68"/>
      <c r="AB212" s="68"/>
      <c r="AC212" s="68"/>
      <c r="AD212" s="68">
        <f>VLOOKUP(D212,宠物成长生成表!$B$5:$J$103,3,0)*$AO$2*(VLOOKUP(E212,$AP$1:$AQ$6,2,0))</f>
        <v>2150.6839999999997</v>
      </c>
      <c r="AE212" s="68">
        <f>VLOOKUP(D212,宠物成长生成表!$B$5:$J$103,4,0)*(VLOOKUP(E212,$AP$1:$AQ$6,2,0))</f>
        <v>756.69999999999993</v>
      </c>
      <c r="AF212" s="68">
        <f>VLOOKUP(D212,宠物成长生成表!$B$5:$J$103,4,0)*$AO$4*(VLOOKUP(E212,$AP$1:$AQ$6,2,0))</f>
        <v>673.46299999999997</v>
      </c>
      <c r="AG212" s="68">
        <f>VLOOKUP(D212,宠物成长生成表!$B$5:$J$103,7,0)*$AO$5*(VLOOKUP(E212,$AP$1:$AQ$6,2,0))</f>
        <v>548.87199999999996</v>
      </c>
      <c r="AH212" s="68">
        <f>VLOOKUP(D212,宠物成长生成表!$B$5:$J$103,6,0)+VLOOKUP(E212,宠物升阶生成表!$B$6:$F$21,5,0)</f>
        <v>103</v>
      </c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9">
        <f t="shared" si="121"/>
        <v>3179.6839999999997</v>
      </c>
      <c r="AT212" s="69">
        <f t="shared" si="122"/>
        <v>1307.6999999999998</v>
      </c>
      <c r="AU212" s="69">
        <f t="shared" si="123"/>
        <v>917.46299999999997</v>
      </c>
      <c r="AV212" s="71">
        <f t="shared" si="124"/>
        <v>718.87199999999996</v>
      </c>
    </row>
    <row r="213" spans="2:48">
      <c r="B213" s="98"/>
      <c r="C213" s="68" t="s">
        <v>394</v>
      </c>
      <c r="D213" s="68">
        <v>15</v>
      </c>
      <c r="E213" s="92">
        <v>2</v>
      </c>
      <c r="F213" s="68"/>
      <c r="G213" s="68"/>
      <c r="H213" s="68">
        <v>16</v>
      </c>
      <c r="I213" s="68"/>
      <c r="J213" s="68">
        <v>9</v>
      </c>
      <c r="K213" s="68"/>
      <c r="L213" s="68">
        <v>10</v>
      </c>
      <c r="M213" s="68"/>
      <c r="N213" s="68">
        <v>3</v>
      </c>
      <c r="O213" s="68"/>
      <c r="P213" s="68">
        <v>6</v>
      </c>
      <c r="Q213" s="68"/>
      <c r="R213" s="68">
        <v>5</v>
      </c>
      <c r="S213" s="68"/>
      <c r="T213" s="68"/>
      <c r="U213" s="68"/>
      <c r="V213" s="69">
        <f>IF(J213=0,0,VLOOKUP(能力数值!J213,装备拆分数值生成!$AK$165:$AV$214,5,0))+IF(P213=0,0,VLOOKUP(能力数值!P213,装备拆分数值生成!$AK$165:$AV$214,9,0))+IF(R213=0,0,VLOOKUP(能力数值!R213,装备拆分数值生成!$AK$165:$AV$214,11,0))</f>
        <v>841</v>
      </c>
      <c r="W213" s="69">
        <f>IF(H213=0,0,VLOOKUP(能力数值!H213,装备拆分数值生成!$AK$165:$AV$214,3,0))</f>
        <v>284</v>
      </c>
      <c r="X213" s="69">
        <f>IF(H213=0,0,VLOOKUP(能力数值!H213,装备拆分数值生成!$AK$165:$AV$214,4,0))+IF(P213=0,0,VLOOKUP(能力数值!P213,装备拆分数值生成!$AK$165:$AV$214,10,0))</f>
        <v>337</v>
      </c>
      <c r="Y213" s="69">
        <f>IF(L213=0,0,VLOOKUP(能力数值!L213,装备拆分数值生成!$AK$165:$AV$214,6,0))+IF(N213=0,0,VLOOKUP(能力数值!N213,装备拆分数值生成!$AK$165:$AV$214,8,0))+IF(R213=0,0,VLOOKUP(能力数值!R213,装备拆分数值生成!$AK$165:$AV$214,12,0))</f>
        <v>242</v>
      </c>
      <c r="Z213" s="68"/>
      <c r="AA213" s="68"/>
      <c r="AB213" s="68"/>
      <c r="AC213" s="68"/>
      <c r="AD213" s="68">
        <f>VLOOKUP(D212,宠物成长生成表!$B$5:$J$103,3,0)*$AN$2*(VLOOKUP(E213,$AP$1:$AQ$6,2,0))</f>
        <v>2660.64</v>
      </c>
      <c r="AE213" s="68">
        <f>VLOOKUP(D212,宠物成长生成表!$B$5:$J$103,4,0)*$AN$3*(VLOOKUP(E213,$AP$1:$AQ$6,2,0))</f>
        <v>681.03</v>
      </c>
      <c r="AF213" s="68">
        <f>VLOOKUP(D212,宠物成长生成表!$B$5:$J$103,4,0)*$AN$4*(VLOOKUP(E213,$AP$1:$AQ$6,2,0))</f>
        <v>681.03</v>
      </c>
      <c r="AG213" s="68">
        <f>VLOOKUP(D212,宠物成长生成表!$B$5:$J$103,7,0)*$AN$5*(VLOOKUP(E213,$AP$1:$AQ$6,2,0))</f>
        <v>635.53599999999994</v>
      </c>
      <c r="AH213" s="68">
        <f>VLOOKUP(D213,宠物成长生成表!$B$5:$J$103,6,0)+VLOOKUP(E213,宠物升阶生成表!$B$6:$F$21,5,0)</f>
        <v>98</v>
      </c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9">
        <f t="shared" si="121"/>
        <v>3501.64</v>
      </c>
      <c r="AT213" s="69">
        <f t="shared" si="122"/>
        <v>965.03</v>
      </c>
      <c r="AU213" s="69">
        <f t="shared" si="123"/>
        <v>1018.03</v>
      </c>
      <c r="AV213" s="71">
        <f t="shared" si="124"/>
        <v>877.53599999999994</v>
      </c>
    </row>
    <row r="214" spans="2:48">
      <c r="B214" s="98"/>
      <c r="C214" s="68" t="s">
        <v>427</v>
      </c>
      <c r="D214" s="68">
        <v>13</v>
      </c>
      <c r="E214" s="92">
        <v>1</v>
      </c>
      <c r="F214" s="68"/>
      <c r="G214" s="68"/>
      <c r="H214" s="68">
        <v>14</v>
      </c>
      <c r="I214" s="68"/>
      <c r="J214" s="68">
        <v>12</v>
      </c>
      <c r="K214" s="68"/>
      <c r="L214" s="88">
        <v>17</v>
      </c>
      <c r="M214" s="68"/>
      <c r="N214" s="68">
        <v>3</v>
      </c>
      <c r="O214" s="68"/>
      <c r="P214" s="68">
        <v>4</v>
      </c>
      <c r="Q214" s="68"/>
      <c r="R214" s="68">
        <v>7</v>
      </c>
      <c r="S214" s="68"/>
      <c r="T214" s="68"/>
      <c r="U214" s="68"/>
      <c r="V214" s="69">
        <f>IF(J214=0,0,VLOOKUP(能力数值!J214,装备拆分数值生成!$AK$112:$AV$161,5,0))+IF(P214=0,0,VLOOKUP(能力数值!P214,装备拆分数值生成!$AK$112:$AV$161,5,0))+IF(R214=0,0,VLOOKUP(能力数值!R214,装备拆分数值生成!$AK$112:$AV$161,11,0))</f>
        <v>1511</v>
      </c>
      <c r="W214" s="69">
        <f>IF(H214=0,0,VLOOKUP(能力数值!H214,装备拆分数值生成!$AK$112:$AV$161,3,0))</f>
        <v>233</v>
      </c>
      <c r="X214" s="69">
        <f>IF(H214=0,0,VLOOKUP(能力数值!H214,装备拆分数值生成!$AK$112:$AV$161,4,0))</f>
        <v>233</v>
      </c>
      <c r="Y214" s="69">
        <f>IF(L214=0,0,VLOOKUP(能力数值!L214,装备拆分数值生成!$AK$112:$AV$161,6,0))+IF(N214=0,0,VLOOKUP(能力数值!N214,装备拆分数值生成!$AK$112:$AV$161,8,0))+IF(R214=0,0,VLOOKUP(能力数值!R214,装备拆分数值生成!$AK$112:$AV$161,12,0))</f>
        <v>491</v>
      </c>
      <c r="Z214" s="68"/>
      <c r="AA214" s="68"/>
      <c r="AB214" s="68"/>
      <c r="AC214" s="68"/>
      <c r="AD214" s="68">
        <f>VLOOKUP(D214,宠物成长生成表!$B$5:$J$103,3,0)*$AM$2*(VLOOKUP(E214,$AP$1:$AQ$6,2,0))</f>
        <v>2211.3000000000002</v>
      </c>
      <c r="AE214" s="68">
        <f>VLOOKUP(D214,宠物成长生成表!$B$5:$J$103,4,0)*$AM$3*(VLOOKUP(E214,$AP$1:$AQ$6,2,0))</f>
        <v>464.52000000000004</v>
      </c>
      <c r="AF214" s="68">
        <f>VLOOKUP(D214,宠物成长生成表!$B$5:$J$103,4,0)*$AM$4*(VLOOKUP(E214,$AP$1:$AQ$6,2,0))</f>
        <v>464.52000000000004</v>
      </c>
      <c r="AG214" s="68">
        <f>VLOOKUP(D214,宠物成长生成表!$B$5:$J$103,7,0)*$AM$5*(VLOOKUP(E214,$AP$1:$AQ$6,2,0))</f>
        <v>730.42200000000003</v>
      </c>
      <c r="AH214" s="68">
        <f>VLOOKUP(D214,宠物成长生成表!$B$5:$J$103,6,0)+VLOOKUP(E214,宠物升阶生成表!$B$6:$F$21,5,0)</f>
        <v>78</v>
      </c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9">
        <f t="shared" si="121"/>
        <v>3722.3</v>
      </c>
      <c r="AT214" s="69">
        <f t="shared" si="122"/>
        <v>697.52</v>
      </c>
      <c r="AU214" s="69">
        <f t="shared" si="123"/>
        <v>697.52</v>
      </c>
      <c r="AV214" s="71">
        <f t="shared" si="124"/>
        <v>1221.422</v>
      </c>
    </row>
    <row r="215" spans="2:48" ht="17.25" thickBot="1">
      <c r="B215" s="99"/>
      <c r="C215" s="72" t="s">
        <v>425</v>
      </c>
      <c r="D215" s="72">
        <v>5</v>
      </c>
      <c r="E215" s="93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69"/>
      <c r="W215" s="69"/>
      <c r="X215" s="69"/>
      <c r="Y215" s="69"/>
      <c r="Z215" s="72"/>
      <c r="AA215" s="72"/>
      <c r="AB215" s="72"/>
      <c r="AC215" s="72"/>
      <c r="AD215" s="72">
        <f>VLOOKUP(D215,宠物成长生成表!$B$5:$J$103,3,0)*$AL$2*(VLOOKUP(E215,$AP$1:$AQ$6,2,0))</f>
        <v>1228.99</v>
      </c>
      <c r="AE215" s="72">
        <f>VLOOKUP(D215,宠物成长生成表!$B$5:$J$103,4,0)*$AL$3*(VLOOKUP(E215,$AP$1:$AQ$6,2,0))</f>
        <v>384.48</v>
      </c>
      <c r="AF215" s="72">
        <f>VLOOKUP(D215,宠物成长生成表!$B$5:$J$103,4,0)*$AL$4*(VLOOKUP(E215,$AP$1:$AQ$6,2,0))</f>
        <v>496.79999999999995</v>
      </c>
      <c r="AG215" s="72">
        <f>VLOOKUP(D215,宠物成长生成表!$B$5:$J$103,7,0)*$AL$5*(VLOOKUP(E215,$AP$1:$AQ$6,2,0))</f>
        <v>313.12</v>
      </c>
      <c r="AH215" s="81">
        <f>VLOOKUP(D215,宠物成长生成表!$B$5:$J$103,6,0)</f>
        <v>59</v>
      </c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8"/>
    </row>
    <row r="216" spans="2:48">
      <c r="B216" s="97" t="s">
        <v>508</v>
      </c>
      <c r="C216" s="64" t="s">
        <v>428</v>
      </c>
      <c r="D216" s="64">
        <v>20</v>
      </c>
      <c r="E216" s="91">
        <v>3</v>
      </c>
      <c r="F216" s="64"/>
      <c r="G216" s="64"/>
      <c r="H216" s="89">
        <v>21</v>
      </c>
      <c r="I216" s="64"/>
      <c r="J216" s="64">
        <v>11</v>
      </c>
      <c r="K216" s="64"/>
      <c r="L216" s="64">
        <v>11</v>
      </c>
      <c r="M216" s="64"/>
      <c r="N216" s="64">
        <v>1</v>
      </c>
      <c r="O216" s="64"/>
      <c r="P216" s="64">
        <v>6</v>
      </c>
      <c r="Q216" s="64"/>
      <c r="R216" s="64">
        <v>5</v>
      </c>
      <c r="S216" s="64"/>
      <c r="T216" s="64"/>
      <c r="U216" s="64"/>
      <c r="V216" s="65">
        <f>IF(J216=0,0,VLOOKUP(能力数值!J216,装备拆分数值生成!$AK$58:$AV$107,5,0))+IF(P216=0,0,VLOOKUP(P216,装备拆分数值生成!$AK$58:$AV$107,9,0))+IF(R216=0,0,VLOOKUP(R216,装备拆分数值生成!$AK$58:$AV$107,11,0))</f>
        <v>899</v>
      </c>
      <c r="W216" s="65">
        <f>IF(H216=0,0,VLOOKUP(H216,装备拆分数值生成!$AK$58:$AV$107,3,0))+IF(P216=0,0,VLOOKUP(P216,装备拆分数值生成!$AK$58:$AV$107,10,0))</f>
        <v>277</v>
      </c>
      <c r="X216" s="65">
        <f>IF(H216=0,0,VLOOKUP(H216,装备拆分数值生成!$AK$58:$AV$107,4,0))+IF(N216=0,0,VLOOKUP(N216,装备拆分数值生成!$AK$58:$AV$107,7,0))+IF(R216=0,0,VLOOKUP(R216,装备拆分数值生成!$AK$58:$AV$107,12,0))</f>
        <v>640</v>
      </c>
      <c r="Y216" s="65">
        <f>IF(L216=0,0,VLOOKUP(L216,装备拆分数值生成!$AK$58:$AV$107,6,0))+IF(N216=0,0,VLOOKUP(N216,装备拆分数值生成!$AK$58:$AV$107,8,0))</f>
        <v>186</v>
      </c>
      <c r="Z216" s="64"/>
      <c r="AA216" s="64"/>
      <c r="AB216" s="64"/>
      <c r="AC216" s="64"/>
      <c r="AD216" s="68">
        <f>VLOOKUP(D216,宠物成长生成表!$B$5:$J$103,3,0)*$AL$2*(VLOOKUP(E216,$AP$1:$AQ$6,2,0))</f>
        <v>2244.1919999999996</v>
      </c>
      <c r="AE216" s="68">
        <f>VLOOKUP(D216,宠物成长生成表!$B$5:$J$103,4,0)*$AL$3*(VLOOKUP(E216,$AP$1:$AQ$6,2,0))</f>
        <v>702.74400000000003</v>
      </c>
      <c r="AF216" s="68">
        <f>VLOOKUP(D216,宠物成长生成表!$B$5:$J$103,4,0)*$AL$4*(VLOOKUP(E216,$AP$1:$AQ$6,2,0))</f>
        <v>908.03999999999985</v>
      </c>
      <c r="AG216" s="68">
        <f>VLOOKUP(D216,宠物成长生成表!$B$5:$J$103,7,0)*$AL$5*(VLOOKUP(E216,$AP$1:$AQ$6,2,0))</f>
        <v>572.73599999999999</v>
      </c>
      <c r="AH216" s="64">
        <f>VLOOKUP(D216,宠物成长生成表!$B$5:$J$103,6,0)+VLOOKUP(E216,宠物升阶生成表!$B$6:$F$21,5,0)</f>
        <v>116</v>
      </c>
      <c r="AI216" s="64"/>
      <c r="AJ216" s="64"/>
      <c r="AK216" s="64"/>
      <c r="AL216" s="64"/>
      <c r="AM216" s="64"/>
      <c r="AN216" s="64"/>
      <c r="AO216" s="64"/>
      <c r="AP216" s="64"/>
      <c r="AQ216" s="64"/>
      <c r="AR216" s="64"/>
      <c r="AS216" s="65">
        <f t="shared" ref="AS216:AS219" si="125">V216+AD216</f>
        <v>3143.1919999999996</v>
      </c>
      <c r="AT216" s="65">
        <f t="shared" ref="AT216:AT219" si="126">W216+AE216</f>
        <v>979.74400000000003</v>
      </c>
      <c r="AU216" s="65">
        <f t="shared" ref="AU216:AU219" si="127">X216+AF216</f>
        <v>1548.04</v>
      </c>
      <c r="AV216" s="67">
        <f t="shared" ref="AV216:AV219" si="128">Y216+AG216</f>
        <v>758.73599999999999</v>
      </c>
    </row>
    <row r="217" spans="2:48">
      <c r="B217" s="98"/>
      <c r="C217" s="68" t="s">
        <v>426</v>
      </c>
      <c r="D217" s="68">
        <v>20</v>
      </c>
      <c r="E217" s="92">
        <v>2</v>
      </c>
      <c r="F217" s="68"/>
      <c r="G217" s="68"/>
      <c r="H217" s="68">
        <v>18</v>
      </c>
      <c r="I217" s="68"/>
      <c r="J217" s="68">
        <v>12</v>
      </c>
      <c r="K217" s="68"/>
      <c r="L217" s="68">
        <v>8</v>
      </c>
      <c r="M217" s="68"/>
      <c r="N217" s="68">
        <v>2</v>
      </c>
      <c r="O217" s="68"/>
      <c r="P217" s="68">
        <v>11</v>
      </c>
      <c r="Q217" s="68"/>
      <c r="R217" s="68">
        <v>4</v>
      </c>
      <c r="S217" s="68"/>
      <c r="T217" s="68"/>
      <c r="U217" s="68"/>
      <c r="V217" s="69">
        <f>IF(J217=0,0,VLOOKUP(能力数值!J217,装备拆分数值生成!$AK$4:$AV$53,5,0))+IF(P217=0,0,VLOOKUP(能力数值!P217,装备拆分数值生成!$AK$4:$AV$53,9,0))+IF(R217=0,0,VLOOKUP(能力数值!R217,装备拆分数值生成!$AK$4:$AV$53,11,0))</f>
        <v>1029</v>
      </c>
      <c r="W217" s="69">
        <f>IF(H217=0,0,VLOOKUP(能力数值!H217,装备拆分数值生成!$AK$4:$AV$53,3,0))+IF(N217=0,0,VLOOKUP(能力数值!N217,装备拆分数值生成!$AK$4:$AV$53,7,0))+IF(R217=0,0,VLOOKUP(能力数值!R217,装备拆分数值生成!$AK$4:$AV$53,12,0))</f>
        <v>551</v>
      </c>
      <c r="X217" s="69">
        <f>IF(H217=0,0,VLOOKUP(能力数值!H217,装备拆分数值生成!$AK$4:$AV$53,4,0))+IF(P217=0,0,VLOOKUP(能力数值!P217,装备拆分数值生成!$AK$4:$AV$53,10,0))</f>
        <v>244</v>
      </c>
      <c r="Y217" s="69">
        <f>IF(L217=0,0,VLOOKUP(能力数值!L217,装备拆分数值生成!$AK$4:$AV$53,6,0))+IF(N217=0,0,VLOOKUP(能力数值!N217,装备拆分数值生成!$AK$4:$AV$53,8,0))</f>
        <v>170</v>
      </c>
      <c r="Z217" s="68"/>
      <c r="AA217" s="68"/>
      <c r="AB217" s="68"/>
      <c r="AC217" s="68"/>
      <c r="AD217" s="68">
        <f>VLOOKUP(D217,宠物成长生成表!$B$5:$J$103,3,0)*$AO$2*(VLOOKUP(E217,$AP$1:$AQ$6,2,0))</f>
        <v>2150.6839999999997</v>
      </c>
      <c r="AE217" s="68">
        <f>VLOOKUP(D217,宠物成长生成表!$B$5:$J$103,4,0)*(VLOOKUP(E217,$AP$1:$AQ$6,2,0))</f>
        <v>756.69999999999993</v>
      </c>
      <c r="AF217" s="68">
        <f>VLOOKUP(D217,宠物成长生成表!$B$5:$J$103,4,0)*$AO$4*(VLOOKUP(E217,$AP$1:$AQ$6,2,0))</f>
        <v>673.46299999999997</v>
      </c>
      <c r="AG217" s="68">
        <f>VLOOKUP(D217,宠物成长生成表!$B$5:$J$103,7,0)*$AO$5*(VLOOKUP(E217,$AP$1:$AQ$6,2,0))</f>
        <v>548.87199999999996</v>
      </c>
      <c r="AH217" s="68">
        <f>VLOOKUP(D217,宠物成长生成表!$B$5:$J$103,6,0)+VLOOKUP(E217,宠物升阶生成表!$B$6:$F$21,5,0)</f>
        <v>103</v>
      </c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9">
        <f t="shared" si="125"/>
        <v>3179.6839999999997</v>
      </c>
      <c r="AT217" s="69">
        <f t="shared" si="126"/>
        <v>1307.6999999999998</v>
      </c>
      <c r="AU217" s="69">
        <f t="shared" si="127"/>
        <v>917.46299999999997</v>
      </c>
      <c r="AV217" s="71">
        <f t="shared" si="128"/>
        <v>718.87199999999996</v>
      </c>
    </row>
    <row r="218" spans="2:48">
      <c r="B218" s="98"/>
      <c r="C218" s="68" t="s">
        <v>394</v>
      </c>
      <c r="D218" s="68">
        <v>17</v>
      </c>
      <c r="E218" s="92">
        <v>2</v>
      </c>
      <c r="F218" s="68"/>
      <c r="G218" s="68"/>
      <c r="H218" s="68">
        <v>16</v>
      </c>
      <c r="I218" s="68"/>
      <c r="J218" s="68">
        <v>9</v>
      </c>
      <c r="K218" s="68"/>
      <c r="L218" s="68">
        <v>10</v>
      </c>
      <c r="M218" s="68"/>
      <c r="N218" s="68">
        <v>3</v>
      </c>
      <c r="O218" s="68"/>
      <c r="P218" s="68">
        <v>6</v>
      </c>
      <c r="Q218" s="68"/>
      <c r="R218" s="68">
        <v>5</v>
      </c>
      <c r="S218" s="68"/>
      <c r="T218" s="68"/>
      <c r="U218" s="68"/>
      <c r="V218" s="69">
        <f>IF(J218=0,0,VLOOKUP(能力数值!J218,装备拆分数值生成!$AK$165:$AV$214,5,0))+IF(P218=0,0,VLOOKUP(能力数值!P218,装备拆分数值生成!$AK$165:$AV$214,9,0))+IF(R218=0,0,VLOOKUP(能力数值!R218,装备拆分数值生成!$AK$165:$AV$214,11,0))</f>
        <v>841</v>
      </c>
      <c r="W218" s="69">
        <f>IF(H218=0,0,VLOOKUP(能力数值!H218,装备拆分数值生成!$AK$165:$AV$214,3,0))</f>
        <v>284</v>
      </c>
      <c r="X218" s="69">
        <f>IF(H218=0,0,VLOOKUP(能力数值!H218,装备拆分数值生成!$AK$165:$AV$214,4,0))+IF(P218=0,0,VLOOKUP(能力数值!P218,装备拆分数值生成!$AK$165:$AV$214,10,0))</f>
        <v>337</v>
      </c>
      <c r="Y218" s="69">
        <f>IF(L218=0,0,VLOOKUP(能力数值!L218,装备拆分数值生成!$AK$165:$AV$214,6,0))+IF(N218=0,0,VLOOKUP(能力数值!N218,装备拆分数值生成!$AK$165:$AV$214,8,0))+IF(R218=0,0,VLOOKUP(能力数值!R218,装备拆分数值生成!$AK$165:$AV$214,12,0))</f>
        <v>242</v>
      </c>
      <c r="Z218" s="68"/>
      <c r="AA218" s="68"/>
      <c r="AB218" s="68"/>
      <c r="AC218" s="68"/>
      <c r="AD218" s="68">
        <f>VLOOKUP(D217,宠物成长生成表!$B$5:$J$103,3,0)*$AN$2*(VLOOKUP(E218,$AP$1:$AQ$6,2,0))</f>
        <v>2660.64</v>
      </c>
      <c r="AE218" s="68">
        <f>VLOOKUP(D217,宠物成长生成表!$B$5:$J$103,4,0)*$AN$3*(VLOOKUP(E218,$AP$1:$AQ$6,2,0))</f>
        <v>681.03</v>
      </c>
      <c r="AF218" s="68">
        <f>VLOOKUP(D217,宠物成长生成表!$B$5:$J$103,4,0)*$AN$4*(VLOOKUP(E218,$AP$1:$AQ$6,2,0))</f>
        <v>681.03</v>
      </c>
      <c r="AG218" s="68">
        <f>VLOOKUP(D217,宠物成长生成表!$B$5:$J$103,7,0)*$AN$5*(VLOOKUP(E218,$AP$1:$AQ$6,2,0))</f>
        <v>635.53599999999994</v>
      </c>
      <c r="AH218" s="68">
        <f>VLOOKUP(D218,宠物成长生成表!$B$5:$J$103,6,0)+VLOOKUP(E218,宠物升阶生成表!$B$6:$F$21,5,0)</f>
        <v>100</v>
      </c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9">
        <f t="shared" si="125"/>
        <v>3501.64</v>
      </c>
      <c r="AT218" s="69">
        <f t="shared" si="126"/>
        <v>965.03</v>
      </c>
      <c r="AU218" s="69">
        <f t="shared" si="127"/>
        <v>1018.03</v>
      </c>
      <c r="AV218" s="71">
        <f t="shared" si="128"/>
        <v>877.53599999999994</v>
      </c>
    </row>
    <row r="219" spans="2:48">
      <c r="B219" s="98"/>
      <c r="C219" s="68" t="s">
        <v>427</v>
      </c>
      <c r="D219" s="68">
        <v>15</v>
      </c>
      <c r="E219" s="92">
        <v>2</v>
      </c>
      <c r="F219" s="68"/>
      <c r="G219" s="68"/>
      <c r="H219" s="68">
        <v>16</v>
      </c>
      <c r="I219" s="68"/>
      <c r="J219" s="68">
        <v>12</v>
      </c>
      <c r="K219" s="68"/>
      <c r="L219" s="88">
        <v>20</v>
      </c>
      <c r="M219" s="68"/>
      <c r="N219" s="68">
        <v>3</v>
      </c>
      <c r="O219" s="68"/>
      <c r="P219" s="68">
        <v>4</v>
      </c>
      <c r="Q219" s="68"/>
      <c r="R219" s="68">
        <v>7</v>
      </c>
      <c r="S219" s="68"/>
      <c r="T219" s="68"/>
      <c r="U219" s="68"/>
      <c r="V219" s="69">
        <f>IF(J219=0,0,VLOOKUP(能力数值!J219,装备拆分数值生成!$AK$112:$AV$161,5,0))+IF(P219=0,0,VLOOKUP(能力数值!P219,装备拆分数值生成!$AK$112:$AV$161,5,0))+IF(R219=0,0,VLOOKUP(能力数值!R219,装备拆分数值生成!$AK$112:$AV$161,11,0))</f>
        <v>1511</v>
      </c>
      <c r="W219" s="69">
        <f>IF(H219=0,0,VLOOKUP(能力数值!H219,装备拆分数值生成!$AK$112:$AV$161,3,0))</f>
        <v>260</v>
      </c>
      <c r="X219" s="69">
        <f>IF(H219=0,0,VLOOKUP(能力数值!H219,装备拆分数值生成!$AK$112:$AV$161,4,0))</f>
        <v>260</v>
      </c>
      <c r="Y219" s="69">
        <f>IF(L219=0,0,VLOOKUP(能力数值!L219,装备拆分数值生成!$AK$112:$AV$161,6,0))+IF(N219=0,0,VLOOKUP(能力数值!N219,装备拆分数值生成!$AK$112:$AV$161,8,0))+IF(R219=0,0,VLOOKUP(能力数值!R219,装备拆分数值生成!$AK$112:$AV$161,12,0))</f>
        <v>533</v>
      </c>
      <c r="Z219" s="68"/>
      <c r="AA219" s="68"/>
      <c r="AB219" s="68"/>
      <c r="AC219" s="68"/>
      <c r="AD219" s="68">
        <f>VLOOKUP(D219,宠物成长生成表!$B$5:$J$103,3,0)*$AM$2*(VLOOKUP(E219,$AP$1:$AQ$6,2,0))</f>
        <v>2553.46</v>
      </c>
      <c r="AE219" s="68">
        <f>VLOOKUP(D219,宠物成长生成表!$B$5:$J$103,4,0)*$AM$3*(VLOOKUP(E219,$AP$1:$AQ$6,2,0))</f>
        <v>536.36</v>
      </c>
      <c r="AF219" s="68">
        <f>VLOOKUP(D219,宠物成长生成表!$B$5:$J$103,4,0)*$AM$4*(VLOOKUP(E219,$AP$1:$AQ$6,2,0))</f>
        <v>536.36</v>
      </c>
      <c r="AG219" s="68">
        <f>VLOOKUP(D219,宠物成长生成表!$B$5:$J$103,7,0)*$AM$5*(VLOOKUP(E219,$AP$1:$AQ$6,2,0))</f>
        <v>844.00800000000004</v>
      </c>
      <c r="AH219" s="68">
        <f>VLOOKUP(D219,宠物成长生成表!$B$5:$J$103,6,0)+VLOOKUP(E219,宠物升阶生成表!$B$6:$F$21,5,0)</f>
        <v>98</v>
      </c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9">
        <f t="shared" si="125"/>
        <v>4064.46</v>
      </c>
      <c r="AT219" s="69">
        <f t="shared" si="126"/>
        <v>796.36</v>
      </c>
      <c r="AU219" s="69">
        <f t="shared" si="127"/>
        <v>796.36</v>
      </c>
      <c r="AV219" s="71">
        <f t="shared" si="128"/>
        <v>1377.008</v>
      </c>
    </row>
    <row r="220" spans="2:48" ht="17.25" thickBot="1">
      <c r="B220" s="99"/>
      <c r="C220" s="72" t="s">
        <v>425</v>
      </c>
      <c r="D220" s="72">
        <v>5</v>
      </c>
      <c r="E220" s="93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69"/>
      <c r="W220" s="69"/>
      <c r="X220" s="69"/>
      <c r="Y220" s="69"/>
      <c r="Z220" s="72"/>
      <c r="AA220" s="72"/>
      <c r="AB220" s="72"/>
      <c r="AC220" s="72"/>
      <c r="AD220" s="72">
        <f>VLOOKUP(D220,宠物成长生成表!$B$5:$J$103,3,0)*$AL$2*(VLOOKUP(E220,$AP$1:$AQ$6,2,0))</f>
        <v>1228.99</v>
      </c>
      <c r="AE220" s="72">
        <f>VLOOKUP(D220,宠物成长生成表!$B$5:$J$103,4,0)*$AL$3*(VLOOKUP(E220,$AP$1:$AQ$6,2,0))</f>
        <v>384.48</v>
      </c>
      <c r="AF220" s="72">
        <f>VLOOKUP(D220,宠物成长生成表!$B$5:$J$103,4,0)*$AL$4*(VLOOKUP(E220,$AP$1:$AQ$6,2,0))</f>
        <v>496.79999999999995</v>
      </c>
      <c r="AG220" s="72">
        <f>VLOOKUP(D220,宠物成长生成表!$B$5:$J$103,7,0)*$AL$5*(VLOOKUP(E220,$AP$1:$AQ$6,2,0))</f>
        <v>313.12</v>
      </c>
      <c r="AH220" s="81">
        <f>VLOOKUP(D220,宠物成长生成表!$B$5:$J$103,6,0)</f>
        <v>59</v>
      </c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8"/>
    </row>
    <row r="221" spans="2:48">
      <c r="B221" s="97" t="s">
        <v>509</v>
      </c>
      <c r="C221" s="64" t="s">
        <v>428</v>
      </c>
      <c r="D221" s="64">
        <v>21</v>
      </c>
      <c r="E221" s="91">
        <v>3</v>
      </c>
      <c r="F221" s="64"/>
      <c r="G221" s="64"/>
      <c r="H221" s="89">
        <v>21</v>
      </c>
      <c r="I221" s="64"/>
      <c r="J221" s="64">
        <v>22</v>
      </c>
      <c r="K221" s="64"/>
      <c r="L221" s="64">
        <v>19</v>
      </c>
      <c r="M221" s="64"/>
      <c r="N221" s="64">
        <v>13</v>
      </c>
      <c r="O221" s="64"/>
      <c r="P221" s="64">
        <v>13</v>
      </c>
      <c r="Q221" s="64"/>
      <c r="R221" s="64">
        <v>14</v>
      </c>
      <c r="S221" s="64"/>
      <c r="T221" s="64"/>
      <c r="U221" s="64"/>
      <c r="V221" s="65">
        <f>IF(J221=0,0,VLOOKUP(能力数值!J221,装备拆分数值生成!$AK$58:$AV$107,5,0))+IF(P221=0,0,VLOOKUP(P221,装备拆分数值生成!$AK$58:$AV$107,9,0))+IF(R221=0,0,VLOOKUP(R221,装备拆分数值生成!$AK$58:$AV$107,11,0))</f>
        <v>1572</v>
      </c>
      <c r="W221" s="65">
        <f>IF(H221=0,0,VLOOKUP(H221,装备拆分数值生成!$AK$58:$AV$107,3,0))+IF(P221=0,0,VLOOKUP(P221,装备拆分数值生成!$AK$58:$AV$107,10,0))</f>
        <v>290</v>
      </c>
      <c r="X221" s="65">
        <f>IF(H221=0,0,VLOOKUP(H221,装备拆分数值生成!$AK$58:$AV$107,4,0))+IF(N221=0,0,VLOOKUP(N221,装备拆分数值生成!$AK$58:$AV$107,7,0))+IF(R221=0,0,VLOOKUP(R221,装备拆分数值生成!$AK$58:$AV$107,12,0))</f>
        <v>751</v>
      </c>
      <c r="Y221" s="65">
        <f>IF(L221=0,0,VLOOKUP(L221,装备拆分数值生成!$AK$58:$AV$107,6,0))+IF(N221=0,0,VLOOKUP(N221,装备拆分数值生成!$AK$58:$AV$107,8,0))</f>
        <v>323</v>
      </c>
      <c r="Z221" s="64"/>
      <c r="AA221" s="64"/>
      <c r="AB221" s="64"/>
      <c r="AC221" s="64"/>
      <c r="AD221" s="68">
        <f>VLOOKUP(D221,宠物成长生成表!$B$5:$J$103,3,0)*$AL$2*(VLOOKUP(E221,$AP$1:$AQ$6,2,0))</f>
        <v>2295.4079999999999</v>
      </c>
      <c r="AE221" s="68">
        <f>VLOOKUP(D221,宠物成长生成表!$B$5:$J$103,4,0)*$AL$3*(VLOOKUP(E221,$AP$1:$AQ$6,2,0))</f>
        <v>718.76400000000001</v>
      </c>
      <c r="AF221" s="68">
        <f>VLOOKUP(D221,宠物成长生成表!$B$5:$J$103,4,0)*$AL$4*(VLOOKUP(E221,$AP$1:$AQ$6,2,0))</f>
        <v>928.7399999999999</v>
      </c>
      <c r="AG221" s="68">
        <f>VLOOKUP(D221,宠物成长生成表!$B$5:$J$103,7,0)*$AL$5*(VLOOKUP(E221,$AP$1:$AQ$6,2,0))</f>
        <v>585.50400000000002</v>
      </c>
      <c r="AH221" s="64">
        <f>VLOOKUP(D221,宠物成长生成表!$B$5:$J$103,6,0)+VLOOKUP(E221,宠物升阶生成表!$B$6:$F$21,5,0)</f>
        <v>118</v>
      </c>
      <c r="AI221" s="64"/>
      <c r="AJ221" s="64"/>
      <c r="AK221" s="64"/>
      <c r="AL221" s="64"/>
      <c r="AM221" s="64"/>
      <c r="AN221" s="64"/>
      <c r="AO221" s="64"/>
      <c r="AP221" s="64"/>
      <c r="AQ221" s="64"/>
      <c r="AR221" s="64"/>
      <c r="AS221" s="65">
        <f t="shared" ref="AS221:AS224" si="129">V221+AD221</f>
        <v>3867.4079999999999</v>
      </c>
      <c r="AT221" s="65">
        <f t="shared" ref="AT221:AT224" si="130">W221+AE221</f>
        <v>1008.764</v>
      </c>
      <c r="AU221" s="65">
        <f t="shared" ref="AU221:AU224" si="131">X221+AF221</f>
        <v>1679.7399999999998</v>
      </c>
      <c r="AV221" s="67">
        <f t="shared" ref="AV221:AV224" si="132">Y221+AG221</f>
        <v>908.50400000000002</v>
      </c>
    </row>
    <row r="222" spans="2:48">
      <c r="B222" s="98"/>
      <c r="C222" s="68" t="s">
        <v>426</v>
      </c>
      <c r="D222" s="68">
        <v>22</v>
      </c>
      <c r="E222" s="92">
        <v>2</v>
      </c>
      <c r="F222" s="68"/>
      <c r="G222" s="68"/>
      <c r="H222" s="68">
        <v>20</v>
      </c>
      <c r="I222" s="68"/>
      <c r="J222" s="68">
        <v>14</v>
      </c>
      <c r="K222" s="68"/>
      <c r="L222" s="68">
        <v>17</v>
      </c>
      <c r="M222" s="68"/>
      <c r="N222" s="68">
        <v>11</v>
      </c>
      <c r="O222" s="68"/>
      <c r="P222" s="68">
        <v>11</v>
      </c>
      <c r="Q222" s="68"/>
      <c r="R222" s="68">
        <v>10</v>
      </c>
      <c r="S222" s="68"/>
      <c r="T222" s="68"/>
      <c r="U222" s="68"/>
      <c r="V222" s="69">
        <f>IF(J222=0,0,VLOOKUP(能力数值!J222,装备拆分数值生成!$AK$4:$AV$53,5,0))+IF(P222=0,0,VLOOKUP(能力数值!P222,装备拆分数值生成!$AK$4:$AV$53,9,0))+IF(R222=0,0,VLOOKUP(能力数值!R222,装备拆分数值生成!$AK$4:$AV$53,11,0))</f>
        <v>1129</v>
      </c>
      <c r="W222" s="69">
        <f>IF(H222=0,0,VLOOKUP(能力数值!H222,装备拆分数值生成!$AK$4:$AV$53,3,0))+IF(N222=0,0,VLOOKUP(能力数值!N222,装备拆分数值生成!$AK$4:$AV$53,7,0))+IF(R222=0,0,VLOOKUP(能力数值!R222,装备拆分数值生成!$AK$4:$AV$53,12,0))</f>
        <v>660</v>
      </c>
      <c r="X222" s="69">
        <f>IF(H222=0,0,VLOOKUP(能力数值!H222,装备拆分数值生成!$AK$4:$AV$53,4,0))+IF(P222=0,0,VLOOKUP(能力数值!P222,装备拆分数值生成!$AK$4:$AV$53,10,0))</f>
        <v>264</v>
      </c>
      <c r="Y222" s="69">
        <f>IF(L222=0,0,VLOOKUP(能力数值!L222,装备拆分数值生成!$AK$4:$AV$53,6,0))+IF(N222=0,0,VLOOKUP(能力数值!N222,装备拆分数值生成!$AK$4:$AV$53,8,0))</f>
        <v>290</v>
      </c>
      <c r="Z222" s="68"/>
      <c r="AA222" s="68"/>
      <c r="AB222" s="68"/>
      <c r="AC222" s="68"/>
      <c r="AD222" s="68">
        <f>VLOOKUP(D222,宠物成长生成表!$B$5:$J$103,3,0)*$AO$2*(VLOOKUP(E222,$AP$1:$AQ$6,2,0))</f>
        <v>2248.848</v>
      </c>
      <c r="AE222" s="68">
        <f>VLOOKUP(D222,宠物成长生成表!$B$5:$J$103,4,0)*(VLOOKUP(E222,$AP$1:$AQ$6,2,0))</f>
        <v>791.19999999999993</v>
      </c>
      <c r="AF222" s="68">
        <f>VLOOKUP(D222,宠物成长生成表!$B$5:$J$103,4,0)*$AO$4*(VLOOKUP(E222,$AP$1:$AQ$6,2,0))</f>
        <v>704.16800000000001</v>
      </c>
      <c r="AG222" s="68">
        <f>VLOOKUP(D222,宠物成长生成表!$B$5:$J$103,7,0)*$AO$5*(VLOOKUP(E222,$AP$1:$AQ$6,2,0))</f>
        <v>573.34399999999994</v>
      </c>
      <c r="AH222" s="68">
        <f>VLOOKUP(D222,宠物成长生成表!$B$5:$J$103,6,0)+VLOOKUP(E222,宠物升阶生成表!$B$6:$F$21,5,0)</f>
        <v>107</v>
      </c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9">
        <f t="shared" si="129"/>
        <v>3377.848</v>
      </c>
      <c r="AT222" s="69">
        <f t="shared" si="130"/>
        <v>1451.1999999999998</v>
      </c>
      <c r="AU222" s="69">
        <f t="shared" si="131"/>
        <v>968.16800000000001</v>
      </c>
      <c r="AV222" s="71">
        <f t="shared" si="132"/>
        <v>863.34399999999994</v>
      </c>
    </row>
    <row r="223" spans="2:48">
      <c r="B223" s="98"/>
      <c r="C223" s="68" t="s">
        <v>394</v>
      </c>
      <c r="D223" s="68">
        <v>20</v>
      </c>
      <c r="E223" s="92">
        <v>2</v>
      </c>
      <c r="F223" s="68"/>
      <c r="G223" s="68"/>
      <c r="H223" s="68">
        <v>16</v>
      </c>
      <c r="I223" s="68"/>
      <c r="J223" s="68">
        <v>15</v>
      </c>
      <c r="K223" s="68"/>
      <c r="L223" s="68">
        <v>16</v>
      </c>
      <c r="M223" s="68"/>
      <c r="N223" s="68">
        <v>12</v>
      </c>
      <c r="O223" s="68"/>
      <c r="P223" s="68">
        <v>13</v>
      </c>
      <c r="Q223" s="68"/>
      <c r="R223" s="68">
        <v>12</v>
      </c>
      <c r="S223" s="68"/>
      <c r="T223" s="68"/>
      <c r="U223" s="68"/>
      <c r="V223" s="69">
        <f>IF(J223=0,0,VLOOKUP(能力数值!J223,装备拆分数值生成!$AK$165:$AV$214,5,0))+IF(P223=0,0,VLOOKUP(能力数值!P223,装备拆分数值生成!$AK$165:$AV$214,9,0))+IF(R223=0,0,VLOOKUP(能力数值!R223,装备拆分数值生成!$AK$165:$AV$214,11,0))</f>
        <v>1229</v>
      </c>
      <c r="W223" s="69">
        <f>IF(H223=0,0,VLOOKUP(能力数值!H223,装备拆分数值生成!$AK$165:$AV$214,3,0))</f>
        <v>284</v>
      </c>
      <c r="X223" s="69">
        <f>IF(H223=0,0,VLOOKUP(能力数值!H223,装备拆分数值生成!$AK$165:$AV$214,4,0))+IF(P223=0,0,VLOOKUP(能力数值!P223,装备拆分数值生成!$AK$165:$AV$214,10,0))</f>
        <v>363</v>
      </c>
      <c r="Y223" s="69">
        <f>IF(L223=0,0,VLOOKUP(能力数值!L223,装备拆分数值生成!$AK$165:$AV$214,6,0))+IF(N223=0,0,VLOOKUP(能力数值!N223,装备拆分数值生成!$AK$165:$AV$214,8,0))+IF(R223=0,0,VLOOKUP(能力数值!R223,装备拆分数值生成!$AK$165:$AV$214,12,0))</f>
        <v>368</v>
      </c>
      <c r="Z223" s="68"/>
      <c r="AA223" s="68"/>
      <c r="AB223" s="68"/>
      <c r="AC223" s="68"/>
      <c r="AD223" s="68">
        <f>VLOOKUP(D222,宠物成长生成表!$B$5:$J$103,3,0)*$AN$2*(VLOOKUP(E223,$AP$1:$AQ$6,2,0))</f>
        <v>2782.0799999999995</v>
      </c>
      <c r="AE223" s="68">
        <f>VLOOKUP(D222,宠物成长生成表!$B$5:$J$103,4,0)*$AN$3*(VLOOKUP(E223,$AP$1:$AQ$6,2,0))</f>
        <v>712.08</v>
      </c>
      <c r="AF223" s="68">
        <f>VLOOKUP(D222,宠物成长生成表!$B$5:$J$103,4,0)*$AN$4*(VLOOKUP(E223,$AP$1:$AQ$6,2,0))</f>
        <v>712.08</v>
      </c>
      <c r="AG223" s="68">
        <f>VLOOKUP(D222,宠物成长生成表!$B$5:$J$103,7,0)*$AN$5*(VLOOKUP(E223,$AP$1:$AQ$6,2,0))</f>
        <v>663.87199999999996</v>
      </c>
      <c r="AH223" s="68">
        <f>VLOOKUP(D223,宠物成长生成表!$B$5:$J$103,6,0)+VLOOKUP(E223,宠物升阶生成表!$B$6:$F$21,5,0)</f>
        <v>103</v>
      </c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9">
        <f t="shared" si="129"/>
        <v>4011.0799999999995</v>
      </c>
      <c r="AT223" s="69">
        <f t="shared" si="130"/>
        <v>996.08</v>
      </c>
      <c r="AU223" s="69">
        <f t="shared" si="131"/>
        <v>1075.08</v>
      </c>
      <c r="AV223" s="71">
        <f t="shared" si="132"/>
        <v>1031.8719999999998</v>
      </c>
    </row>
    <row r="224" spans="2:48">
      <c r="B224" s="98"/>
      <c r="C224" s="68" t="s">
        <v>427</v>
      </c>
      <c r="D224" s="68">
        <v>15</v>
      </c>
      <c r="E224" s="92">
        <v>2</v>
      </c>
      <c r="F224" s="68"/>
      <c r="G224" s="68"/>
      <c r="H224" s="68">
        <v>18</v>
      </c>
      <c r="I224" s="68"/>
      <c r="J224" s="68">
        <v>26</v>
      </c>
      <c r="K224" s="68"/>
      <c r="L224" s="88">
        <v>20</v>
      </c>
      <c r="M224" s="68"/>
      <c r="N224" s="68">
        <v>10</v>
      </c>
      <c r="O224" s="68"/>
      <c r="P224" s="68">
        <v>10</v>
      </c>
      <c r="Q224" s="68"/>
      <c r="R224" s="68">
        <v>10</v>
      </c>
      <c r="S224" s="68"/>
      <c r="T224" s="68"/>
      <c r="U224" s="68"/>
      <c r="V224" s="69">
        <f>IF(J224=0,0,VLOOKUP(能力数值!J224,装备拆分数值生成!$AK$112:$AV$161,5,0))+IF(P224=0,0,VLOOKUP(能力数值!P224,装备拆分数值生成!$AK$112:$AV$161,5,0))+IF(R224=0,0,VLOOKUP(能力数值!R224,装备拆分数值生成!$AK$112:$AV$161,11,0))</f>
        <v>2801</v>
      </c>
      <c r="W224" s="69">
        <f>IF(H224=0,0,VLOOKUP(能力数值!H224,装备拆分数值生成!$AK$112:$AV$161,3,0))</f>
        <v>287</v>
      </c>
      <c r="X224" s="69">
        <f>IF(H224=0,0,VLOOKUP(能力数值!H224,装备拆分数值生成!$AK$112:$AV$161,4,0))</f>
        <v>287</v>
      </c>
      <c r="Y224" s="69">
        <f>IF(L224=0,0,VLOOKUP(能力数值!L224,装备拆分数值生成!$AK$112:$AV$161,6,0))+IF(N224=0,0,VLOOKUP(能力数值!N224,装备拆分数值生成!$AK$112:$AV$161,8,0))+IF(R224=0,0,VLOOKUP(能力数值!R224,装备拆分数值生成!$AK$112:$AV$161,12,0))</f>
        <v>600</v>
      </c>
      <c r="Z224" s="68"/>
      <c r="AA224" s="68"/>
      <c r="AB224" s="68"/>
      <c r="AC224" s="68"/>
      <c r="AD224" s="68">
        <f>VLOOKUP(D224,宠物成长生成表!$B$5:$J$103,3,0)*$AM$2*(VLOOKUP(E224,$AP$1:$AQ$6,2,0))</f>
        <v>2553.46</v>
      </c>
      <c r="AE224" s="68">
        <f>VLOOKUP(D224,宠物成长生成表!$B$5:$J$103,4,0)*$AM$3*(VLOOKUP(E224,$AP$1:$AQ$6,2,0))</f>
        <v>536.36</v>
      </c>
      <c r="AF224" s="68">
        <f>VLOOKUP(D224,宠物成长生成表!$B$5:$J$103,4,0)*$AM$4*(VLOOKUP(E224,$AP$1:$AQ$6,2,0))</f>
        <v>536.36</v>
      </c>
      <c r="AG224" s="68">
        <f>VLOOKUP(D224,宠物成长生成表!$B$5:$J$103,7,0)*$AM$5*(VLOOKUP(E224,$AP$1:$AQ$6,2,0))</f>
        <v>844.00800000000004</v>
      </c>
      <c r="AH224" s="68">
        <f>VLOOKUP(D224,宠物成长生成表!$B$5:$J$103,6,0)+VLOOKUP(E224,宠物升阶生成表!$B$6:$F$21,5,0)</f>
        <v>98</v>
      </c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9">
        <f t="shared" si="129"/>
        <v>5354.46</v>
      </c>
      <c r="AT224" s="69">
        <f t="shared" si="130"/>
        <v>823.36</v>
      </c>
      <c r="AU224" s="69">
        <f t="shared" si="131"/>
        <v>823.36</v>
      </c>
      <c r="AV224" s="71">
        <f t="shared" si="132"/>
        <v>1444.008</v>
      </c>
    </row>
    <row r="225" spans="2:48" ht="17.25" thickBot="1">
      <c r="B225" s="99"/>
      <c r="C225" s="72" t="s">
        <v>425</v>
      </c>
      <c r="D225" s="72">
        <v>5</v>
      </c>
      <c r="E225" s="93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69"/>
      <c r="W225" s="69"/>
      <c r="X225" s="69"/>
      <c r="Y225" s="69"/>
      <c r="Z225" s="72"/>
      <c r="AA225" s="72"/>
      <c r="AB225" s="72"/>
      <c r="AC225" s="72"/>
      <c r="AD225" s="72">
        <f>VLOOKUP(D225,宠物成长生成表!$B$5:$J$103,3,0)*$AL$2*(VLOOKUP(E225,$AP$1:$AQ$6,2,0))</f>
        <v>1228.99</v>
      </c>
      <c r="AE225" s="72">
        <f>VLOOKUP(D225,宠物成长生成表!$B$5:$J$103,4,0)*$AL$3*(VLOOKUP(E225,$AP$1:$AQ$6,2,0))</f>
        <v>384.48</v>
      </c>
      <c r="AF225" s="72">
        <f>VLOOKUP(D225,宠物成长生成表!$B$5:$J$103,4,0)*$AL$4*(VLOOKUP(E225,$AP$1:$AQ$6,2,0))</f>
        <v>496.79999999999995</v>
      </c>
      <c r="AG225" s="72">
        <f>VLOOKUP(D225,宠物成长生成表!$B$5:$J$103,7,0)*$AL$5*(VLOOKUP(E225,$AP$1:$AQ$6,2,0))</f>
        <v>313.12</v>
      </c>
      <c r="AH225" s="81">
        <f>VLOOKUP(D225,宠物成长生成表!$B$5:$J$103,6,0)</f>
        <v>59</v>
      </c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8"/>
    </row>
    <row r="226" spans="2:48">
      <c r="B226" s="97" t="s">
        <v>511</v>
      </c>
      <c r="C226" s="64" t="s">
        <v>428</v>
      </c>
      <c r="D226" s="64">
        <v>24</v>
      </c>
      <c r="E226" s="91">
        <v>3</v>
      </c>
      <c r="F226" s="64"/>
      <c r="G226" s="64"/>
      <c r="H226" s="89">
        <v>21</v>
      </c>
      <c r="I226" s="64"/>
      <c r="J226" s="64">
        <v>22</v>
      </c>
      <c r="K226" s="64"/>
      <c r="L226" s="64">
        <v>19</v>
      </c>
      <c r="M226" s="64"/>
      <c r="N226" s="64">
        <v>13</v>
      </c>
      <c r="O226" s="64"/>
      <c r="P226" s="64">
        <v>13</v>
      </c>
      <c r="Q226" s="64"/>
      <c r="R226" s="64">
        <v>14</v>
      </c>
      <c r="S226" s="64"/>
      <c r="T226" s="64"/>
      <c r="U226" s="64"/>
      <c r="V226" s="65">
        <f>IF(J226=0,0,VLOOKUP(能力数值!J226,装备拆分数值生成!$AK$58:$AV$107,5,0))+IF(P226=0,0,VLOOKUP(P226,装备拆分数值生成!$AK$58:$AV$107,9,0))+IF(R226=0,0,VLOOKUP(R226,装备拆分数值生成!$AK$58:$AV$107,11,0))</f>
        <v>1572</v>
      </c>
      <c r="W226" s="65">
        <f>IF(H226=0,0,VLOOKUP(H226,装备拆分数值生成!$AK$58:$AV$107,3,0))+IF(P226=0,0,VLOOKUP(P226,装备拆分数值生成!$AK$58:$AV$107,10,0))</f>
        <v>290</v>
      </c>
      <c r="X226" s="65">
        <f>IF(H226=0,0,VLOOKUP(H226,装备拆分数值生成!$AK$58:$AV$107,4,0))+IF(N226=0,0,VLOOKUP(N226,装备拆分数值生成!$AK$58:$AV$107,7,0))+IF(R226=0,0,VLOOKUP(R226,装备拆分数值生成!$AK$58:$AV$107,12,0))</f>
        <v>751</v>
      </c>
      <c r="Y226" s="65">
        <f>IF(L226=0,0,VLOOKUP(L226,装备拆分数值生成!$AK$58:$AV$107,6,0))+IF(N226=0,0,VLOOKUP(N226,装备拆分数值生成!$AK$58:$AV$107,8,0))</f>
        <v>323</v>
      </c>
      <c r="Z226" s="64"/>
      <c r="AA226" s="64"/>
      <c r="AB226" s="64"/>
      <c r="AC226" s="64"/>
      <c r="AD226" s="68">
        <f>VLOOKUP(D226,宠物成长生成表!$B$5:$J$103,3,0)*$AL$2*(VLOOKUP(E226,$AP$1:$AQ$6,2,0))</f>
        <v>2449.0559999999996</v>
      </c>
      <c r="AE226" s="68">
        <f>VLOOKUP(D226,宠物成长生成表!$B$5:$J$103,4,0)*$AL$3*(VLOOKUP(E226,$AP$1:$AQ$6,2,0))</f>
        <v>766.82399999999996</v>
      </c>
      <c r="AF226" s="68">
        <f>VLOOKUP(D226,宠物成长生成表!$B$5:$J$103,4,0)*$AL$4*(VLOOKUP(E226,$AP$1:$AQ$6,2,0))</f>
        <v>990.83999999999992</v>
      </c>
      <c r="AG226" s="68">
        <f>VLOOKUP(D226,宠物成长生成表!$B$5:$J$103,7,0)*$AL$5*(VLOOKUP(E226,$AP$1:$AQ$6,2,0))</f>
        <v>624.72</v>
      </c>
      <c r="AH226" s="64">
        <f>VLOOKUP(D226,宠物成长生成表!$B$5:$J$103,6,0)+VLOOKUP(E226,宠物升阶生成表!$B$6:$F$21,5,0)</f>
        <v>124</v>
      </c>
      <c r="AI226" s="64"/>
      <c r="AJ226" s="64"/>
      <c r="AK226" s="64"/>
      <c r="AL226" s="64"/>
      <c r="AM226" s="64"/>
      <c r="AN226" s="64"/>
      <c r="AO226" s="64"/>
      <c r="AP226" s="64"/>
      <c r="AQ226" s="64"/>
      <c r="AR226" s="64"/>
      <c r="AS226" s="65">
        <f t="shared" ref="AS226:AS229" si="133">V226+AD226</f>
        <v>4021.0559999999996</v>
      </c>
      <c r="AT226" s="65">
        <f t="shared" ref="AT226:AT229" si="134">W226+AE226</f>
        <v>1056.8240000000001</v>
      </c>
      <c r="AU226" s="65">
        <f t="shared" ref="AU226:AU229" si="135">X226+AF226</f>
        <v>1741.84</v>
      </c>
      <c r="AV226" s="67">
        <f t="shared" ref="AV226:AV229" si="136">Y226+AG226</f>
        <v>947.72</v>
      </c>
    </row>
    <row r="227" spans="2:48">
      <c r="B227" s="98"/>
      <c r="C227" s="68" t="s">
        <v>426</v>
      </c>
      <c r="D227" s="68">
        <v>21</v>
      </c>
      <c r="E227" s="92">
        <v>3</v>
      </c>
      <c r="F227" s="68"/>
      <c r="G227" s="68"/>
      <c r="H227" s="68">
        <v>20</v>
      </c>
      <c r="I227" s="68"/>
      <c r="J227" s="68">
        <v>14</v>
      </c>
      <c r="K227" s="68"/>
      <c r="L227" s="68">
        <v>17</v>
      </c>
      <c r="M227" s="68"/>
      <c r="N227" s="68">
        <v>11</v>
      </c>
      <c r="O227" s="68"/>
      <c r="P227" s="68">
        <v>11</v>
      </c>
      <c r="Q227" s="68"/>
      <c r="R227" s="68">
        <v>10</v>
      </c>
      <c r="S227" s="68"/>
      <c r="T227" s="68"/>
      <c r="U227" s="68"/>
      <c r="V227" s="69">
        <f>IF(J227=0,0,VLOOKUP(能力数值!J227,装备拆分数值生成!$AK$4:$AV$53,5,0))+IF(P227=0,0,VLOOKUP(能力数值!P227,装备拆分数值生成!$AK$4:$AV$53,9,0))+IF(R227=0,0,VLOOKUP(能力数值!R227,装备拆分数值生成!$AK$4:$AV$53,11,0))</f>
        <v>1129</v>
      </c>
      <c r="W227" s="69">
        <f>IF(H227=0,0,VLOOKUP(能力数值!H227,装备拆分数值生成!$AK$4:$AV$53,3,0))+IF(N227=0,0,VLOOKUP(能力数值!N227,装备拆分数值生成!$AK$4:$AV$53,7,0))+IF(R227=0,0,VLOOKUP(能力数值!R227,装备拆分数值生成!$AK$4:$AV$53,12,0))</f>
        <v>660</v>
      </c>
      <c r="X227" s="69">
        <f>IF(H227=0,0,VLOOKUP(能力数值!H227,装备拆分数值生成!$AK$4:$AV$53,4,0))+IF(P227=0,0,VLOOKUP(能力数值!P227,装备拆分数值生成!$AK$4:$AV$53,10,0))</f>
        <v>264</v>
      </c>
      <c r="Y227" s="69">
        <f>IF(L227=0,0,VLOOKUP(能力数值!L227,装备拆分数值生成!$AK$4:$AV$53,6,0))+IF(N227=0,0,VLOOKUP(能力数值!N227,装备拆分数值生成!$AK$4:$AV$53,8,0))</f>
        <v>290</v>
      </c>
      <c r="Z227" s="68"/>
      <c r="AA227" s="68"/>
      <c r="AB227" s="68"/>
      <c r="AC227" s="68"/>
      <c r="AD227" s="68">
        <f>VLOOKUP(D227,宠物成长生成表!$B$5:$J$103,3,0)*$AO$2*(VLOOKUP(E227,$AP$1:$AQ$6,2,0))</f>
        <v>2295.4079999999999</v>
      </c>
      <c r="AE227" s="68">
        <f>VLOOKUP(D227,宠物成长生成表!$B$5:$J$103,4,0)*(VLOOKUP(E227,$AP$1:$AQ$6,2,0))</f>
        <v>807.6</v>
      </c>
      <c r="AF227" s="68">
        <f>VLOOKUP(D227,宠物成长生成表!$B$5:$J$103,4,0)*$AO$4*(VLOOKUP(E227,$AP$1:$AQ$6,2,0))</f>
        <v>718.76400000000001</v>
      </c>
      <c r="AG227" s="68">
        <f>VLOOKUP(D227,宠物成长生成表!$B$5:$J$103,7,0)*$AO$5*(VLOOKUP(E227,$AP$1:$AQ$6,2,0))</f>
        <v>585.50400000000002</v>
      </c>
      <c r="AH227" s="68">
        <f>VLOOKUP(D227,宠物成长生成表!$B$5:$J$103,6,0)+VLOOKUP(E227,宠物升阶生成表!$B$6:$F$21,5,0)</f>
        <v>118</v>
      </c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9">
        <f t="shared" si="133"/>
        <v>3424.4079999999999</v>
      </c>
      <c r="AT227" s="69">
        <f t="shared" si="134"/>
        <v>1467.6</v>
      </c>
      <c r="AU227" s="69">
        <f t="shared" si="135"/>
        <v>982.76400000000001</v>
      </c>
      <c r="AV227" s="71">
        <f t="shared" si="136"/>
        <v>875.50400000000002</v>
      </c>
    </row>
    <row r="228" spans="2:48">
      <c r="B228" s="98"/>
      <c r="C228" s="68" t="s">
        <v>394</v>
      </c>
      <c r="D228" s="68">
        <v>22</v>
      </c>
      <c r="E228" s="92">
        <v>3</v>
      </c>
      <c r="F228" s="68"/>
      <c r="G228" s="68"/>
      <c r="H228" s="68">
        <v>16</v>
      </c>
      <c r="I228" s="68"/>
      <c r="J228" s="68">
        <v>15</v>
      </c>
      <c r="K228" s="68"/>
      <c r="L228" s="68">
        <v>16</v>
      </c>
      <c r="M228" s="68"/>
      <c r="N228" s="68">
        <v>12</v>
      </c>
      <c r="O228" s="68"/>
      <c r="P228" s="68">
        <v>13</v>
      </c>
      <c r="Q228" s="68"/>
      <c r="R228" s="68">
        <v>12</v>
      </c>
      <c r="S228" s="68"/>
      <c r="T228" s="68"/>
      <c r="U228" s="68"/>
      <c r="V228" s="69">
        <f>IF(J228=0,0,VLOOKUP(能力数值!J228,装备拆分数值生成!$AK$165:$AV$214,5,0))+IF(P228=0,0,VLOOKUP(能力数值!P228,装备拆分数值生成!$AK$165:$AV$214,9,0))+IF(R228=0,0,VLOOKUP(能力数值!R228,装备拆分数值生成!$AK$165:$AV$214,11,0))</f>
        <v>1229</v>
      </c>
      <c r="W228" s="69">
        <f>IF(H228=0,0,VLOOKUP(能力数值!H228,装备拆分数值生成!$AK$165:$AV$214,3,0))</f>
        <v>284</v>
      </c>
      <c r="X228" s="69">
        <f>IF(H228=0,0,VLOOKUP(能力数值!H228,装备拆分数值生成!$AK$165:$AV$214,4,0))+IF(P228=0,0,VLOOKUP(能力数值!P228,装备拆分数值生成!$AK$165:$AV$214,10,0))</f>
        <v>363</v>
      </c>
      <c r="Y228" s="69">
        <f>IF(L228=0,0,VLOOKUP(能力数值!L228,装备拆分数值生成!$AK$165:$AV$214,6,0))+IF(N228=0,0,VLOOKUP(能力数值!N228,装备拆分数值生成!$AK$165:$AV$214,8,0))+IF(R228=0,0,VLOOKUP(能力数值!R228,装备拆分数值生成!$AK$165:$AV$214,12,0))</f>
        <v>368</v>
      </c>
      <c r="Z228" s="68"/>
      <c r="AA228" s="68"/>
      <c r="AB228" s="68"/>
      <c r="AC228" s="68"/>
      <c r="AD228" s="68">
        <f>VLOOKUP(D227,宠物成长生成表!$B$5:$J$103,3,0)*$AN$2*(VLOOKUP(E228,$AP$1:$AQ$6,2,0))</f>
        <v>2839.68</v>
      </c>
      <c r="AE228" s="68">
        <f>VLOOKUP(D227,宠物成长生成表!$B$5:$J$103,4,0)*$AN$3*(VLOOKUP(E228,$AP$1:$AQ$6,2,0))</f>
        <v>726.84</v>
      </c>
      <c r="AF228" s="68">
        <f>VLOOKUP(D227,宠物成长生成表!$B$5:$J$103,4,0)*$AN$4*(VLOOKUP(E228,$AP$1:$AQ$6,2,0))</f>
        <v>726.84</v>
      </c>
      <c r="AG228" s="68">
        <f>VLOOKUP(D227,宠物成长生成表!$B$5:$J$103,7,0)*$AN$5*(VLOOKUP(E228,$AP$1:$AQ$6,2,0))</f>
        <v>677.952</v>
      </c>
      <c r="AH228" s="68">
        <f>VLOOKUP(D228,宠物成长生成表!$B$5:$J$103,6,0)+VLOOKUP(E228,宠物升阶生成表!$B$6:$F$21,5,0)</f>
        <v>120</v>
      </c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9">
        <f t="shared" si="133"/>
        <v>4068.68</v>
      </c>
      <c r="AT228" s="69">
        <f t="shared" si="134"/>
        <v>1010.84</v>
      </c>
      <c r="AU228" s="69">
        <f t="shared" si="135"/>
        <v>1089.8400000000001</v>
      </c>
      <c r="AV228" s="71">
        <f t="shared" si="136"/>
        <v>1045.952</v>
      </c>
    </row>
    <row r="229" spans="2:48">
      <c r="B229" s="98"/>
      <c r="C229" s="68" t="s">
        <v>427</v>
      </c>
      <c r="D229" s="68">
        <v>20</v>
      </c>
      <c r="E229" s="92">
        <v>2</v>
      </c>
      <c r="F229" s="68"/>
      <c r="G229" s="68"/>
      <c r="H229" s="68">
        <v>18</v>
      </c>
      <c r="I229" s="68"/>
      <c r="J229" s="68">
        <v>26</v>
      </c>
      <c r="K229" s="68"/>
      <c r="L229" s="88">
        <v>20</v>
      </c>
      <c r="M229" s="68"/>
      <c r="N229" s="68">
        <v>10</v>
      </c>
      <c r="O229" s="68"/>
      <c r="P229" s="68">
        <v>10</v>
      </c>
      <c r="Q229" s="68"/>
      <c r="R229" s="68">
        <v>10</v>
      </c>
      <c r="S229" s="68"/>
      <c r="T229" s="68"/>
      <c r="U229" s="68"/>
      <c r="V229" s="69">
        <f>IF(J229=0,0,VLOOKUP(能力数值!J229,装备拆分数值生成!$AK$112:$AV$161,5,0))+IF(P229=0,0,VLOOKUP(能力数值!P229,装备拆分数值生成!$AK$112:$AV$161,5,0))+IF(R229=0,0,VLOOKUP(能力数值!R229,装备拆分数值生成!$AK$112:$AV$161,11,0))</f>
        <v>2801</v>
      </c>
      <c r="W229" s="69">
        <f>IF(H229=0,0,VLOOKUP(能力数值!H229,装备拆分数值生成!$AK$112:$AV$161,3,0))</f>
        <v>287</v>
      </c>
      <c r="X229" s="69">
        <f>IF(H229=0,0,VLOOKUP(能力数值!H229,装备拆分数值生成!$AK$112:$AV$161,4,0))</f>
        <v>287</v>
      </c>
      <c r="Y229" s="69">
        <f>IF(L229=0,0,VLOOKUP(能力数值!L229,装备拆分数值生成!$AK$112:$AV$161,6,0))+IF(N229=0,0,VLOOKUP(能力数值!N229,装备拆分数值生成!$AK$112:$AV$161,8,0))+IF(R229=0,0,VLOOKUP(能力数值!R229,装备拆分数值生成!$AK$112:$AV$161,12,0))</f>
        <v>600</v>
      </c>
      <c r="Z229" s="68"/>
      <c r="AA229" s="68"/>
      <c r="AB229" s="68"/>
      <c r="AC229" s="68"/>
      <c r="AD229" s="68">
        <f>VLOOKUP(D229,宠物成长生成表!$B$5:$J$103,3,0)*$AM$2*(VLOOKUP(E229,$AP$1:$AQ$6,2,0))</f>
        <v>2882.3599999999997</v>
      </c>
      <c r="AE229" s="68">
        <f>VLOOKUP(D229,宠物成长生成表!$B$5:$J$103,4,0)*$AM$3*(VLOOKUP(E229,$AP$1:$AQ$6,2,0))</f>
        <v>605.3599999999999</v>
      </c>
      <c r="AF229" s="68">
        <f>VLOOKUP(D229,宠物成长生成表!$B$5:$J$103,4,0)*$AM$4*(VLOOKUP(E229,$AP$1:$AQ$6,2,0))</f>
        <v>605.3599999999999</v>
      </c>
      <c r="AG229" s="68">
        <f>VLOOKUP(D229,宠物成长生成表!$B$5:$J$103,7,0)*$AM$5*(VLOOKUP(E229,$AP$1:$AQ$6,2,0))</f>
        <v>953.30399999999997</v>
      </c>
      <c r="AH229" s="68">
        <f>VLOOKUP(D229,宠物成长生成表!$B$5:$J$103,6,0)+VLOOKUP(E229,宠物升阶生成表!$B$6:$F$21,5,0)</f>
        <v>103</v>
      </c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9">
        <f t="shared" si="133"/>
        <v>5683.36</v>
      </c>
      <c r="AT229" s="69">
        <f t="shared" si="134"/>
        <v>892.3599999999999</v>
      </c>
      <c r="AU229" s="69">
        <f t="shared" si="135"/>
        <v>892.3599999999999</v>
      </c>
      <c r="AV229" s="71">
        <f t="shared" si="136"/>
        <v>1553.3040000000001</v>
      </c>
    </row>
    <row r="230" spans="2:48" ht="17.25" thickBot="1">
      <c r="B230" s="99"/>
      <c r="C230" s="72" t="s">
        <v>425</v>
      </c>
      <c r="D230" s="72">
        <v>5</v>
      </c>
      <c r="E230" s="93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69"/>
      <c r="W230" s="69"/>
      <c r="X230" s="69"/>
      <c r="Y230" s="69"/>
      <c r="Z230" s="72"/>
      <c r="AA230" s="72"/>
      <c r="AB230" s="72"/>
      <c r="AC230" s="72"/>
      <c r="AD230" s="72">
        <f>VLOOKUP(D230,宠物成长生成表!$B$5:$J$103,3,0)*$AL$2*(VLOOKUP(E230,$AP$1:$AQ$6,2,0))</f>
        <v>1228.99</v>
      </c>
      <c r="AE230" s="72">
        <f>VLOOKUP(D230,宠物成长生成表!$B$5:$J$103,4,0)*$AL$3*(VLOOKUP(E230,$AP$1:$AQ$6,2,0))</f>
        <v>384.48</v>
      </c>
      <c r="AF230" s="72">
        <f>VLOOKUP(D230,宠物成长生成表!$B$5:$J$103,4,0)*$AL$4*(VLOOKUP(E230,$AP$1:$AQ$6,2,0))</f>
        <v>496.79999999999995</v>
      </c>
      <c r="AG230" s="72">
        <f>VLOOKUP(D230,宠物成长生成表!$B$5:$J$103,7,0)*$AL$5*(VLOOKUP(E230,$AP$1:$AQ$6,2,0))</f>
        <v>313.12</v>
      </c>
      <c r="AH230" s="81">
        <f>VLOOKUP(D230,宠物成长生成表!$B$5:$J$103,6,0)</f>
        <v>59</v>
      </c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8"/>
    </row>
    <row r="231" spans="2:48">
      <c r="B231" s="97" t="s">
        <v>512</v>
      </c>
      <c r="C231" s="64" t="s">
        <v>428</v>
      </c>
      <c r="D231" s="64">
        <v>25</v>
      </c>
      <c r="E231" s="91">
        <v>3</v>
      </c>
      <c r="F231" s="64"/>
      <c r="G231" s="64"/>
      <c r="H231" s="89">
        <v>21</v>
      </c>
      <c r="I231" s="64"/>
      <c r="J231" s="64">
        <v>11</v>
      </c>
      <c r="K231" s="64"/>
      <c r="L231" s="64">
        <v>11</v>
      </c>
      <c r="M231" s="64"/>
      <c r="N231" s="64">
        <v>11</v>
      </c>
      <c r="O231" s="64"/>
      <c r="P231" s="64">
        <v>11</v>
      </c>
      <c r="Q231" s="64"/>
      <c r="R231" s="64">
        <v>5</v>
      </c>
      <c r="S231" s="64"/>
      <c r="T231" s="64"/>
      <c r="U231" s="64"/>
      <c r="V231" s="65">
        <f>IF(J231=0,0,VLOOKUP(能力数值!J231,装备拆分数值生成!$AK$58:$AV$107,5,0))+IF(P231=0,0,VLOOKUP(P231,装备拆分数值生成!$AK$58:$AV$107,9,0))+IF(R231=0,0,VLOOKUP(R231,装备拆分数值生成!$AK$58:$AV$107,11,0))</f>
        <v>998</v>
      </c>
      <c r="W231" s="65">
        <f>IF(H231=0,0,VLOOKUP(H231,装备拆分数值生成!$AK$58:$AV$107,3,0))+IF(P231=0,0,VLOOKUP(P231,装备拆分数值生成!$AK$58:$AV$107,10,0))</f>
        <v>286</v>
      </c>
      <c r="X231" s="65">
        <f>IF(H231=0,0,VLOOKUP(H231,装备拆分数值生成!$AK$58:$AV$107,4,0))+IF(N231=0,0,VLOOKUP(N231,装备拆分数值生成!$AK$58:$AV$107,7,0))+IF(R231=0,0,VLOOKUP(R231,装备拆分数值生成!$AK$58:$AV$107,12,0))</f>
        <v>673</v>
      </c>
      <c r="Y231" s="65">
        <f>IF(L231=0,0,VLOOKUP(L231,装备拆分数值生成!$AK$58:$AV$107,6,0))+IF(N231=0,0,VLOOKUP(N231,装备拆分数值生成!$AK$58:$AV$107,8,0))</f>
        <v>233</v>
      </c>
      <c r="Z231" s="64"/>
      <c r="AA231" s="64"/>
      <c r="AB231" s="64"/>
      <c r="AC231" s="64"/>
      <c r="AD231" s="68">
        <f>VLOOKUP(D231,宠物成长生成表!$B$5:$J$103,3,0)*$AL$2*(VLOOKUP(E231,$AP$1:$AQ$6,2,0))</f>
        <v>2500.2719999999999</v>
      </c>
      <c r="AE231" s="68">
        <f>VLOOKUP(D231,宠物成长生成表!$B$5:$J$103,4,0)*$AL$3*(VLOOKUP(E231,$AP$1:$AQ$6,2,0))</f>
        <v>782.84399999999994</v>
      </c>
      <c r="AF231" s="68">
        <f>VLOOKUP(D231,宠物成长生成表!$B$5:$J$103,4,0)*$AL$4*(VLOOKUP(E231,$AP$1:$AQ$6,2,0))</f>
        <v>1011.5399999999998</v>
      </c>
      <c r="AG231" s="68">
        <f>VLOOKUP(D231,宠物成长生成表!$B$5:$J$103,7,0)*$AL$5*(VLOOKUP(E231,$AP$1:$AQ$6,2,0))</f>
        <v>637.48799999999994</v>
      </c>
      <c r="AH231" s="64">
        <f>VLOOKUP(D231,宠物成长生成表!$B$5:$J$103,6,0)+VLOOKUP(E231,宠物升阶生成表!$B$6:$F$21,5,0)</f>
        <v>126</v>
      </c>
      <c r="AI231" s="64"/>
      <c r="AJ231" s="64"/>
      <c r="AK231" s="64"/>
      <c r="AL231" s="64"/>
      <c r="AM231" s="64"/>
      <c r="AN231" s="64"/>
      <c r="AO231" s="64"/>
      <c r="AP231" s="64"/>
      <c r="AQ231" s="64"/>
      <c r="AR231" s="64"/>
      <c r="AS231" s="65">
        <f t="shared" ref="AS231:AS234" si="137">V231+AD231</f>
        <v>3498.2719999999999</v>
      </c>
      <c r="AT231" s="65">
        <f t="shared" ref="AT231:AT234" si="138">W231+AE231</f>
        <v>1068.8440000000001</v>
      </c>
      <c r="AU231" s="65">
        <f t="shared" ref="AU231:AU234" si="139">X231+AF231</f>
        <v>1684.54</v>
      </c>
      <c r="AV231" s="67">
        <f t="shared" ref="AV231:AV234" si="140">Y231+AG231</f>
        <v>870.48799999999994</v>
      </c>
    </row>
    <row r="232" spans="2:48">
      <c r="B232" s="98"/>
      <c r="C232" s="68" t="s">
        <v>426</v>
      </c>
      <c r="D232" s="68">
        <v>25</v>
      </c>
      <c r="E232" s="92">
        <v>3</v>
      </c>
      <c r="F232" s="68"/>
      <c r="G232" s="68"/>
      <c r="H232" s="68">
        <v>21</v>
      </c>
      <c r="I232" s="68"/>
      <c r="J232" s="68">
        <v>12</v>
      </c>
      <c r="K232" s="68"/>
      <c r="L232" s="68">
        <v>13</v>
      </c>
      <c r="M232" s="68"/>
      <c r="N232" s="68">
        <v>4</v>
      </c>
      <c r="O232" s="68"/>
      <c r="P232" s="68">
        <v>11</v>
      </c>
      <c r="Q232" s="68"/>
      <c r="R232" s="68">
        <v>12</v>
      </c>
      <c r="S232" s="68"/>
      <c r="T232" s="68"/>
      <c r="U232" s="68"/>
      <c r="V232" s="69">
        <f>IF(J232=0,0,VLOOKUP(能力数值!J232,装备拆分数值生成!$AK$4:$AV$53,5,0))+IF(P232=0,0,VLOOKUP(能力数值!P232,装备拆分数值生成!$AK$4:$AV$53,9,0))+IF(R232=0,0,VLOOKUP(能力数值!R232,装备拆分数值生成!$AK$4:$AV$53,11,0))</f>
        <v>1071</v>
      </c>
      <c r="W232" s="69">
        <f>IF(H232=0,0,VLOOKUP(能力数值!H232,装备拆分数值生成!$AK$4:$AV$53,3,0))+IF(N232=0,0,VLOOKUP(能力数值!N232,装备拆分数值生成!$AK$4:$AV$53,7,0))+IF(R232=0,0,VLOOKUP(能力数值!R232,装备拆分数值生成!$AK$4:$AV$53,12,0))</f>
        <v>699</v>
      </c>
      <c r="X232" s="69">
        <f>IF(H232=0,0,VLOOKUP(能力数值!H232,装备拆分数值生成!$AK$4:$AV$53,4,0))+IF(P232=0,0,VLOOKUP(能力数值!P232,装备拆分数值生成!$AK$4:$AV$53,10,0))</f>
        <v>286</v>
      </c>
      <c r="Y232" s="69">
        <f>IF(L232=0,0,VLOOKUP(能力数值!L232,装备拆分数值生成!$AK$4:$AV$53,6,0))+IF(N232=0,0,VLOOKUP(能力数值!N232,装备拆分数值生成!$AK$4:$AV$53,8,0))</f>
        <v>219</v>
      </c>
      <c r="Z232" s="68"/>
      <c r="AA232" s="68"/>
      <c r="AB232" s="68"/>
      <c r="AC232" s="68"/>
      <c r="AD232" s="68">
        <f>VLOOKUP(D232,宠物成长生成表!$B$5:$J$103,3,0)*$AO$2*(VLOOKUP(E232,$AP$1:$AQ$6,2,0))</f>
        <v>2500.2719999999999</v>
      </c>
      <c r="AE232" s="68">
        <f>VLOOKUP(D232,宠物成长生成表!$B$5:$J$103,4,0)*(VLOOKUP(E232,$AP$1:$AQ$6,2,0))</f>
        <v>879.6</v>
      </c>
      <c r="AF232" s="68">
        <f>VLOOKUP(D232,宠物成长生成表!$B$5:$J$103,4,0)*$AO$4*(VLOOKUP(E232,$AP$1:$AQ$6,2,0))</f>
        <v>782.84399999999994</v>
      </c>
      <c r="AG232" s="68">
        <f>VLOOKUP(D232,宠物成长生成表!$B$5:$J$103,7,0)*$AO$5*(VLOOKUP(E232,$AP$1:$AQ$6,2,0))</f>
        <v>637.48799999999994</v>
      </c>
      <c r="AH232" s="68">
        <f>VLOOKUP(D232,宠物成长生成表!$B$5:$J$103,6,0)+VLOOKUP(E232,宠物升阶生成表!$B$6:$F$21,5,0)</f>
        <v>126</v>
      </c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9">
        <f t="shared" si="137"/>
        <v>3571.2719999999999</v>
      </c>
      <c r="AT232" s="69">
        <f t="shared" si="138"/>
        <v>1578.6</v>
      </c>
      <c r="AU232" s="69">
        <f t="shared" si="139"/>
        <v>1068.8440000000001</v>
      </c>
      <c r="AV232" s="71">
        <f t="shared" si="140"/>
        <v>856.48799999999994</v>
      </c>
    </row>
    <row r="233" spans="2:48">
      <c r="B233" s="98"/>
      <c r="C233" s="68" t="s">
        <v>394</v>
      </c>
      <c r="D233" s="68">
        <v>22</v>
      </c>
      <c r="E233" s="92">
        <v>2</v>
      </c>
      <c r="F233" s="68"/>
      <c r="G233" s="68"/>
      <c r="H233" s="68">
        <v>16</v>
      </c>
      <c r="I233" s="68"/>
      <c r="J233" s="68">
        <v>9</v>
      </c>
      <c r="K233" s="68"/>
      <c r="L233" s="68">
        <v>13</v>
      </c>
      <c r="M233" s="68"/>
      <c r="N233" s="68">
        <v>5</v>
      </c>
      <c r="O233" s="68"/>
      <c r="P233" s="68">
        <v>16</v>
      </c>
      <c r="Q233" s="68"/>
      <c r="R233" s="68">
        <v>11</v>
      </c>
      <c r="S233" s="68"/>
      <c r="T233" s="68"/>
      <c r="U233" s="68"/>
      <c r="V233" s="69">
        <f>IF(J233=0,0,VLOOKUP(能力数值!J233,装备拆分数值生成!$AK$165:$AV$214,5,0))+IF(P233=0,0,VLOOKUP(能力数值!P233,装备拆分数值生成!$AK$165:$AV$214,9,0))+IF(R233=0,0,VLOOKUP(能力数值!R233,装备拆分数值生成!$AK$165:$AV$214,11,0))</f>
        <v>1082</v>
      </c>
      <c r="W233" s="69">
        <f>IF(H233=0,0,VLOOKUP(能力数值!H233,装备拆分数值生成!$AK$165:$AV$214,3,0))</f>
        <v>284</v>
      </c>
      <c r="X233" s="69">
        <f>IF(H233=0,0,VLOOKUP(能力数值!H233,装备拆分数值生成!$AK$165:$AV$214,4,0))+IF(P233=0,0,VLOOKUP(能力数值!P233,装备拆分数值生成!$AK$165:$AV$214,10,0))</f>
        <v>378</v>
      </c>
      <c r="Y233" s="69">
        <f>IF(L233=0,0,VLOOKUP(能力数值!L233,装备拆分数值生成!$AK$165:$AV$214,6,0))+IF(N233=0,0,VLOOKUP(能力数值!N233,装备拆分数值生成!$AK$165:$AV$214,8,0))+IF(R233=0,0,VLOOKUP(能力数值!R233,装备拆分数值生成!$AK$165:$AV$214,12,0))</f>
        <v>294</v>
      </c>
      <c r="Z233" s="68"/>
      <c r="AA233" s="68"/>
      <c r="AB233" s="68"/>
      <c r="AC233" s="68"/>
      <c r="AD233" s="68">
        <f>VLOOKUP(D232,宠物成长生成表!$B$5:$J$103,3,0)*$AN$2*(VLOOKUP(E233,$AP$1:$AQ$6,2,0))</f>
        <v>2964.24</v>
      </c>
      <c r="AE233" s="68">
        <f>VLOOKUP(D232,宠物成长生成表!$B$5:$J$103,4,0)*$AN$3*(VLOOKUP(E233,$AP$1:$AQ$6,2,0))</f>
        <v>758.65499999999997</v>
      </c>
      <c r="AF233" s="68">
        <f>VLOOKUP(D232,宠物成长生成表!$B$5:$J$103,4,0)*$AN$4*(VLOOKUP(E233,$AP$1:$AQ$6,2,0))</f>
        <v>758.65499999999997</v>
      </c>
      <c r="AG233" s="68">
        <f>VLOOKUP(D232,宠物成长生成表!$B$5:$J$103,7,0)*$AN$5*(VLOOKUP(E233,$AP$1:$AQ$6,2,0))</f>
        <v>707.38799999999992</v>
      </c>
      <c r="AH233" s="68">
        <f>VLOOKUP(D233,宠物成长生成表!$B$5:$J$103,6,0)+VLOOKUP(E233,宠物升阶生成表!$B$6:$F$21,5,0)</f>
        <v>107</v>
      </c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9">
        <f t="shared" si="137"/>
        <v>4046.24</v>
      </c>
      <c r="AT233" s="69">
        <f t="shared" si="138"/>
        <v>1042.655</v>
      </c>
      <c r="AU233" s="69">
        <f t="shared" si="139"/>
        <v>1136.655</v>
      </c>
      <c r="AV233" s="71">
        <f t="shared" si="140"/>
        <v>1001.3879999999999</v>
      </c>
    </row>
    <row r="234" spans="2:48">
      <c r="B234" s="98"/>
      <c r="C234" s="68" t="s">
        <v>427</v>
      </c>
      <c r="D234" s="68">
        <v>20</v>
      </c>
      <c r="E234" s="92">
        <v>2</v>
      </c>
      <c r="F234" s="68"/>
      <c r="G234" s="68"/>
      <c r="H234" s="68">
        <v>16</v>
      </c>
      <c r="I234" s="68"/>
      <c r="J234" s="68">
        <v>12</v>
      </c>
      <c r="K234" s="68"/>
      <c r="L234" s="88">
        <v>20</v>
      </c>
      <c r="M234" s="68"/>
      <c r="N234" s="68">
        <v>6</v>
      </c>
      <c r="O234" s="68"/>
      <c r="P234" s="68">
        <v>11</v>
      </c>
      <c r="Q234" s="68"/>
      <c r="R234" s="68">
        <v>7</v>
      </c>
      <c r="S234" s="68"/>
      <c r="T234" s="68"/>
      <c r="U234" s="68"/>
      <c r="V234" s="69">
        <f>IF(J234=0,0,VLOOKUP(能力数值!J234,装备拆分数值生成!$AK$112:$AV$161,5,0))+IF(P234=0,0,VLOOKUP(能力数值!P234,装备拆分数值生成!$AK$112:$AV$161,5,0))+IF(R234=0,0,VLOOKUP(能力数值!R234,装备拆分数值生成!$AK$112:$AV$161,11,0))</f>
        <v>1784</v>
      </c>
      <c r="W234" s="69">
        <f>IF(H234=0,0,VLOOKUP(能力数值!H234,装备拆分数值生成!$AK$112:$AV$161,3,0))</f>
        <v>260</v>
      </c>
      <c r="X234" s="69">
        <f>IF(H234=0,0,VLOOKUP(能力数值!H234,装备拆分数值生成!$AK$112:$AV$161,4,0))</f>
        <v>260</v>
      </c>
      <c r="Y234" s="69">
        <f>IF(L234=0,0,VLOOKUP(能力数值!L234,装备拆分数值生成!$AK$112:$AV$161,6,0))+IF(N234=0,0,VLOOKUP(能力数值!N234,装备拆分数值生成!$AK$112:$AV$161,8,0))+IF(R234=0,0,VLOOKUP(能力数值!R234,装备拆分数值生成!$AK$112:$AV$161,12,0))</f>
        <v>554</v>
      </c>
      <c r="Z234" s="68"/>
      <c r="AA234" s="68"/>
      <c r="AB234" s="68"/>
      <c r="AC234" s="68"/>
      <c r="AD234" s="68">
        <f>VLOOKUP(D234,宠物成长生成表!$B$5:$J$103,3,0)*$AM$2*(VLOOKUP(E234,$AP$1:$AQ$6,2,0))</f>
        <v>2882.3599999999997</v>
      </c>
      <c r="AE234" s="68">
        <f>VLOOKUP(D234,宠物成长生成表!$B$5:$J$103,4,0)*$AM$3*(VLOOKUP(E234,$AP$1:$AQ$6,2,0))</f>
        <v>605.3599999999999</v>
      </c>
      <c r="AF234" s="68">
        <f>VLOOKUP(D234,宠物成长生成表!$B$5:$J$103,4,0)*$AM$4*(VLOOKUP(E234,$AP$1:$AQ$6,2,0))</f>
        <v>605.3599999999999</v>
      </c>
      <c r="AG234" s="68">
        <f>VLOOKUP(D234,宠物成长生成表!$B$5:$J$103,7,0)*$AM$5*(VLOOKUP(E234,$AP$1:$AQ$6,2,0))</f>
        <v>953.30399999999997</v>
      </c>
      <c r="AH234" s="68">
        <f>VLOOKUP(D234,宠物成长生成表!$B$5:$J$103,6,0)+VLOOKUP(E234,宠物升阶生成表!$B$6:$F$21,5,0)</f>
        <v>103</v>
      </c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9">
        <f t="shared" si="137"/>
        <v>4666.3599999999997</v>
      </c>
      <c r="AT234" s="69">
        <f t="shared" si="138"/>
        <v>865.3599999999999</v>
      </c>
      <c r="AU234" s="69">
        <f t="shared" si="139"/>
        <v>865.3599999999999</v>
      </c>
      <c r="AV234" s="71">
        <f t="shared" si="140"/>
        <v>1507.3040000000001</v>
      </c>
    </row>
    <row r="235" spans="2:48" ht="17.25" thickBot="1">
      <c r="B235" s="99"/>
      <c r="C235" s="72" t="s">
        <v>425</v>
      </c>
      <c r="D235" s="72">
        <v>5</v>
      </c>
      <c r="E235" s="93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69"/>
      <c r="W235" s="69"/>
      <c r="X235" s="69"/>
      <c r="Y235" s="69"/>
      <c r="Z235" s="72"/>
      <c r="AA235" s="72"/>
      <c r="AB235" s="72"/>
      <c r="AC235" s="72"/>
      <c r="AD235" s="72">
        <f>VLOOKUP(D235,宠物成长生成表!$B$5:$J$103,3,0)*$AL$2*(VLOOKUP(E235,$AP$1:$AQ$6,2,0))</f>
        <v>1228.99</v>
      </c>
      <c r="AE235" s="72">
        <f>VLOOKUP(D235,宠物成长生成表!$B$5:$J$103,4,0)*$AL$3*(VLOOKUP(E235,$AP$1:$AQ$6,2,0))</f>
        <v>384.48</v>
      </c>
      <c r="AF235" s="72">
        <f>VLOOKUP(D235,宠物成长生成表!$B$5:$J$103,4,0)*$AL$4*(VLOOKUP(E235,$AP$1:$AQ$6,2,0))</f>
        <v>496.79999999999995</v>
      </c>
      <c r="AG235" s="72">
        <f>VLOOKUP(D235,宠物成长生成表!$B$5:$J$103,7,0)*$AL$5*(VLOOKUP(E235,$AP$1:$AQ$6,2,0))</f>
        <v>313.12</v>
      </c>
      <c r="AH235" s="81">
        <f>VLOOKUP(D235,宠物成长生成表!$B$5:$J$103,6,0)</f>
        <v>59</v>
      </c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8"/>
    </row>
    <row r="236" spans="2:48">
      <c r="B236" s="97" t="s">
        <v>513</v>
      </c>
      <c r="C236" s="64" t="s">
        <v>428</v>
      </c>
      <c r="D236" s="64">
        <v>27</v>
      </c>
      <c r="E236" s="91">
        <v>3</v>
      </c>
      <c r="F236" s="64"/>
      <c r="G236" s="64"/>
      <c r="H236" s="89">
        <v>21</v>
      </c>
      <c r="I236" s="64"/>
      <c r="J236" s="64">
        <v>11</v>
      </c>
      <c r="K236" s="64"/>
      <c r="L236" s="64">
        <v>11</v>
      </c>
      <c r="M236" s="64"/>
      <c r="N236" s="64">
        <v>11</v>
      </c>
      <c r="O236" s="64"/>
      <c r="P236" s="64">
        <v>11</v>
      </c>
      <c r="Q236" s="64"/>
      <c r="R236" s="64">
        <v>5</v>
      </c>
      <c r="S236" s="64"/>
      <c r="T236" s="64"/>
      <c r="U236" s="64"/>
      <c r="V236" s="65">
        <f>IF(J236=0,0,VLOOKUP(能力数值!J236,装备拆分数值生成!$AK$58:$AV$107,5,0))+IF(P236=0,0,VLOOKUP(P236,装备拆分数值生成!$AK$58:$AV$107,9,0))+IF(R236=0,0,VLOOKUP(R236,装备拆分数值生成!$AK$58:$AV$107,11,0))</f>
        <v>998</v>
      </c>
      <c r="W236" s="65">
        <f>IF(H236=0,0,VLOOKUP(H236,装备拆分数值生成!$AK$58:$AV$107,3,0))+IF(P236=0,0,VLOOKUP(P236,装备拆分数值生成!$AK$58:$AV$107,10,0))</f>
        <v>286</v>
      </c>
      <c r="X236" s="65">
        <f>IF(H236=0,0,VLOOKUP(H236,装备拆分数值生成!$AK$58:$AV$107,4,0))+IF(N236=0,0,VLOOKUP(N236,装备拆分数值生成!$AK$58:$AV$107,7,0))+IF(R236=0,0,VLOOKUP(R236,装备拆分数值生成!$AK$58:$AV$107,12,0))</f>
        <v>673</v>
      </c>
      <c r="Y236" s="65">
        <f>IF(L236=0,0,VLOOKUP(L236,装备拆分数值生成!$AK$58:$AV$107,6,0))+IF(N236=0,0,VLOOKUP(N236,装备拆分数值生成!$AK$58:$AV$107,8,0))</f>
        <v>233</v>
      </c>
      <c r="Z236" s="64"/>
      <c r="AA236" s="64"/>
      <c r="AB236" s="64"/>
      <c r="AC236" s="64"/>
      <c r="AD236" s="68">
        <f>VLOOKUP(D236,宠物成长生成表!$B$5:$J$103,3,0)*$AL$2*(VLOOKUP(E236,$AP$1:$AQ$6,2,0))</f>
        <v>2603.8679999999999</v>
      </c>
      <c r="AE236" s="68">
        <f>VLOOKUP(D236,宠物成长生成表!$B$5:$J$103,4,0)*$AL$3*(VLOOKUP(E236,$AP$1:$AQ$6,2,0))</f>
        <v>814.88400000000001</v>
      </c>
      <c r="AF236" s="68">
        <f>VLOOKUP(D236,宠物成长生成表!$B$5:$J$103,4,0)*$AL$4*(VLOOKUP(E236,$AP$1:$AQ$6,2,0))</f>
        <v>1052.9399999999998</v>
      </c>
      <c r="AG236" s="68">
        <f>VLOOKUP(D236,宠物成长生成表!$B$5:$J$103,7,0)*$AL$5*(VLOOKUP(E236,$AP$1:$AQ$6,2,0))</f>
        <v>663.93599999999992</v>
      </c>
      <c r="AH236" s="64">
        <f>VLOOKUP(D236,宠物成长生成表!$B$5:$J$103,6,0)+VLOOKUP(E236,宠物升阶生成表!$B$6:$F$21,5,0)</f>
        <v>130</v>
      </c>
      <c r="AI236" s="64"/>
      <c r="AJ236" s="64"/>
      <c r="AK236" s="64"/>
      <c r="AL236" s="64"/>
      <c r="AM236" s="64"/>
      <c r="AN236" s="64"/>
      <c r="AO236" s="64"/>
      <c r="AP236" s="64"/>
      <c r="AQ236" s="64"/>
      <c r="AR236" s="64"/>
      <c r="AS236" s="65">
        <f t="shared" ref="AS236:AS239" si="141">V236+AD236</f>
        <v>3601.8679999999999</v>
      </c>
      <c r="AT236" s="65">
        <f t="shared" ref="AT236:AT239" si="142">W236+AE236</f>
        <v>1100.884</v>
      </c>
      <c r="AU236" s="65">
        <f t="shared" ref="AU236:AU239" si="143">X236+AF236</f>
        <v>1725.9399999999998</v>
      </c>
      <c r="AV236" s="67">
        <f t="shared" ref="AV236:AV239" si="144">Y236+AG236</f>
        <v>896.93599999999992</v>
      </c>
    </row>
    <row r="237" spans="2:48">
      <c r="B237" s="98"/>
      <c r="C237" s="68" t="s">
        <v>426</v>
      </c>
      <c r="D237" s="68">
        <v>28</v>
      </c>
      <c r="E237" s="92">
        <v>4</v>
      </c>
      <c r="F237" s="68"/>
      <c r="G237" s="68"/>
      <c r="H237" s="68">
        <v>21</v>
      </c>
      <c r="I237" s="68"/>
      <c r="J237" s="68">
        <v>12</v>
      </c>
      <c r="K237" s="68"/>
      <c r="L237" s="68">
        <v>13</v>
      </c>
      <c r="M237" s="68"/>
      <c r="N237" s="68">
        <v>4</v>
      </c>
      <c r="O237" s="68"/>
      <c r="P237" s="68">
        <v>11</v>
      </c>
      <c r="Q237" s="68"/>
      <c r="R237" s="68">
        <v>12</v>
      </c>
      <c r="S237" s="68"/>
      <c r="T237" s="68"/>
      <c r="U237" s="68"/>
      <c r="V237" s="69">
        <f>IF(J237=0,0,VLOOKUP(能力数值!J237,装备拆分数值生成!$AK$4:$AV$53,5,0))+IF(P237=0,0,VLOOKUP(能力数值!P237,装备拆分数值生成!$AK$4:$AV$53,9,0))+IF(R237=0,0,VLOOKUP(能力数值!R237,装备拆分数值生成!$AK$4:$AV$53,11,0))</f>
        <v>1071</v>
      </c>
      <c r="W237" s="69">
        <f>IF(H237=0,0,VLOOKUP(能力数值!H237,装备拆分数值生成!$AK$4:$AV$53,3,0))+IF(N237=0,0,VLOOKUP(能力数值!N237,装备拆分数值生成!$AK$4:$AV$53,7,0))+IF(R237=0,0,VLOOKUP(能力数值!R237,装备拆分数值生成!$AK$4:$AV$53,12,0))</f>
        <v>699</v>
      </c>
      <c r="X237" s="69">
        <f>IF(H237=0,0,VLOOKUP(能力数值!H237,装备拆分数值生成!$AK$4:$AV$53,4,0))+IF(P237=0,0,VLOOKUP(能力数值!P237,装备拆分数值生成!$AK$4:$AV$53,10,0))</f>
        <v>286</v>
      </c>
      <c r="Y237" s="69">
        <f>IF(L237=0,0,VLOOKUP(能力数值!L237,装备拆分数值生成!$AK$4:$AV$53,6,0))+IF(N237=0,0,VLOOKUP(能力数值!N237,装备拆分数值生成!$AK$4:$AV$53,8,0))</f>
        <v>219</v>
      </c>
      <c r="Z237" s="68"/>
      <c r="AA237" s="68"/>
      <c r="AB237" s="68"/>
      <c r="AC237" s="68"/>
      <c r="AD237" s="68">
        <f>VLOOKUP(D237,宠物成长生成表!$B$5:$J$103,3,0)*$AO$2*(VLOOKUP(E237,$AP$1:$AQ$6,2,0))</f>
        <v>2839.4648333333266</v>
      </c>
      <c r="AE237" s="68">
        <f>VLOOKUP(D237,宠物成长生成表!$B$5:$J$103,4,0)*(VLOOKUP(E237,$AP$1:$AQ$6,2,0))</f>
        <v>998.43333333333078</v>
      </c>
      <c r="AF237" s="68">
        <f>VLOOKUP(D237,宠物成长生成表!$B$5:$J$103,4,0)*$AO$4*(VLOOKUP(E237,$AP$1:$AQ$6,2,0))</f>
        <v>888.60566666666443</v>
      </c>
      <c r="AG237" s="68">
        <f>VLOOKUP(D237,宠物成长生成表!$B$5:$J$103,7,0)*$AO$5*(VLOOKUP(E237,$AP$1:$AQ$6,2,0))</f>
        <v>723.69733333333147</v>
      </c>
      <c r="AH237" s="68">
        <f>VLOOKUP(D237,宠物成长生成表!$B$5:$J$103,6,0)+VLOOKUP(E237,宠物升阶生成表!$B$6:$F$21,5,0)</f>
        <v>145</v>
      </c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9">
        <f t="shared" si="141"/>
        <v>3910.4648333333266</v>
      </c>
      <c r="AT237" s="69">
        <f t="shared" si="142"/>
        <v>1697.4333333333307</v>
      </c>
      <c r="AU237" s="69">
        <f t="shared" si="143"/>
        <v>1174.6056666666645</v>
      </c>
      <c r="AV237" s="71">
        <f t="shared" si="144"/>
        <v>942.69733333333147</v>
      </c>
    </row>
    <row r="238" spans="2:48">
      <c r="B238" s="98"/>
      <c r="C238" s="68" t="s">
        <v>394</v>
      </c>
      <c r="D238" s="68">
        <v>26</v>
      </c>
      <c r="E238" s="92">
        <v>2</v>
      </c>
      <c r="F238" s="68"/>
      <c r="G238" s="68"/>
      <c r="H238" s="68">
        <v>16</v>
      </c>
      <c r="I238" s="68"/>
      <c r="J238" s="68">
        <v>10</v>
      </c>
      <c r="K238" s="68"/>
      <c r="L238" s="68">
        <v>13</v>
      </c>
      <c r="M238" s="68"/>
      <c r="N238" s="68">
        <v>5</v>
      </c>
      <c r="O238" s="68"/>
      <c r="P238" s="68">
        <v>16</v>
      </c>
      <c r="Q238" s="68"/>
      <c r="R238" s="68">
        <v>11</v>
      </c>
      <c r="S238" s="68"/>
      <c r="T238" s="68"/>
      <c r="U238" s="68"/>
      <c r="V238" s="69">
        <f>IF(J238=0,0,VLOOKUP(能力数值!J238,装备拆分数值生成!$AK$165:$AV$214,5,0))+IF(P238=0,0,VLOOKUP(能力数值!P238,装备拆分数值生成!$AK$165:$AV$214,9,0))+IF(R238=0,0,VLOOKUP(能力数值!R238,装备拆分数值生成!$AK$165:$AV$214,11,0))</f>
        <v>1105</v>
      </c>
      <c r="W238" s="69">
        <f>IF(H238=0,0,VLOOKUP(能力数值!H238,装备拆分数值生成!$AK$165:$AV$214,3,0))</f>
        <v>284</v>
      </c>
      <c r="X238" s="69">
        <f>IF(H238=0,0,VLOOKUP(能力数值!H238,装备拆分数值生成!$AK$165:$AV$214,4,0))+IF(P238=0,0,VLOOKUP(能力数值!P238,装备拆分数值生成!$AK$165:$AV$214,10,0))</f>
        <v>378</v>
      </c>
      <c r="Y238" s="69">
        <f>IF(L238=0,0,VLOOKUP(能力数值!L238,装备拆分数值生成!$AK$165:$AV$214,6,0))+IF(N238=0,0,VLOOKUP(能力数值!N238,装备拆分数值生成!$AK$165:$AV$214,8,0))+IF(R238=0,0,VLOOKUP(能力数值!R238,装备拆分数值生成!$AK$165:$AV$214,12,0))</f>
        <v>294</v>
      </c>
      <c r="Z238" s="68"/>
      <c r="AA238" s="68"/>
      <c r="AB238" s="68"/>
      <c r="AC238" s="68"/>
      <c r="AD238" s="68">
        <f>VLOOKUP(D237,宠物成长生成表!$B$5:$J$103,3,0)*$AN$2*(VLOOKUP(E238,$AP$1:$AQ$6,2,0))</f>
        <v>3147.7799999999997</v>
      </c>
      <c r="AE238" s="68">
        <f>VLOOKUP(D237,宠物成长生成表!$B$5:$J$103,4,0)*$AN$3*(VLOOKUP(E238,$AP$1:$AQ$6,2,0))</f>
        <v>805.23</v>
      </c>
      <c r="AF238" s="68">
        <f>VLOOKUP(D237,宠物成长生成表!$B$5:$J$103,4,0)*$AN$4*(VLOOKUP(E238,$AP$1:$AQ$6,2,0))</f>
        <v>805.23</v>
      </c>
      <c r="AG238" s="68">
        <f>VLOOKUP(D237,宠物成长生成表!$B$5:$J$103,7,0)*$AN$5*(VLOOKUP(E238,$AP$1:$AQ$6,2,0))</f>
        <v>750.904</v>
      </c>
      <c r="AH238" s="68">
        <f>VLOOKUP(D238,宠物成长生成表!$B$5:$J$103,6,0)+VLOOKUP(E238,宠物升阶生成表!$B$6:$F$21,5,0)</f>
        <v>115</v>
      </c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9">
        <f t="shared" si="141"/>
        <v>4252.78</v>
      </c>
      <c r="AT238" s="69">
        <f t="shared" si="142"/>
        <v>1089.23</v>
      </c>
      <c r="AU238" s="69">
        <f t="shared" si="143"/>
        <v>1183.23</v>
      </c>
      <c r="AV238" s="71">
        <f t="shared" si="144"/>
        <v>1044.904</v>
      </c>
    </row>
    <row r="239" spans="2:48">
      <c r="B239" s="98"/>
      <c r="C239" s="68" t="s">
        <v>427</v>
      </c>
      <c r="D239" s="68">
        <v>22</v>
      </c>
      <c r="E239" s="92">
        <v>2</v>
      </c>
      <c r="F239" s="68"/>
      <c r="G239" s="68"/>
      <c r="H239" s="68">
        <v>16</v>
      </c>
      <c r="I239" s="68"/>
      <c r="J239" s="68">
        <v>12</v>
      </c>
      <c r="K239" s="68"/>
      <c r="L239" s="88">
        <v>20</v>
      </c>
      <c r="M239" s="68"/>
      <c r="N239" s="68">
        <v>6</v>
      </c>
      <c r="O239" s="68"/>
      <c r="P239" s="68">
        <v>11</v>
      </c>
      <c r="Q239" s="68"/>
      <c r="R239" s="68">
        <v>17</v>
      </c>
      <c r="S239" s="68"/>
      <c r="T239" s="68"/>
      <c r="U239" s="68"/>
      <c r="V239" s="69">
        <f>IF(J239=0,0,VLOOKUP(能力数值!J239,装备拆分数值生成!$AK$112:$AV$161,5,0))+IF(P239=0,0,VLOOKUP(能力数值!P239,装备拆分数值生成!$AK$112:$AV$161,5,0))+IF(R239=0,0,VLOOKUP(能力数值!R239,装备拆分数值生成!$AK$112:$AV$161,11,0))</f>
        <v>1848</v>
      </c>
      <c r="W239" s="69">
        <f>IF(H239=0,0,VLOOKUP(能力数值!H239,装备拆分数值生成!$AK$112:$AV$161,3,0))</f>
        <v>260</v>
      </c>
      <c r="X239" s="69">
        <f>IF(H239=0,0,VLOOKUP(能力数值!H239,装备拆分数值生成!$AK$112:$AV$161,4,0))</f>
        <v>260</v>
      </c>
      <c r="Y239" s="69">
        <f>IF(L239=0,0,VLOOKUP(能力数值!L239,装备拆分数值生成!$AK$112:$AV$161,6,0))+IF(N239=0,0,VLOOKUP(能力数值!N239,装备拆分数值生成!$AK$112:$AV$161,8,0))+IF(R239=0,0,VLOOKUP(能力数值!R239,装备拆分数值生成!$AK$112:$AV$161,12,0))</f>
        <v>640</v>
      </c>
      <c r="Z239" s="68"/>
      <c r="AA239" s="68"/>
      <c r="AB239" s="68"/>
      <c r="AC239" s="68"/>
      <c r="AD239" s="68">
        <f>VLOOKUP(D239,宠物成长生成表!$B$5:$J$103,3,0)*$AM$2*(VLOOKUP(E239,$AP$1:$AQ$6,2,0))</f>
        <v>3013.92</v>
      </c>
      <c r="AE239" s="68">
        <f>VLOOKUP(D239,宠物成长生成表!$B$5:$J$103,4,0)*$AM$3*(VLOOKUP(E239,$AP$1:$AQ$6,2,0))</f>
        <v>632.95999999999992</v>
      </c>
      <c r="AF239" s="68">
        <f>VLOOKUP(D239,宠物成长生成表!$B$5:$J$103,4,0)*$AM$4*(VLOOKUP(E239,$AP$1:$AQ$6,2,0))</f>
        <v>632.95999999999992</v>
      </c>
      <c r="AG239" s="68">
        <f>VLOOKUP(D239,宠物成长生成表!$B$5:$J$103,7,0)*$AM$5*(VLOOKUP(E239,$AP$1:$AQ$6,2,0))</f>
        <v>995.80799999999999</v>
      </c>
      <c r="AH239" s="68">
        <f>VLOOKUP(D239,宠物成长生成表!$B$5:$J$103,6,0)+VLOOKUP(E239,宠物升阶生成表!$B$6:$F$21,5,0)</f>
        <v>107</v>
      </c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9">
        <f t="shared" si="141"/>
        <v>4861.92</v>
      </c>
      <c r="AT239" s="69">
        <f t="shared" si="142"/>
        <v>892.95999999999992</v>
      </c>
      <c r="AU239" s="69">
        <f t="shared" si="143"/>
        <v>892.95999999999992</v>
      </c>
      <c r="AV239" s="71">
        <f t="shared" si="144"/>
        <v>1635.808</v>
      </c>
    </row>
    <row r="240" spans="2:48" ht="17.25" thickBot="1">
      <c r="B240" s="99"/>
      <c r="C240" s="72" t="s">
        <v>425</v>
      </c>
      <c r="D240" s="72">
        <v>5</v>
      </c>
      <c r="E240" s="93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69"/>
      <c r="W240" s="69"/>
      <c r="X240" s="69"/>
      <c r="Y240" s="69"/>
      <c r="Z240" s="72"/>
      <c r="AA240" s="72"/>
      <c r="AB240" s="72"/>
      <c r="AC240" s="72"/>
      <c r="AD240" s="72">
        <f>VLOOKUP(D240,宠物成长生成表!$B$5:$J$103,3,0)*$AL$2*(VLOOKUP(E240,$AP$1:$AQ$6,2,0))</f>
        <v>1228.99</v>
      </c>
      <c r="AE240" s="72">
        <f>VLOOKUP(D240,宠物成长生成表!$B$5:$J$103,4,0)*$AL$3*(VLOOKUP(E240,$AP$1:$AQ$6,2,0))</f>
        <v>384.48</v>
      </c>
      <c r="AF240" s="72">
        <f>VLOOKUP(D240,宠物成长生成表!$B$5:$J$103,4,0)*$AL$4*(VLOOKUP(E240,$AP$1:$AQ$6,2,0))</f>
        <v>496.79999999999995</v>
      </c>
      <c r="AG240" s="72">
        <f>VLOOKUP(D240,宠物成长生成表!$B$5:$J$103,7,0)*$AL$5*(VLOOKUP(E240,$AP$1:$AQ$6,2,0))</f>
        <v>313.12</v>
      </c>
      <c r="AH240" s="81">
        <f>VLOOKUP(D240,宠物成长生成表!$B$5:$J$103,6,0)</f>
        <v>59</v>
      </c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8"/>
    </row>
    <row r="241" spans="2:48">
      <c r="B241" s="97" t="s">
        <v>514</v>
      </c>
      <c r="C241" s="64" t="s">
        <v>428</v>
      </c>
      <c r="D241" s="64">
        <v>27</v>
      </c>
      <c r="E241" s="91">
        <v>3</v>
      </c>
      <c r="F241" s="64"/>
      <c r="G241" s="64"/>
      <c r="H241" s="89">
        <v>21</v>
      </c>
      <c r="I241" s="64"/>
      <c r="J241" s="64">
        <v>11</v>
      </c>
      <c r="K241" s="64"/>
      <c r="L241" s="64">
        <v>11</v>
      </c>
      <c r="M241" s="64"/>
      <c r="N241" s="64">
        <v>11</v>
      </c>
      <c r="O241" s="64"/>
      <c r="P241" s="64">
        <v>11</v>
      </c>
      <c r="Q241" s="64"/>
      <c r="R241" s="64">
        <v>5</v>
      </c>
      <c r="S241" s="64"/>
      <c r="T241" s="64"/>
      <c r="U241" s="64"/>
      <c r="V241" s="65">
        <f>IF(J241=0,0,VLOOKUP(能力数值!J241,装备拆分数值生成!$AK$58:$AV$107,5,0))+IF(P241=0,0,VLOOKUP(P241,装备拆分数值生成!$AK$58:$AV$107,9,0))+IF(R241=0,0,VLOOKUP(R241,装备拆分数值生成!$AK$58:$AV$107,11,0))</f>
        <v>998</v>
      </c>
      <c r="W241" s="65">
        <f>IF(H241=0,0,VLOOKUP(H241,装备拆分数值生成!$AK$58:$AV$107,3,0))+IF(P241=0,0,VLOOKUP(P241,装备拆分数值生成!$AK$58:$AV$107,10,0))</f>
        <v>286</v>
      </c>
      <c r="X241" s="65">
        <f>IF(H241=0,0,VLOOKUP(H241,装备拆分数值生成!$AK$58:$AV$107,4,0))+IF(N241=0,0,VLOOKUP(N241,装备拆分数值生成!$AK$58:$AV$107,7,0))+IF(R241=0,0,VLOOKUP(R241,装备拆分数值生成!$AK$58:$AV$107,12,0))</f>
        <v>673</v>
      </c>
      <c r="Y241" s="65">
        <f>IF(L241=0,0,VLOOKUP(L241,装备拆分数值生成!$AK$58:$AV$107,6,0))+IF(N241=0,0,VLOOKUP(N241,装备拆分数值生成!$AK$58:$AV$107,8,0))</f>
        <v>233</v>
      </c>
      <c r="Z241" s="64"/>
      <c r="AA241" s="64"/>
      <c r="AB241" s="64"/>
      <c r="AC241" s="64"/>
      <c r="AD241" s="68">
        <f>VLOOKUP(D241,宠物成长生成表!$B$5:$J$103,3,0)*$AL$2*(VLOOKUP(E241,$AP$1:$AQ$6,2,0))</f>
        <v>2603.8679999999999</v>
      </c>
      <c r="AE241" s="68">
        <f>VLOOKUP(D241,宠物成长生成表!$B$5:$J$103,4,0)*$AL$3*(VLOOKUP(E241,$AP$1:$AQ$6,2,0))</f>
        <v>814.88400000000001</v>
      </c>
      <c r="AF241" s="68">
        <f>VLOOKUP(D241,宠物成长生成表!$B$5:$J$103,4,0)*$AL$4*(VLOOKUP(E241,$AP$1:$AQ$6,2,0))</f>
        <v>1052.9399999999998</v>
      </c>
      <c r="AG241" s="68">
        <f>VLOOKUP(D241,宠物成长生成表!$B$5:$J$103,7,0)*$AL$5*(VLOOKUP(E241,$AP$1:$AQ$6,2,0))</f>
        <v>663.93599999999992</v>
      </c>
      <c r="AH241" s="64">
        <f>VLOOKUP(D241,宠物成长生成表!$B$5:$J$103,6,0)+VLOOKUP(E241,宠物升阶生成表!$B$6:$F$21,5,0)</f>
        <v>130</v>
      </c>
      <c r="AI241" s="64"/>
      <c r="AJ241" s="64"/>
      <c r="AK241" s="64"/>
      <c r="AL241" s="64"/>
      <c r="AM241" s="64"/>
      <c r="AN241" s="64"/>
      <c r="AO241" s="64"/>
      <c r="AP241" s="64"/>
      <c r="AQ241" s="64"/>
      <c r="AR241" s="64"/>
      <c r="AS241" s="65">
        <f t="shared" ref="AS241:AS244" si="145">V241+AD241</f>
        <v>3601.8679999999999</v>
      </c>
      <c r="AT241" s="65">
        <f t="shared" ref="AT241:AT244" si="146">W241+AE241</f>
        <v>1100.884</v>
      </c>
      <c r="AU241" s="65">
        <f t="shared" ref="AU241:AU244" si="147">X241+AF241</f>
        <v>1725.9399999999998</v>
      </c>
      <c r="AV241" s="67">
        <f t="shared" ref="AV241:AV244" si="148">Y241+AG241</f>
        <v>896.93599999999992</v>
      </c>
    </row>
    <row r="242" spans="2:48">
      <c r="B242" s="98"/>
      <c r="C242" s="68" t="s">
        <v>426</v>
      </c>
      <c r="D242" s="68">
        <v>28</v>
      </c>
      <c r="E242" s="92">
        <v>4</v>
      </c>
      <c r="F242" s="68"/>
      <c r="G242" s="68"/>
      <c r="H242" s="68">
        <v>21</v>
      </c>
      <c r="I242" s="68"/>
      <c r="J242" s="68">
        <v>12</v>
      </c>
      <c r="K242" s="68"/>
      <c r="L242" s="68">
        <v>13</v>
      </c>
      <c r="M242" s="68"/>
      <c r="N242" s="68">
        <v>4</v>
      </c>
      <c r="O242" s="68"/>
      <c r="P242" s="68">
        <v>11</v>
      </c>
      <c r="Q242" s="68"/>
      <c r="R242" s="68">
        <v>12</v>
      </c>
      <c r="S242" s="68"/>
      <c r="T242" s="68"/>
      <c r="U242" s="68"/>
      <c r="V242" s="69">
        <f>IF(J242=0,0,VLOOKUP(能力数值!J242,装备拆分数值生成!$AK$4:$AV$53,5,0))+IF(P242=0,0,VLOOKUP(能力数值!P242,装备拆分数值生成!$AK$4:$AV$53,9,0))+IF(R242=0,0,VLOOKUP(能力数值!R242,装备拆分数值生成!$AK$4:$AV$53,11,0))</f>
        <v>1071</v>
      </c>
      <c r="W242" s="69">
        <f>IF(H242=0,0,VLOOKUP(能力数值!H242,装备拆分数值生成!$AK$4:$AV$53,3,0))+IF(N242=0,0,VLOOKUP(能力数值!N242,装备拆分数值生成!$AK$4:$AV$53,7,0))+IF(R242=0,0,VLOOKUP(能力数值!R242,装备拆分数值生成!$AK$4:$AV$53,12,0))</f>
        <v>699</v>
      </c>
      <c r="X242" s="69">
        <f>IF(H242=0,0,VLOOKUP(能力数值!H242,装备拆分数值生成!$AK$4:$AV$53,4,0))+IF(P242=0,0,VLOOKUP(能力数值!P242,装备拆分数值生成!$AK$4:$AV$53,10,0))</f>
        <v>286</v>
      </c>
      <c r="Y242" s="69">
        <f>IF(L242=0,0,VLOOKUP(能力数值!L242,装备拆分数值生成!$AK$4:$AV$53,6,0))+IF(N242=0,0,VLOOKUP(能力数值!N242,装备拆分数值生成!$AK$4:$AV$53,8,0))</f>
        <v>219</v>
      </c>
      <c r="Z242" s="68"/>
      <c r="AA242" s="68"/>
      <c r="AB242" s="68"/>
      <c r="AC242" s="68"/>
      <c r="AD242" s="68">
        <f>VLOOKUP(D242,宠物成长生成表!$B$5:$J$103,3,0)*$AO$2*(VLOOKUP(E242,$AP$1:$AQ$6,2,0))</f>
        <v>2839.4648333333266</v>
      </c>
      <c r="AE242" s="68">
        <f>VLOOKUP(D242,宠物成长生成表!$B$5:$J$103,4,0)*(VLOOKUP(E242,$AP$1:$AQ$6,2,0))</f>
        <v>998.43333333333078</v>
      </c>
      <c r="AF242" s="68">
        <f>VLOOKUP(D242,宠物成长生成表!$B$5:$J$103,4,0)*$AO$4*(VLOOKUP(E242,$AP$1:$AQ$6,2,0))</f>
        <v>888.60566666666443</v>
      </c>
      <c r="AG242" s="68">
        <f>VLOOKUP(D242,宠物成长生成表!$B$5:$J$103,7,0)*$AO$5*(VLOOKUP(E242,$AP$1:$AQ$6,2,0))</f>
        <v>723.69733333333147</v>
      </c>
      <c r="AH242" s="68">
        <f>VLOOKUP(D242,宠物成长生成表!$B$5:$J$103,6,0)+VLOOKUP(E242,宠物升阶生成表!$B$6:$F$21,5,0)</f>
        <v>145</v>
      </c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9">
        <f t="shared" si="145"/>
        <v>3910.4648333333266</v>
      </c>
      <c r="AT242" s="69">
        <f t="shared" si="146"/>
        <v>1697.4333333333307</v>
      </c>
      <c r="AU242" s="69">
        <f t="shared" si="147"/>
        <v>1174.6056666666645</v>
      </c>
      <c r="AV242" s="71">
        <f t="shared" si="148"/>
        <v>942.69733333333147</v>
      </c>
    </row>
    <row r="243" spans="2:48">
      <c r="B243" s="98"/>
      <c r="C243" s="68" t="s">
        <v>394</v>
      </c>
      <c r="D243" s="68">
        <v>26</v>
      </c>
      <c r="E243" s="92">
        <v>3</v>
      </c>
      <c r="F243" s="68"/>
      <c r="G243" s="68"/>
      <c r="H243" s="68">
        <v>16</v>
      </c>
      <c r="I243" s="68"/>
      <c r="J243" s="68">
        <v>9</v>
      </c>
      <c r="K243" s="68"/>
      <c r="L243" s="68">
        <v>13</v>
      </c>
      <c r="M243" s="68"/>
      <c r="N243" s="68">
        <v>5</v>
      </c>
      <c r="O243" s="68"/>
      <c r="P243" s="68">
        <v>16</v>
      </c>
      <c r="Q243" s="68"/>
      <c r="R243" s="68">
        <v>11</v>
      </c>
      <c r="S243" s="68"/>
      <c r="T243" s="68"/>
      <c r="U243" s="68"/>
      <c r="V243" s="69">
        <f>IF(J243=0,0,VLOOKUP(能力数值!J243,装备拆分数值生成!$AK$165:$AV$214,5,0))+IF(P243=0,0,VLOOKUP(能力数值!P243,装备拆分数值生成!$AK$165:$AV$214,9,0))+IF(R243=0,0,VLOOKUP(能力数值!R243,装备拆分数值生成!$AK$165:$AV$214,11,0))</f>
        <v>1082</v>
      </c>
      <c r="W243" s="69">
        <f>IF(H243=0,0,VLOOKUP(能力数值!H243,装备拆分数值生成!$AK$165:$AV$214,3,0))</f>
        <v>284</v>
      </c>
      <c r="X243" s="69">
        <f>IF(H243=0,0,VLOOKUP(能力数值!H243,装备拆分数值生成!$AK$165:$AV$214,4,0))+IF(P243=0,0,VLOOKUP(能力数值!P243,装备拆分数值生成!$AK$165:$AV$214,10,0))</f>
        <v>378</v>
      </c>
      <c r="Y243" s="69">
        <f>IF(L243=0,0,VLOOKUP(能力数值!L243,装备拆分数值生成!$AK$165:$AV$214,6,0))+IF(N243=0,0,VLOOKUP(能力数值!N243,装备拆分数值生成!$AK$165:$AV$214,8,0))+IF(R243=0,0,VLOOKUP(能力数值!R243,装备拆分数值生成!$AK$165:$AV$214,12,0))</f>
        <v>294</v>
      </c>
      <c r="Z243" s="68"/>
      <c r="AA243" s="68"/>
      <c r="AB243" s="68"/>
      <c r="AC243" s="68"/>
      <c r="AD243" s="68">
        <f>VLOOKUP(D242,宠物成长生成表!$B$5:$J$103,3,0)*$AN$2*(VLOOKUP(E243,$AP$1:$AQ$6,2,0))</f>
        <v>3284.64</v>
      </c>
      <c r="AE243" s="68">
        <f>VLOOKUP(D242,宠物成长生成表!$B$5:$J$103,4,0)*$AN$3*(VLOOKUP(E243,$AP$1:$AQ$6,2,0))</f>
        <v>840.24</v>
      </c>
      <c r="AF243" s="68">
        <f>VLOOKUP(D242,宠物成长生成表!$B$5:$J$103,4,0)*$AN$4*(VLOOKUP(E243,$AP$1:$AQ$6,2,0))</f>
        <v>840.24</v>
      </c>
      <c r="AG243" s="68">
        <f>VLOOKUP(D242,宠物成长生成表!$B$5:$J$103,7,0)*$AN$5*(VLOOKUP(E243,$AP$1:$AQ$6,2,0))</f>
        <v>783.55200000000002</v>
      </c>
      <c r="AH243" s="68">
        <f>VLOOKUP(D243,宠物成长生成表!$B$5:$J$103,6,0)+VLOOKUP(E243,宠物升阶生成表!$B$6:$F$21,5,0)</f>
        <v>128</v>
      </c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9">
        <f t="shared" si="145"/>
        <v>4366.6399999999994</v>
      </c>
      <c r="AT243" s="69">
        <f t="shared" si="146"/>
        <v>1124.24</v>
      </c>
      <c r="AU243" s="69">
        <f t="shared" si="147"/>
        <v>1218.24</v>
      </c>
      <c r="AV243" s="71">
        <f t="shared" si="148"/>
        <v>1077.5520000000001</v>
      </c>
    </row>
    <row r="244" spans="2:48">
      <c r="B244" s="98"/>
      <c r="C244" s="68" t="s">
        <v>427</v>
      </c>
      <c r="D244" s="68">
        <v>22</v>
      </c>
      <c r="E244" s="92">
        <v>2</v>
      </c>
      <c r="F244" s="68"/>
      <c r="G244" s="68"/>
      <c r="H244" s="68">
        <v>16</v>
      </c>
      <c r="I244" s="68"/>
      <c r="J244" s="68">
        <v>12</v>
      </c>
      <c r="K244" s="68"/>
      <c r="L244" s="88">
        <v>20</v>
      </c>
      <c r="M244" s="68"/>
      <c r="N244" s="68">
        <v>6</v>
      </c>
      <c r="O244" s="68"/>
      <c r="P244" s="68">
        <v>11</v>
      </c>
      <c r="Q244" s="68"/>
      <c r="R244" s="68">
        <v>7</v>
      </c>
      <c r="S244" s="68"/>
      <c r="T244" s="68"/>
      <c r="U244" s="68"/>
      <c r="V244" s="69">
        <f>IF(J244=0,0,VLOOKUP(能力数值!J244,装备拆分数值生成!$AK$112:$AV$161,5,0))+IF(P244=0,0,VLOOKUP(能力数值!P244,装备拆分数值生成!$AK$112:$AV$161,5,0))+IF(R244=0,0,VLOOKUP(能力数值!R244,装备拆分数值生成!$AK$112:$AV$161,11,0))</f>
        <v>1784</v>
      </c>
      <c r="W244" s="69">
        <f>IF(H244=0,0,VLOOKUP(能力数值!H244,装备拆分数值生成!$AK$112:$AV$161,3,0))</f>
        <v>260</v>
      </c>
      <c r="X244" s="69">
        <f>IF(H244=0,0,VLOOKUP(能力数值!H244,装备拆分数值生成!$AK$112:$AV$161,4,0))</f>
        <v>260</v>
      </c>
      <c r="Y244" s="69">
        <f>IF(L244=0,0,VLOOKUP(能力数值!L244,装备拆分数值生成!$AK$112:$AV$161,6,0))+IF(N244=0,0,VLOOKUP(能力数值!N244,装备拆分数值生成!$AK$112:$AV$161,8,0))+IF(R244=0,0,VLOOKUP(能力数值!R244,装备拆分数值生成!$AK$112:$AV$161,12,0))</f>
        <v>554</v>
      </c>
      <c r="Z244" s="68"/>
      <c r="AA244" s="68"/>
      <c r="AB244" s="68"/>
      <c r="AC244" s="68"/>
      <c r="AD244" s="68">
        <f>VLOOKUP(D244,宠物成长生成表!$B$5:$J$103,3,0)*$AM$2*(VLOOKUP(E244,$AP$1:$AQ$6,2,0))</f>
        <v>3013.92</v>
      </c>
      <c r="AE244" s="68">
        <f>VLOOKUP(D244,宠物成长生成表!$B$5:$J$103,4,0)*$AM$3*(VLOOKUP(E244,$AP$1:$AQ$6,2,0))</f>
        <v>632.95999999999992</v>
      </c>
      <c r="AF244" s="68">
        <f>VLOOKUP(D244,宠物成长生成表!$B$5:$J$103,4,0)*$AM$4*(VLOOKUP(E244,$AP$1:$AQ$6,2,0))</f>
        <v>632.95999999999992</v>
      </c>
      <c r="AG244" s="68">
        <f>VLOOKUP(D244,宠物成长生成表!$B$5:$J$103,7,0)*$AM$5*(VLOOKUP(E244,$AP$1:$AQ$6,2,0))</f>
        <v>995.80799999999999</v>
      </c>
      <c r="AH244" s="68">
        <f>VLOOKUP(D244,宠物成长生成表!$B$5:$J$103,6,0)+VLOOKUP(E244,宠物升阶生成表!$B$6:$F$21,5,0)</f>
        <v>107</v>
      </c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9">
        <f t="shared" si="145"/>
        <v>4797.92</v>
      </c>
      <c r="AT244" s="69">
        <f t="shared" si="146"/>
        <v>892.95999999999992</v>
      </c>
      <c r="AU244" s="69">
        <f t="shared" si="147"/>
        <v>892.95999999999992</v>
      </c>
      <c r="AV244" s="71">
        <f t="shared" si="148"/>
        <v>1549.808</v>
      </c>
    </row>
    <row r="245" spans="2:48" ht="17.25" thickBot="1">
      <c r="B245" s="99"/>
      <c r="C245" s="72" t="s">
        <v>425</v>
      </c>
      <c r="D245" s="72">
        <v>5</v>
      </c>
      <c r="E245" s="93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69"/>
      <c r="W245" s="69"/>
      <c r="X245" s="69"/>
      <c r="Y245" s="69"/>
      <c r="Z245" s="72"/>
      <c r="AA245" s="72"/>
      <c r="AB245" s="72"/>
      <c r="AC245" s="72"/>
      <c r="AD245" s="72">
        <f>VLOOKUP(D245,宠物成长生成表!$B$5:$J$103,3,0)*$AL$2*(VLOOKUP(E245,$AP$1:$AQ$6,2,0))</f>
        <v>1228.99</v>
      </c>
      <c r="AE245" s="72">
        <f>VLOOKUP(D245,宠物成长生成表!$B$5:$J$103,4,0)*$AL$3*(VLOOKUP(E245,$AP$1:$AQ$6,2,0))</f>
        <v>384.48</v>
      </c>
      <c r="AF245" s="72">
        <f>VLOOKUP(D245,宠物成长生成表!$B$5:$J$103,4,0)*$AL$4*(VLOOKUP(E245,$AP$1:$AQ$6,2,0))</f>
        <v>496.79999999999995</v>
      </c>
      <c r="AG245" s="72">
        <f>VLOOKUP(D245,宠物成长生成表!$B$5:$J$103,7,0)*$AL$5*(VLOOKUP(E245,$AP$1:$AQ$6,2,0))</f>
        <v>313.12</v>
      </c>
      <c r="AH245" s="81">
        <f>VLOOKUP(D245,宠物成长生成表!$B$5:$J$103,6,0)</f>
        <v>59</v>
      </c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8"/>
    </row>
    <row r="246" spans="2:48">
      <c r="B246" s="97" t="s">
        <v>515</v>
      </c>
      <c r="C246" s="64" t="s">
        <v>428</v>
      </c>
      <c r="D246" s="64">
        <v>27</v>
      </c>
      <c r="E246" s="91">
        <v>3</v>
      </c>
      <c r="F246" s="64"/>
      <c r="G246" s="64"/>
      <c r="H246" s="89">
        <v>15</v>
      </c>
      <c r="I246" s="64"/>
      <c r="J246" s="64">
        <v>11</v>
      </c>
      <c r="K246" s="64"/>
      <c r="L246" s="64">
        <v>11</v>
      </c>
      <c r="M246" s="64"/>
      <c r="N246" s="64">
        <v>11</v>
      </c>
      <c r="O246" s="64"/>
      <c r="P246" s="64">
        <v>11</v>
      </c>
      <c r="Q246" s="64"/>
      <c r="R246" s="64">
        <v>5</v>
      </c>
      <c r="S246" s="64"/>
      <c r="T246" s="64"/>
      <c r="U246" s="64"/>
      <c r="V246" s="65">
        <f>IF(J246=0,0,VLOOKUP(能力数值!J246,装备拆分数值生成!$AK$58:$AV$107,5,0))+IF(P246=0,0,VLOOKUP(P246,装备拆分数值生成!$AK$58:$AV$107,9,0))+IF(R246=0,0,VLOOKUP(R246,装备拆分数值生成!$AK$58:$AV$107,11,0))</f>
        <v>998</v>
      </c>
      <c r="W246" s="65">
        <f>IF(H246=0,0,VLOOKUP(H246,装备拆分数值生成!$AK$58:$AV$107,3,0))+IF(P246=0,0,VLOOKUP(P246,装备拆分数值生成!$AK$58:$AV$107,10,0))</f>
        <v>214</v>
      </c>
      <c r="X246" s="65">
        <f>IF(H246=0,0,VLOOKUP(H246,装备拆分数值生成!$AK$58:$AV$107,4,0))+IF(N246=0,0,VLOOKUP(N246,装备拆分数值生成!$AK$58:$AV$107,7,0))+IF(R246=0,0,VLOOKUP(R246,装备拆分数值生成!$AK$58:$AV$107,12,0))</f>
        <v>529</v>
      </c>
      <c r="Y246" s="65">
        <f>IF(L246=0,0,VLOOKUP(L246,装备拆分数值生成!$AK$58:$AV$107,6,0))+IF(N246=0,0,VLOOKUP(N246,装备拆分数值生成!$AK$58:$AV$107,8,0))</f>
        <v>233</v>
      </c>
      <c r="Z246" s="64"/>
      <c r="AA246" s="64"/>
      <c r="AB246" s="64"/>
      <c r="AC246" s="64"/>
      <c r="AD246" s="68">
        <f>VLOOKUP(D246,宠物成长生成表!$B$5:$J$103,3,0)*$AL$2*(VLOOKUP(E246,$AP$1:$AQ$6,2,0))</f>
        <v>2603.8679999999999</v>
      </c>
      <c r="AE246" s="68">
        <f>VLOOKUP(D246,宠物成长生成表!$B$5:$J$103,4,0)*$AL$3*(VLOOKUP(E246,$AP$1:$AQ$6,2,0))</f>
        <v>814.88400000000001</v>
      </c>
      <c r="AF246" s="68">
        <f>VLOOKUP(D246,宠物成长生成表!$B$5:$J$103,4,0)*$AL$4*(VLOOKUP(E246,$AP$1:$AQ$6,2,0))</f>
        <v>1052.9399999999998</v>
      </c>
      <c r="AG246" s="68">
        <f>VLOOKUP(D246,宠物成长生成表!$B$5:$J$103,7,0)*$AL$5*(VLOOKUP(E246,$AP$1:$AQ$6,2,0))</f>
        <v>663.93599999999992</v>
      </c>
      <c r="AH246" s="64">
        <f>VLOOKUP(D246,宠物成长生成表!$B$5:$J$103,6,0)+VLOOKUP(E246,宠物升阶生成表!$B$6:$F$21,5,0)</f>
        <v>130</v>
      </c>
      <c r="AI246" s="64"/>
      <c r="AJ246" s="64"/>
      <c r="AK246" s="64"/>
      <c r="AL246" s="64"/>
      <c r="AM246" s="64"/>
      <c r="AN246" s="64"/>
      <c r="AO246" s="64"/>
      <c r="AP246" s="64"/>
      <c r="AQ246" s="64"/>
      <c r="AR246" s="64"/>
      <c r="AS246" s="65">
        <f t="shared" ref="AS246:AS249" si="149">V246+AD246</f>
        <v>3601.8679999999999</v>
      </c>
      <c r="AT246" s="65">
        <f t="shared" ref="AT246:AT249" si="150">W246+AE246</f>
        <v>1028.884</v>
      </c>
      <c r="AU246" s="65">
        <f t="shared" ref="AU246:AU249" si="151">X246+AF246</f>
        <v>1581.9399999999998</v>
      </c>
      <c r="AV246" s="67">
        <f t="shared" ref="AV246:AV249" si="152">Y246+AG246</f>
        <v>896.93599999999992</v>
      </c>
    </row>
    <row r="247" spans="2:48">
      <c r="B247" s="98"/>
      <c r="C247" s="68" t="s">
        <v>426</v>
      </c>
      <c r="D247" s="68">
        <v>28</v>
      </c>
      <c r="E247" s="92">
        <v>4</v>
      </c>
      <c r="F247" s="68"/>
      <c r="G247" s="68"/>
      <c r="H247" s="68">
        <v>16</v>
      </c>
      <c r="I247" s="68"/>
      <c r="J247" s="68">
        <v>6</v>
      </c>
      <c r="K247" s="68"/>
      <c r="L247" s="68">
        <v>11</v>
      </c>
      <c r="M247" s="68"/>
      <c r="N247" s="68">
        <v>4</v>
      </c>
      <c r="O247" s="68"/>
      <c r="P247" s="68">
        <v>11</v>
      </c>
      <c r="Q247" s="68"/>
      <c r="R247" s="68">
        <v>12</v>
      </c>
      <c r="S247" s="68"/>
      <c r="T247" s="68"/>
      <c r="U247" s="68"/>
      <c r="V247" s="69">
        <f>IF(J247=0,0,VLOOKUP(能力数值!J247,装备拆分数值生成!$AK$4:$AV$53,5,0))+IF(P247=0,0,VLOOKUP(能力数值!P247,装备拆分数值生成!$AK$4:$AV$53,9,0))+IF(R247=0,0,VLOOKUP(能力数值!R247,装备拆分数值生成!$AK$4:$AV$53,11,0))</f>
        <v>911</v>
      </c>
      <c r="W247" s="69">
        <f>IF(H247=0,0,VLOOKUP(能力数值!H247,装备拆分数值生成!$AK$4:$AV$53,3,0))+IF(N247=0,0,VLOOKUP(能力数值!N247,装备拆分数值生成!$AK$4:$AV$53,7,0))+IF(R247=0,0,VLOOKUP(能力数值!R247,装备拆分数值生成!$AK$4:$AV$53,12,0))</f>
        <v>575</v>
      </c>
      <c r="X247" s="69">
        <f>IF(H247=0,0,VLOOKUP(能力数值!H247,装备拆分数值生成!$AK$4:$AV$53,4,0))+IF(P247=0,0,VLOOKUP(能力数值!P247,装备拆分数值生成!$AK$4:$AV$53,10,0))</f>
        <v>224</v>
      </c>
      <c r="Y247" s="69">
        <f>IF(L247=0,0,VLOOKUP(能力数值!L247,装备拆分数值生成!$AK$4:$AV$53,6,0))+IF(N247=0,0,VLOOKUP(能力数值!N247,装备拆分数值生成!$AK$4:$AV$53,8,0))</f>
        <v>200</v>
      </c>
      <c r="Z247" s="68"/>
      <c r="AA247" s="68"/>
      <c r="AB247" s="68"/>
      <c r="AC247" s="68"/>
      <c r="AD247" s="68">
        <f>VLOOKUP(D247,宠物成长生成表!$B$5:$J$103,3,0)*$AO$2*(VLOOKUP(E247,$AP$1:$AQ$6,2,0))</f>
        <v>2839.4648333333266</v>
      </c>
      <c r="AE247" s="68">
        <f>VLOOKUP(D247,宠物成长生成表!$B$5:$J$103,4,0)*(VLOOKUP(E247,$AP$1:$AQ$6,2,0))</f>
        <v>998.43333333333078</v>
      </c>
      <c r="AF247" s="68">
        <f>VLOOKUP(D247,宠物成长生成表!$B$5:$J$103,4,0)*$AO$4*(VLOOKUP(E247,$AP$1:$AQ$6,2,0))</f>
        <v>888.60566666666443</v>
      </c>
      <c r="AG247" s="68">
        <f>VLOOKUP(D247,宠物成长生成表!$B$5:$J$103,7,0)*$AO$5*(VLOOKUP(E247,$AP$1:$AQ$6,2,0))</f>
        <v>723.69733333333147</v>
      </c>
      <c r="AH247" s="68">
        <f>VLOOKUP(D247,宠物成长生成表!$B$5:$J$103,6,0)+VLOOKUP(E247,宠物升阶生成表!$B$6:$F$21,5,0)</f>
        <v>145</v>
      </c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9">
        <f t="shared" si="149"/>
        <v>3750.4648333333266</v>
      </c>
      <c r="AT247" s="69">
        <f t="shared" si="150"/>
        <v>1573.4333333333307</v>
      </c>
      <c r="AU247" s="69">
        <f t="shared" si="151"/>
        <v>1112.6056666666645</v>
      </c>
      <c r="AV247" s="71">
        <f t="shared" si="152"/>
        <v>923.69733333333147</v>
      </c>
    </row>
    <row r="248" spans="2:48">
      <c r="B248" s="98"/>
      <c r="C248" s="68" t="s">
        <v>394</v>
      </c>
      <c r="D248" s="68">
        <v>26</v>
      </c>
      <c r="E248" s="92">
        <v>2</v>
      </c>
      <c r="F248" s="68"/>
      <c r="G248" s="68"/>
      <c r="H248" s="68">
        <v>15</v>
      </c>
      <c r="I248" s="68"/>
      <c r="J248" s="68">
        <v>8</v>
      </c>
      <c r="K248" s="68"/>
      <c r="L248" s="68">
        <v>12</v>
      </c>
      <c r="M248" s="68"/>
      <c r="N248" s="68">
        <v>5</v>
      </c>
      <c r="O248" s="68"/>
      <c r="P248" s="68">
        <v>16</v>
      </c>
      <c r="Q248" s="68"/>
      <c r="R248" s="68">
        <v>11</v>
      </c>
      <c r="S248" s="68"/>
      <c r="T248" s="68"/>
      <c r="U248" s="68"/>
      <c r="V248" s="69">
        <f>IF(J248=0,0,VLOOKUP(能力数值!J248,装备拆分数值生成!$AK$165:$AV$214,5,0))+IF(P248=0,0,VLOOKUP(能力数值!P248,装备拆分数值生成!$AK$165:$AV$214,9,0))+IF(R248=0,0,VLOOKUP(能力数值!R248,装备拆分数值生成!$AK$165:$AV$214,11,0))</f>
        <v>1058</v>
      </c>
      <c r="W248" s="69">
        <f>IF(H248=0,0,VLOOKUP(能力数值!H248,装备拆分数值生成!$AK$165:$AV$214,3,0))</f>
        <v>269</v>
      </c>
      <c r="X248" s="69">
        <f>IF(H248=0,0,VLOOKUP(能力数值!H248,装备拆分数值生成!$AK$165:$AV$214,4,0))+IF(P248=0,0,VLOOKUP(能力数值!P248,装备拆分数值生成!$AK$165:$AV$214,10,0))</f>
        <v>363</v>
      </c>
      <c r="Y248" s="69">
        <f>IF(L248=0,0,VLOOKUP(能力数值!L248,装备拆分数值生成!$AK$165:$AV$214,6,0))+IF(N248=0,0,VLOOKUP(能力数值!N248,装备拆分数值生成!$AK$165:$AV$214,8,0))+IF(R248=0,0,VLOOKUP(能力数值!R248,装备拆分数值生成!$AK$165:$AV$214,12,0))</f>
        <v>283</v>
      </c>
      <c r="Z248" s="68"/>
      <c r="AA248" s="68"/>
      <c r="AB248" s="68"/>
      <c r="AC248" s="68"/>
      <c r="AD248" s="68">
        <f>VLOOKUP(D247,宠物成长生成表!$B$5:$J$103,3,0)*$AN$2*(VLOOKUP(E248,$AP$1:$AQ$6,2,0))</f>
        <v>3147.7799999999997</v>
      </c>
      <c r="AE248" s="68">
        <f>VLOOKUP(D247,宠物成长生成表!$B$5:$J$103,4,0)*$AN$3*(VLOOKUP(E248,$AP$1:$AQ$6,2,0))</f>
        <v>805.23</v>
      </c>
      <c r="AF248" s="68">
        <f>VLOOKUP(D247,宠物成长生成表!$B$5:$J$103,4,0)*$AN$4*(VLOOKUP(E248,$AP$1:$AQ$6,2,0))</f>
        <v>805.23</v>
      </c>
      <c r="AG248" s="68">
        <f>VLOOKUP(D247,宠物成长生成表!$B$5:$J$103,7,0)*$AN$5*(VLOOKUP(E248,$AP$1:$AQ$6,2,0))</f>
        <v>750.904</v>
      </c>
      <c r="AH248" s="68">
        <f>VLOOKUP(D248,宠物成长生成表!$B$5:$J$103,6,0)+VLOOKUP(E248,宠物升阶生成表!$B$6:$F$21,5,0)</f>
        <v>115</v>
      </c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9">
        <f t="shared" si="149"/>
        <v>4205.78</v>
      </c>
      <c r="AT248" s="69">
        <f t="shared" si="150"/>
        <v>1074.23</v>
      </c>
      <c r="AU248" s="69">
        <f t="shared" si="151"/>
        <v>1168.23</v>
      </c>
      <c r="AV248" s="71">
        <f t="shared" si="152"/>
        <v>1033.904</v>
      </c>
    </row>
    <row r="249" spans="2:48">
      <c r="B249" s="98"/>
      <c r="C249" s="68" t="s">
        <v>427</v>
      </c>
      <c r="D249" s="68">
        <v>22</v>
      </c>
      <c r="E249" s="92">
        <v>2</v>
      </c>
      <c r="F249" s="68"/>
      <c r="G249" s="68"/>
      <c r="H249" s="68">
        <v>13</v>
      </c>
      <c r="I249" s="68"/>
      <c r="J249" s="68">
        <v>10</v>
      </c>
      <c r="K249" s="68"/>
      <c r="L249" s="88">
        <v>24</v>
      </c>
      <c r="M249" s="68"/>
      <c r="N249" s="68">
        <v>6</v>
      </c>
      <c r="O249" s="68"/>
      <c r="P249" s="68">
        <v>11</v>
      </c>
      <c r="Q249" s="68"/>
      <c r="R249" s="68">
        <v>8</v>
      </c>
      <c r="S249" s="68"/>
      <c r="T249" s="68"/>
      <c r="U249" s="68"/>
      <c r="V249" s="69">
        <f>IF(J249=0,0,VLOOKUP(能力数值!J249,装备拆分数值生成!$AK$112:$AV$161,5,0))+IF(P249=0,0,VLOOKUP(能力数值!P249,装备拆分数值生成!$AK$112:$AV$161,5,0))+IF(R249=0,0,VLOOKUP(能力数值!R249,装备拆分数值生成!$AK$112:$AV$161,11,0))</f>
        <v>1684</v>
      </c>
      <c r="W249" s="69">
        <f>IF(H249=0,0,VLOOKUP(能力数值!H249,装备拆分数值生成!$AK$112:$AV$161,3,0))</f>
        <v>219</v>
      </c>
      <c r="X249" s="69">
        <f>IF(H249=0,0,VLOOKUP(能力数值!H249,装备拆分数值生成!$AK$112:$AV$161,4,0))</f>
        <v>219</v>
      </c>
      <c r="Y249" s="69">
        <f>IF(L249=0,0,VLOOKUP(能力数值!L249,装备拆分数值生成!$AK$112:$AV$161,6,0))+IF(N249=0,0,VLOOKUP(能力数值!N249,装备拆分数值生成!$AK$112:$AV$161,8,0))+IF(R249=0,0,VLOOKUP(能力数值!R249,装备拆分数值生成!$AK$112:$AV$161,12,0))</f>
        <v>659</v>
      </c>
      <c r="Z249" s="68"/>
      <c r="AA249" s="68"/>
      <c r="AB249" s="68"/>
      <c r="AC249" s="68"/>
      <c r="AD249" s="68">
        <f>VLOOKUP(D249,宠物成长生成表!$B$5:$J$103,3,0)*$AM$2*(VLOOKUP(E249,$AP$1:$AQ$6,2,0))</f>
        <v>3013.92</v>
      </c>
      <c r="AE249" s="68">
        <f>VLOOKUP(D249,宠物成长生成表!$B$5:$J$103,4,0)*$AM$3*(VLOOKUP(E249,$AP$1:$AQ$6,2,0))</f>
        <v>632.95999999999992</v>
      </c>
      <c r="AF249" s="68">
        <f>VLOOKUP(D249,宠物成长生成表!$B$5:$J$103,4,0)*$AM$4*(VLOOKUP(E249,$AP$1:$AQ$6,2,0))</f>
        <v>632.95999999999992</v>
      </c>
      <c r="AG249" s="68">
        <f>VLOOKUP(D249,宠物成长生成表!$B$5:$J$103,7,0)*$AM$5*(VLOOKUP(E249,$AP$1:$AQ$6,2,0))</f>
        <v>995.80799999999999</v>
      </c>
      <c r="AH249" s="68">
        <f>VLOOKUP(D249,宠物成长生成表!$B$5:$J$103,6,0)+VLOOKUP(E249,宠物升阶生成表!$B$6:$F$21,5,0)</f>
        <v>107</v>
      </c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9">
        <f t="shared" si="149"/>
        <v>4697.92</v>
      </c>
      <c r="AT249" s="69">
        <f t="shared" si="150"/>
        <v>851.95999999999992</v>
      </c>
      <c r="AU249" s="69">
        <f t="shared" si="151"/>
        <v>851.95999999999992</v>
      </c>
      <c r="AV249" s="71">
        <f t="shared" si="152"/>
        <v>1654.808</v>
      </c>
    </row>
    <row r="250" spans="2:48" ht="17.25" thickBot="1">
      <c r="B250" s="99"/>
      <c r="C250" s="72" t="s">
        <v>425</v>
      </c>
      <c r="D250" s="72">
        <v>5</v>
      </c>
      <c r="E250" s="93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69"/>
      <c r="W250" s="69"/>
      <c r="X250" s="69"/>
      <c r="Y250" s="69"/>
      <c r="Z250" s="72"/>
      <c r="AA250" s="72"/>
      <c r="AB250" s="72"/>
      <c r="AC250" s="72"/>
      <c r="AD250" s="72">
        <f>VLOOKUP(D250,宠物成长生成表!$B$5:$J$103,3,0)*$AL$2*(VLOOKUP(E250,$AP$1:$AQ$6,2,0))</f>
        <v>1228.99</v>
      </c>
      <c r="AE250" s="72">
        <f>VLOOKUP(D250,宠物成长生成表!$B$5:$J$103,4,0)*$AL$3*(VLOOKUP(E250,$AP$1:$AQ$6,2,0))</f>
        <v>384.48</v>
      </c>
      <c r="AF250" s="72">
        <f>VLOOKUP(D250,宠物成长生成表!$B$5:$J$103,4,0)*$AL$4*(VLOOKUP(E250,$AP$1:$AQ$6,2,0))</f>
        <v>496.79999999999995</v>
      </c>
      <c r="AG250" s="72">
        <f>VLOOKUP(D250,宠物成长生成表!$B$5:$J$103,7,0)*$AL$5*(VLOOKUP(E250,$AP$1:$AQ$6,2,0))</f>
        <v>313.12</v>
      </c>
      <c r="AH250" s="81">
        <f>VLOOKUP(D250,宠物成长生成表!$B$5:$J$103,6,0)</f>
        <v>59</v>
      </c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8"/>
    </row>
    <row r="251" spans="2:48">
      <c r="B251" s="97" t="s">
        <v>516</v>
      </c>
      <c r="C251" s="64" t="s">
        <v>428</v>
      </c>
      <c r="D251" s="64">
        <v>27</v>
      </c>
      <c r="E251" s="91">
        <v>3</v>
      </c>
      <c r="F251" s="64"/>
      <c r="G251" s="64"/>
      <c r="H251" s="89">
        <v>18</v>
      </c>
      <c r="I251" s="64"/>
      <c r="J251" s="64">
        <v>11</v>
      </c>
      <c r="K251" s="64"/>
      <c r="L251" s="64">
        <v>11</v>
      </c>
      <c r="M251" s="64"/>
      <c r="N251" s="64">
        <v>11</v>
      </c>
      <c r="O251" s="64"/>
      <c r="P251" s="64">
        <v>11</v>
      </c>
      <c r="Q251" s="64"/>
      <c r="R251" s="64">
        <v>5</v>
      </c>
      <c r="S251" s="64"/>
      <c r="T251" s="64"/>
      <c r="U251" s="64"/>
      <c r="V251" s="65">
        <f>IF(J251=0,0,VLOOKUP(能力数值!J251,装备拆分数值生成!$AK$58:$AV$107,5,0))+IF(P251=0,0,VLOOKUP(P251,装备拆分数值生成!$AK$58:$AV$107,9,0))+IF(R251=0,0,VLOOKUP(R251,装备拆分数值生成!$AK$58:$AV$107,11,0))</f>
        <v>998</v>
      </c>
      <c r="W251" s="65">
        <f>IF(H251=0,0,VLOOKUP(H251,装备拆分数值生成!$AK$58:$AV$107,3,0))+IF(P251=0,0,VLOOKUP(P251,装备拆分数值生成!$AK$58:$AV$107,10,0))</f>
        <v>244</v>
      </c>
      <c r="X251" s="65">
        <f>IF(H251=0,0,VLOOKUP(H251,装备拆分数值生成!$AK$58:$AV$107,4,0))+IF(N251=0,0,VLOOKUP(N251,装备拆分数值生成!$AK$58:$AV$107,7,0))+IF(R251=0,0,VLOOKUP(R251,装备拆分数值生成!$AK$58:$AV$107,12,0))</f>
        <v>588</v>
      </c>
      <c r="Y251" s="65">
        <f>IF(L251=0,0,VLOOKUP(L251,装备拆分数值生成!$AK$58:$AV$107,6,0))+IF(N251=0,0,VLOOKUP(N251,装备拆分数值生成!$AK$58:$AV$107,8,0))</f>
        <v>233</v>
      </c>
      <c r="Z251" s="64"/>
      <c r="AA251" s="64"/>
      <c r="AB251" s="64"/>
      <c r="AC251" s="64"/>
      <c r="AD251" s="68">
        <f>VLOOKUP(D251,宠物成长生成表!$B$5:$J$103,3,0)*$AL$2*(VLOOKUP(E251,$AP$1:$AQ$6,2,0))</f>
        <v>2603.8679999999999</v>
      </c>
      <c r="AE251" s="68">
        <f>VLOOKUP(D251,宠物成长生成表!$B$5:$J$103,4,0)*$AL$3*(VLOOKUP(E251,$AP$1:$AQ$6,2,0))</f>
        <v>814.88400000000001</v>
      </c>
      <c r="AF251" s="68">
        <f>VLOOKUP(D251,宠物成长生成表!$B$5:$J$103,4,0)*$AL$4*(VLOOKUP(E251,$AP$1:$AQ$6,2,0))</f>
        <v>1052.9399999999998</v>
      </c>
      <c r="AG251" s="68">
        <f>VLOOKUP(D251,宠物成长生成表!$B$5:$J$103,7,0)*$AL$5*(VLOOKUP(E251,$AP$1:$AQ$6,2,0))</f>
        <v>663.93599999999992</v>
      </c>
      <c r="AH251" s="64">
        <f>VLOOKUP(D251,宠物成长生成表!$B$5:$J$103,6,0)+VLOOKUP(E251,宠物升阶生成表!$B$6:$F$21,5,0)</f>
        <v>130</v>
      </c>
      <c r="AI251" s="64"/>
      <c r="AJ251" s="64"/>
      <c r="AK251" s="64"/>
      <c r="AL251" s="64"/>
      <c r="AM251" s="64"/>
      <c r="AN251" s="64"/>
      <c r="AO251" s="64"/>
      <c r="AP251" s="64"/>
      <c r="AQ251" s="64"/>
      <c r="AR251" s="64"/>
      <c r="AS251" s="65">
        <f t="shared" ref="AS251:AS254" si="153">V251+AD251</f>
        <v>3601.8679999999999</v>
      </c>
      <c r="AT251" s="65">
        <f t="shared" ref="AT251:AT254" si="154">W251+AE251</f>
        <v>1058.884</v>
      </c>
      <c r="AU251" s="65">
        <f t="shared" ref="AU251:AU254" si="155">X251+AF251</f>
        <v>1640.9399999999998</v>
      </c>
      <c r="AV251" s="67">
        <f t="shared" ref="AV251:AV254" si="156">Y251+AG251</f>
        <v>896.93599999999992</v>
      </c>
    </row>
    <row r="252" spans="2:48">
      <c r="B252" s="98"/>
      <c r="C252" s="68" t="s">
        <v>426</v>
      </c>
      <c r="D252" s="68">
        <v>28</v>
      </c>
      <c r="E252" s="92">
        <v>4</v>
      </c>
      <c r="F252" s="68"/>
      <c r="G252" s="68"/>
      <c r="H252" s="68">
        <v>19</v>
      </c>
      <c r="I252" s="68"/>
      <c r="J252" s="68">
        <v>12</v>
      </c>
      <c r="K252" s="68"/>
      <c r="L252" s="68">
        <v>13</v>
      </c>
      <c r="M252" s="68"/>
      <c r="N252" s="68">
        <v>4</v>
      </c>
      <c r="O252" s="68"/>
      <c r="P252" s="68">
        <v>11</v>
      </c>
      <c r="Q252" s="68"/>
      <c r="R252" s="68">
        <v>12</v>
      </c>
      <c r="S252" s="68"/>
      <c r="T252" s="68"/>
      <c r="U252" s="68"/>
      <c r="V252" s="69">
        <f>IF(J252=0,0,VLOOKUP(能力数值!J252,装备拆分数值生成!$AK$4:$AV$53,5,0))+IF(P252=0,0,VLOOKUP(能力数值!P252,装备拆分数值生成!$AK$4:$AV$53,9,0))+IF(R252=0,0,VLOOKUP(能力数值!R252,装备拆分数值生成!$AK$4:$AV$53,11,0))</f>
        <v>1071</v>
      </c>
      <c r="W252" s="69">
        <f>IF(H252=0,0,VLOOKUP(能力数值!H252,装备拆分数值生成!$AK$4:$AV$53,3,0))+IF(N252=0,0,VLOOKUP(能力数值!N252,装备拆分数值生成!$AK$4:$AV$53,7,0))+IF(R252=0,0,VLOOKUP(能力数值!R252,装备拆分数值生成!$AK$4:$AV$53,12,0))</f>
        <v>634</v>
      </c>
      <c r="X252" s="69">
        <f>IF(H252=0,0,VLOOKUP(能力数值!H252,装备拆分数值生成!$AK$4:$AV$53,4,0))+IF(P252=0,0,VLOOKUP(能力数值!P252,装备拆分数值生成!$AK$4:$AV$53,10,0))</f>
        <v>254</v>
      </c>
      <c r="Y252" s="69">
        <f>IF(L252=0,0,VLOOKUP(能力数值!L252,装备拆分数值生成!$AK$4:$AV$53,6,0))+IF(N252=0,0,VLOOKUP(能力数值!N252,装备拆分数值生成!$AK$4:$AV$53,8,0))</f>
        <v>219</v>
      </c>
      <c r="Z252" s="68"/>
      <c r="AA252" s="68"/>
      <c r="AB252" s="68"/>
      <c r="AC252" s="68"/>
      <c r="AD252" s="68">
        <f>VLOOKUP(D252,宠物成长生成表!$B$5:$J$103,3,0)*$AO$2*(VLOOKUP(E252,$AP$1:$AQ$6,2,0))</f>
        <v>2839.4648333333266</v>
      </c>
      <c r="AE252" s="68">
        <f>VLOOKUP(D252,宠物成长生成表!$B$5:$J$103,4,0)*(VLOOKUP(E252,$AP$1:$AQ$6,2,0))</f>
        <v>998.43333333333078</v>
      </c>
      <c r="AF252" s="68">
        <f>VLOOKUP(D252,宠物成长生成表!$B$5:$J$103,4,0)*$AO$4*(VLOOKUP(E252,$AP$1:$AQ$6,2,0))</f>
        <v>888.60566666666443</v>
      </c>
      <c r="AG252" s="68">
        <f>VLOOKUP(D252,宠物成长生成表!$B$5:$J$103,7,0)*$AO$5*(VLOOKUP(E252,$AP$1:$AQ$6,2,0))</f>
        <v>723.69733333333147</v>
      </c>
      <c r="AH252" s="68">
        <f>VLOOKUP(D252,宠物成长生成表!$B$5:$J$103,6,0)+VLOOKUP(E252,宠物升阶生成表!$B$6:$F$21,5,0)</f>
        <v>145</v>
      </c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9">
        <f t="shared" si="153"/>
        <v>3910.4648333333266</v>
      </c>
      <c r="AT252" s="69">
        <f t="shared" si="154"/>
        <v>1632.4333333333307</v>
      </c>
      <c r="AU252" s="69">
        <f t="shared" si="155"/>
        <v>1142.6056666666645</v>
      </c>
      <c r="AV252" s="71">
        <f t="shared" si="156"/>
        <v>942.69733333333147</v>
      </c>
    </row>
    <row r="253" spans="2:48">
      <c r="B253" s="98"/>
      <c r="C253" s="68" t="s">
        <v>394</v>
      </c>
      <c r="D253" s="68">
        <v>26</v>
      </c>
      <c r="E253" s="92">
        <v>2</v>
      </c>
      <c r="F253" s="68"/>
      <c r="G253" s="68"/>
      <c r="H253" s="68">
        <v>16</v>
      </c>
      <c r="I253" s="68"/>
      <c r="J253" s="68">
        <v>10</v>
      </c>
      <c r="K253" s="68"/>
      <c r="L253" s="68">
        <v>13</v>
      </c>
      <c r="M253" s="68"/>
      <c r="N253" s="68">
        <v>5</v>
      </c>
      <c r="O253" s="68"/>
      <c r="P253" s="68">
        <v>16</v>
      </c>
      <c r="Q253" s="68"/>
      <c r="R253" s="68">
        <v>11</v>
      </c>
      <c r="S253" s="68"/>
      <c r="T253" s="68"/>
      <c r="U253" s="68"/>
      <c r="V253" s="69">
        <f>IF(J253=0,0,VLOOKUP(能力数值!J253,装备拆分数值生成!$AK$165:$AV$214,5,0))+IF(P253=0,0,VLOOKUP(能力数值!P253,装备拆分数值生成!$AK$165:$AV$214,9,0))+IF(R253=0,0,VLOOKUP(能力数值!R253,装备拆分数值生成!$AK$165:$AV$214,11,0))</f>
        <v>1105</v>
      </c>
      <c r="W253" s="69">
        <f>IF(H253=0,0,VLOOKUP(能力数值!H253,装备拆分数值生成!$AK$165:$AV$214,3,0))</f>
        <v>284</v>
      </c>
      <c r="X253" s="69">
        <f>IF(H253=0,0,VLOOKUP(能力数值!H253,装备拆分数值生成!$AK$165:$AV$214,4,0))+IF(P253=0,0,VLOOKUP(能力数值!P253,装备拆分数值生成!$AK$165:$AV$214,10,0))</f>
        <v>378</v>
      </c>
      <c r="Y253" s="69">
        <f>IF(L253=0,0,VLOOKUP(能力数值!L253,装备拆分数值生成!$AK$165:$AV$214,6,0))+IF(N253=0,0,VLOOKUP(能力数值!N253,装备拆分数值生成!$AK$165:$AV$214,8,0))+IF(R253=0,0,VLOOKUP(能力数值!R253,装备拆分数值生成!$AK$165:$AV$214,12,0))</f>
        <v>294</v>
      </c>
      <c r="Z253" s="68"/>
      <c r="AA253" s="68"/>
      <c r="AB253" s="68"/>
      <c r="AC253" s="68"/>
      <c r="AD253" s="68">
        <f>VLOOKUP(D252,宠物成长生成表!$B$5:$J$103,3,0)*$AN$2*(VLOOKUP(E253,$AP$1:$AQ$6,2,0))</f>
        <v>3147.7799999999997</v>
      </c>
      <c r="AE253" s="68">
        <f>VLOOKUP(D252,宠物成长生成表!$B$5:$J$103,4,0)*$AN$3*(VLOOKUP(E253,$AP$1:$AQ$6,2,0))</f>
        <v>805.23</v>
      </c>
      <c r="AF253" s="68">
        <f>VLOOKUP(D252,宠物成长生成表!$B$5:$J$103,4,0)*$AN$4*(VLOOKUP(E253,$AP$1:$AQ$6,2,0))</f>
        <v>805.23</v>
      </c>
      <c r="AG253" s="68">
        <f>VLOOKUP(D252,宠物成长生成表!$B$5:$J$103,7,0)*$AN$5*(VLOOKUP(E253,$AP$1:$AQ$6,2,0))</f>
        <v>750.904</v>
      </c>
      <c r="AH253" s="68">
        <f>VLOOKUP(D253,宠物成长生成表!$B$5:$J$103,6,0)+VLOOKUP(E253,宠物升阶生成表!$B$6:$F$21,5,0)</f>
        <v>115</v>
      </c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9">
        <f t="shared" si="153"/>
        <v>4252.78</v>
      </c>
      <c r="AT253" s="69">
        <f t="shared" si="154"/>
        <v>1089.23</v>
      </c>
      <c r="AU253" s="69">
        <f t="shared" si="155"/>
        <v>1183.23</v>
      </c>
      <c r="AV253" s="71">
        <f t="shared" si="156"/>
        <v>1044.904</v>
      </c>
    </row>
    <row r="254" spans="2:48">
      <c r="B254" s="98"/>
      <c r="C254" s="68" t="s">
        <v>427</v>
      </c>
      <c r="D254" s="68">
        <v>22</v>
      </c>
      <c r="E254" s="92">
        <v>2</v>
      </c>
      <c r="F254" s="68"/>
      <c r="G254" s="68"/>
      <c r="H254" s="68">
        <v>16</v>
      </c>
      <c r="I254" s="68"/>
      <c r="J254" s="68">
        <v>12</v>
      </c>
      <c r="K254" s="68"/>
      <c r="L254" s="88">
        <v>24</v>
      </c>
      <c r="M254" s="68"/>
      <c r="N254" s="68">
        <v>6</v>
      </c>
      <c r="O254" s="68"/>
      <c r="P254" s="68">
        <v>11</v>
      </c>
      <c r="Q254" s="68"/>
      <c r="R254" s="68">
        <v>11</v>
      </c>
      <c r="S254" s="68"/>
      <c r="T254" s="68"/>
      <c r="U254" s="68"/>
      <c r="V254" s="69">
        <f>IF(J254=0,0,VLOOKUP(能力数值!J254,装备拆分数值生成!$AK$112:$AV$161,5,0))+IF(P254=0,0,VLOOKUP(能力数值!P254,装备拆分数值生成!$AK$112:$AV$161,5,0))+IF(R254=0,0,VLOOKUP(能力数值!R254,装备拆分数值生成!$AK$112:$AV$161,11,0))</f>
        <v>1804</v>
      </c>
      <c r="W254" s="69">
        <f>IF(H254=0,0,VLOOKUP(能力数值!H254,装备拆分数值生成!$AK$112:$AV$161,3,0))</f>
        <v>260</v>
      </c>
      <c r="X254" s="69">
        <f>IF(H254=0,0,VLOOKUP(能力数值!H254,装备拆分数值生成!$AK$112:$AV$161,4,0))</f>
        <v>260</v>
      </c>
      <c r="Y254" s="69">
        <f>IF(L254=0,0,VLOOKUP(能力数值!L254,装备拆分数值生成!$AK$112:$AV$161,6,0))+IF(N254=0,0,VLOOKUP(能力数值!N254,装备拆分数值生成!$AK$112:$AV$161,8,0))+IF(R254=0,0,VLOOKUP(能力数值!R254,装备拆分数值生成!$AK$112:$AV$161,12,0))</f>
        <v>680</v>
      </c>
      <c r="Z254" s="68"/>
      <c r="AA254" s="68"/>
      <c r="AB254" s="68"/>
      <c r="AC254" s="68"/>
      <c r="AD254" s="68">
        <f>VLOOKUP(D254,宠物成长生成表!$B$5:$J$103,3,0)*$AM$2*(VLOOKUP(E254,$AP$1:$AQ$6,2,0))</f>
        <v>3013.92</v>
      </c>
      <c r="AE254" s="68">
        <f>VLOOKUP(D254,宠物成长生成表!$B$5:$J$103,4,0)*$AM$3*(VLOOKUP(E254,$AP$1:$AQ$6,2,0))</f>
        <v>632.95999999999992</v>
      </c>
      <c r="AF254" s="68">
        <f>VLOOKUP(D254,宠物成长生成表!$B$5:$J$103,4,0)*$AM$4*(VLOOKUP(E254,$AP$1:$AQ$6,2,0))</f>
        <v>632.95999999999992</v>
      </c>
      <c r="AG254" s="68">
        <f>VLOOKUP(D254,宠物成长生成表!$B$5:$J$103,7,0)*$AM$5*(VLOOKUP(E254,$AP$1:$AQ$6,2,0))</f>
        <v>995.80799999999999</v>
      </c>
      <c r="AH254" s="68">
        <f>VLOOKUP(D254,宠物成长生成表!$B$5:$J$103,6,0)+VLOOKUP(E254,宠物升阶生成表!$B$6:$F$21,5,0)</f>
        <v>107</v>
      </c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9">
        <f t="shared" si="153"/>
        <v>4817.92</v>
      </c>
      <c r="AT254" s="69">
        <f t="shared" si="154"/>
        <v>892.95999999999992</v>
      </c>
      <c r="AU254" s="69">
        <f t="shared" si="155"/>
        <v>892.95999999999992</v>
      </c>
      <c r="AV254" s="71">
        <f t="shared" si="156"/>
        <v>1675.808</v>
      </c>
    </row>
    <row r="255" spans="2:48" ht="17.25" thickBot="1">
      <c r="B255" s="99"/>
      <c r="C255" s="72" t="s">
        <v>425</v>
      </c>
      <c r="D255" s="72">
        <v>5</v>
      </c>
      <c r="E255" s="93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69"/>
      <c r="W255" s="69"/>
      <c r="X255" s="69"/>
      <c r="Y255" s="69"/>
      <c r="Z255" s="72"/>
      <c r="AA255" s="72"/>
      <c r="AB255" s="72"/>
      <c r="AC255" s="72"/>
      <c r="AD255" s="72">
        <f>VLOOKUP(D255,宠物成长生成表!$B$5:$J$103,3,0)*$AL$2*(VLOOKUP(E255,$AP$1:$AQ$6,2,0))</f>
        <v>1228.99</v>
      </c>
      <c r="AE255" s="72">
        <f>VLOOKUP(D255,宠物成长生成表!$B$5:$J$103,4,0)*$AL$3*(VLOOKUP(E255,$AP$1:$AQ$6,2,0))</f>
        <v>384.48</v>
      </c>
      <c r="AF255" s="72">
        <f>VLOOKUP(D255,宠物成长生成表!$B$5:$J$103,4,0)*$AL$4*(VLOOKUP(E255,$AP$1:$AQ$6,2,0))</f>
        <v>496.79999999999995</v>
      </c>
      <c r="AG255" s="72">
        <f>VLOOKUP(D255,宠物成长生成表!$B$5:$J$103,7,0)*$AL$5*(VLOOKUP(E255,$AP$1:$AQ$6,2,0))</f>
        <v>313.12</v>
      </c>
      <c r="AH255" s="81">
        <f>VLOOKUP(D255,宠物成长生成表!$B$5:$J$103,6,0)</f>
        <v>59</v>
      </c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8"/>
    </row>
    <row r="256" spans="2:48">
      <c r="B256" s="97" t="s">
        <v>517</v>
      </c>
      <c r="C256" s="64" t="s">
        <v>428</v>
      </c>
      <c r="D256" s="64">
        <v>27</v>
      </c>
      <c r="E256" s="91">
        <v>3</v>
      </c>
      <c r="F256" s="64"/>
      <c r="G256" s="64"/>
      <c r="H256" s="89">
        <v>19</v>
      </c>
      <c r="I256" s="64"/>
      <c r="J256" s="64">
        <v>11</v>
      </c>
      <c r="K256" s="64"/>
      <c r="L256" s="64">
        <v>11</v>
      </c>
      <c r="M256" s="64"/>
      <c r="N256" s="64">
        <v>11</v>
      </c>
      <c r="O256" s="64"/>
      <c r="P256" s="64">
        <v>11</v>
      </c>
      <c r="Q256" s="64"/>
      <c r="R256" s="64">
        <v>13</v>
      </c>
      <c r="S256" s="64"/>
      <c r="T256" s="64"/>
      <c r="U256" s="64"/>
      <c r="V256" s="65">
        <f>IF(J256=0,0,VLOOKUP(能力数值!J256,装备拆分数值生成!$AK$58:$AV$107,5,0))+IF(P256=0,0,VLOOKUP(P256,装备拆分数值生成!$AK$58:$AV$107,9,0))+IF(R256=0,0,VLOOKUP(R256,装备拆分数值生成!$AK$58:$AV$107,11,0))</f>
        <v>1042</v>
      </c>
      <c r="W256" s="65">
        <f>IF(H256=0,0,VLOOKUP(H256,装备拆分数值生成!$AK$58:$AV$107,3,0))+IF(P256=0,0,VLOOKUP(P256,装备拆分数值生成!$AK$58:$AV$107,10,0))</f>
        <v>254</v>
      </c>
      <c r="X256" s="65">
        <f>IF(H256=0,0,VLOOKUP(H256,装备拆分数值生成!$AK$58:$AV$107,4,0))+IF(N256=0,0,VLOOKUP(N256,装备拆分数值生成!$AK$58:$AV$107,7,0))+IF(R256=0,0,VLOOKUP(R256,装备拆分数值生成!$AK$58:$AV$107,12,0))</f>
        <v>667</v>
      </c>
      <c r="Y256" s="65">
        <f>IF(L256=0,0,VLOOKUP(L256,装备拆分数值生成!$AK$58:$AV$107,6,0))+IF(N256=0,0,VLOOKUP(N256,装备拆分数值生成!$AK$58:$AV$107,8,0))</f>
        <v>233</v>
      </c>
      <c r="Z256" s="64"/>
      <c r="AA256" s="64"/>
      <c r="AB256" s="64"/>
      <c r="AC256" s="64"/>
      <c r="AD256" s="68">
        <f>VLOOKUP(D256,宠物成长生成表!$B$5:$J$103,3,0)*$AL$2*(VLOOKUP(E256,$AP$1:$AQ$6,2,0))</f>
        <v>2603.8679999999999</v>
      </c>
      <c r="AE256" s="68">
        <f>VLOOKUP(D256,宠物成长生成表!$B$5:$J$103,4,0)*$AL$3*(VLOOKUP(E256,$AP$1:$AQ$6,2,0))</f>
        <v>814.88400000000001</v>
      </c>
      <c r="AF256" s="68">
        <f>VLOOKUP(D256,宠物成长生成表!$B$5:$J$103,4,0)*$AL$4*(VLOOKUP(E256,$AP$1:$AQ$6,2,0))</f>
        <v>1052.9399999999998</v>
      </c>
      <c r="AG256" s="68">
        <f>VLOOKUP(D256,宠物成长生成表!$B$5:$J$103,7,0)*$AL$5*(VLOOKUP(E256,$AP$1:$AQ$6,2,0))</f>
        <v>663.93599999999992</v>
      </c>
      <c r="AH256" s="64">
        <f>VLOOKUP(D256,宠物成长生成表!$B$5:$J$103,6,0)+VLOOKUP(E256,宠物升阶生成表!$B$6:$F$21,5,0)</f>
        <v>130</v>
      </c>
      <c r="AI256" s="64"/>
      <c r="AJ256" s="64"/>
      <c r="AK256" s="64"/>
      <c r="AL256" s="64"/>
      <c r="AM256" s="64"/>
      <c r="AN256" s="64"/>
      <c r="AO256" s="64"/>
      <c r="AP256" s="64"/>
      <c r="AQ256" s="64"/>
      <c r="AR256" s="64"/>
      <c r="AS256" s="65">
        <f t="shared" ref="AS256:AS259" si="157">V256+AD256</f>
        <v>3645.8679999999999</v>
      </c>
      <c r="AT256" s="65">
        <f t="shared" ref="AT256:AT259" si="158">W256+AE256</f>
        <v>1068.884</v>
      </c>
      <c r="AU256" s="65">
        <f t="shared" ref="AU256:AU259" si="159">X256+AF256</f>
        <v>1719.9399999999998</v>
      </c>
      <c r="AV256" s="67">
        <f t="shared" ref="AV256:AV259" si="160">Y256+AG256</f>
        <v>896.93599999999992</v>
      </c>
    </row>
    <row r="257" spans="2:48">
      <c r="B257" s="98"/>
      <c r="C257" s="68" t="s">
        <v>426</v>
      </c>
      <c r="D257" s="68">
        <v>28</v>
      </c>
      <c r="E257" s="92">
        <v>4</v>
      </c>
      <c r="F257" s="68"/>
      <c r="G257" s="68"/>
      <c r="H257" s="68">
        <v>20</v>
      </c>
      <c r="I257" s="68"/>
      <c r="J257" s="68">
        <v>12</v>
      </c>
      <c r="K257" s="68"/>
      <c r="L257" s="68">
        <v>13</v>
      </c>
      <c r="M257" s="68"/>
      <c r="N257" s="68">
        <v>4</v>
      </c>
      <c r="O257" s="68"/>
      <c r="P257" s="68">
        <v>11</v>
      </c>
      <c r="Q257" s="68"/>
      <c r="R257" s="68">
        <v>12</v>
      </c>
      <c r="S257" s="68"/>
      <c r="T257" s="68"/>
      <c r="U257" s="68"/>
      <c r="V257" s="69">
        <f>IF(J257=0,0,VLOOKUP(能力数值!J257,装备拆分数值生成!$AK$4:$AV$53,5,0))+IF(P257=0,0,VLOOKUP(能力数值!P257,装备拆分数值生成!$AK$4:$AV$53,9,0))+IF(R257=0,0,VLOOKUP(能力数值!R257,装备拆分数值生成!$AK$4:$AV$53,11,0))</f>
        <v>1071</v>
      </c>
      <c r="W257" s="69">
        <f>IF(H257=0,0,VLOOKUP(能力数值!H257,装备拆分数值生成!$AK$4:$AV$53,3,0))+IF(N257=0,0,VLOOKUP(能力数值!N257,装备拆分数值生成!$AK$4:$AV$53,7,0))+IF(R257=0,0,VLOOKUP(能力数值!R257,装备拆分数值生成!$AK$4:$AV$53,12,0))</f>
        <v>654</v>
      </c>
      <c r="X257" s="69">
        <f>IF(H257=0,0,VLOOKUP(能力数值!H257,装备拆分数值生成!$AK$4:$AV$53,4,0))+IF(P257=0,0,VLOOKUP(能力数值!P257,装备拆分数值生成!$AK$4:$AV$53,10,0))</f>
        <v>264</v>
      </c>
      <c r="Y257" s="69">
        <f>IF(L257=0,0,VLOOKUP(能力数值!L257,装备拆分数值生成!$AK$4:$AV$53,6,0))+IF(N257=0,0,VLOOKUP(能力数值!N257,装备拆分数值生成!$AK$4:$AV$53,8,0))</f>
        <v>219</v>
      </c>
      <c r="Z257" s="68"/>
      <c r="AA257" s="68"/>
      <c r="AB257" s="68"/>
      <c r="AC257" s="68"/>
      <c r="AD257" s="68">
        <f>VLOOKUP(D257,宠物成长生成表!$B$5:$J$103,3,0)*$AO$2*(VLOOKUP(E257,$AP$1:$AQ$6,2,0))</f>
        <v>2839.4648333333266</v>
      </c>
      <c r="AE257" s="68">
        <f>VLOOKUP(D257,宠物成长生成表!$B$5:$J$103,4,0)*(VLOOKUP(E257,$AP$1:$AQ$6,2,0))</f>
        <v>998.43333333333078</v>
      </c>
      <c r="AF257" s="68">
        <f>VLOOKUP(D257,宠物成长生成表!$B$5:$J$103,4,0)*$AO$4*(VLOOKUP(E257,$AP$1:$AQ$6,2,0))</f>
        <v>888.60566666666443</v>
      </c>
      <c r="AG257" s="68">
        <f>VLOOKUP(D257,宠物成长生成表!$B$5:$J$103,7,0)*$AO$5*(VLOOKUP(E257,$AP$1:$AQ$6,2,0))</f>
        <v>723.69733333333147</v>
      </c>
      <c r="AH257" s="68">
        <f>VLOOKUP(D257,宠物成长生成表!$B$5:$J$103,6,0)+VLOOKUP(E257,宠物升阶生成表!$B$6:$F$21,5,0)</f>
        <v>145</v>
      </c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9">
        <f t="shared" si="157"/>
        <v>3910.4648333333266</v>
      </c>
      <c r="AT257" s="69">
        <f t="shared" si="158"/>
        <v>1652.4333333333307</v>
      </c>
      <c r="AU257" s="69">
        <f t="shared" si="159"/>
        <v>1152.6056666666645</v>
      </c>
      <c r="AV257" s="71">
        <f t="shared" si="160"/>
        <v>942.69733333333147</v>
      </c>
    </row>
    <row r="258" spans="2:48">
      <c r="B258" s="98"/>
      <c r="C258" s="68" t="s">
        <v>394</v>
      </c>
      <c r="D258" s="68">
        <v>26</v>
      </c>
      <c r="E258" s="92">
        <v>3</v>
      </c>
      <c r="F258" s="68"/>
      <c r="G258" s="68"/>
      <c r="H258" s="68">
        <v>16</v>
      </c>
      <c r="I258" s="68"/>
      <c r="J258" s="68">
        <v>13</v>
      </c>
      <c r="K258" s="68"/>
      <c r="L258" s="68">
        <v>13</v>
      </c>
      <c r="M258" s="68"/>
      <c r="N258" s="68">
        <v>11</v>
      </c>
      <c r="O258" s="68"/>
      <c r="P258" s="68">
        <v>16</v>
      </c>
      <c r="Q258" s="68"/>
      <c r="R258" s="68">
        <v>11</v>
      </c>
      <c r="S258" s="68"/>
      <c r="T258" s="68"/>
      <c r="U258" s="68"/>
      <c r="V258" s="69">
        <f>IF(J258=0,0,VLOOKUP(能力数值!J258,装备拆分数值生成!$AK$165:$AV$214,5,0))+IF(P258=0,0,VLOOKUP(能力数值!P258,装备拆分数值生成!$AK$165:$AV$214,9,0))+IF(R258=0,0,VLOOKUP(能力数值!R258,装备拆分数值生成!$AK$165:$AV$214,11,0))</f>
        <v>1207</v>
      </c>
      <c r="W258" s="69">
        <f>IF(H258=0,0,VLOOKUP(能力数值!H258,装备拆分数值生成!$AK$165:$AV$214,3,0))</f>
        <v>284</v>
      </c>
      <c r="X258" s="69">
        <f>IF(H258=0,0,VLOOKUP(能力数值!H258,装备拆分数值生成!$AK$165:$AV$214,4,0))+IF(P258=0,0,VLOOKUP(能力数值!P258,装备拆分数值生成!$AK$165:$AV$214,10,0))</f>
        <v>378</v>
      </c>
      <c r="Y258" s="69">
        <f>IF(L258=0,0,VLOOKUP(能力数值!L258,装备拆分数值生成!$AK$165:$AV$214,6,0))+IF(N258=0,0,VLOOKUP(能力数值!N258,装备拆分数值生成!$AK$165:$AV$214,8,0))+IF(R258=0,0,VLOOKUP(能力数值!R258,装备拆分数值生成!$AK$165:$AV$214,12,0))</f>
        <v>323</v>
      </c>
      <c r="Z258" s="68"/>
      <c r="AA258" s="68"/>
      <c r="AB258" s="68"/>
      <c r="AC258" s="68"/>
      <c r="AD258" s="68">
        <f>VLOOKUP(D257,宠物成长生成表!$B$5:$J$103,3,0)*$AN$2*(VLOOKUP(E258,$AP$1:$AQ$6,2,0))</f>
        <v>3284.64</v>
      </c>
      <c r="AE258" s="68">
        <f>VLOOKUP(D257,宠物成长生成表!$B$5:$J$103,4,0)*$AN$3*(VLOOKUP(E258,$AP$1:$AQ$6,2,0))</f>
        <v>840.24</v>
      </c>
      <c r="AF258" s="68">
        <f>VLOOKUP(D257,宠物成长生成表!$B$5:$J$103,4,0)*$AN$4*(VLOOKUP(E258,$AP$1:$AQ$6,2,0))</f>
        <v>840.24</v>
      </c>
      <c r="AG258" s="68">
        <f>VLOOKUP(D257,宠物成长生成表!$B$5:$J$103,7,0)*$AN$5*(VLOOKUP(E258,$AP$1:$AQ$6,2,0))</f>
        <v>783.55200000000002</v>
      </c>
      <c r="AH258" s="68">
        <f>VLOOKUP(D258,宠物成长生成表!$B$5:$J$103,6,0)+VLOOKUP(E258,宠物升阶生成表!$B$6:$F$21,5,0)</f>
        <v>128</v>
      </c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9">
        <f t="shared" si="157"/>
        <v>4491.6399999999994</v>
      </c>
      <c r="AT258" s="69">
        <f t="shared" si="158"/>
        <v>1124.24</v>
      </c>
      <c r="AU258" s="69">
        <f t="shared" si="159"/>
        <v>1218.24</v>
      </c>
      <c r="AV258" s="71">
        <f t="shared" si="160"/>
        <v>1106.5520000000001</v>
      </c>
    </row>
    <row r="259" spans="2:48">
      <c r="B259" s="98"/>
      <c r="C259" s="68" t="s">
        <v>427</v>
      </c>
      <c r="D259" s="68">
        <v>22</v>
      </c>
      <c r="E259" s="92">
        <v>2</v>
      </c>
      <c r="F259" s="68"/>
      <c r="G259" s="68"/>
      <c r="H259" s="68">
        <v>16</v>
      </c>
      <c r="I259" s="68"/>
      <c r="J259" s="68">
        <v>12</v>
      </c>
      <c r="K259" s="68"/>
      <c r="L259" s="88">
        <v>24</v>
      </c>
      <c r="M259" s="68"/>
      <c r="N259" s="68">
        <v>6</v>
      </c>
      <c r="O259" s="68"/>
      <c r="P259" s="68">
        <v>11</v>
      </c>
      <c r="Q259" s="68"/>
      <c r="R259" s="68">
        <v>15</v>
      </c>
      <c r="S259" s="68"/>
      <c r="T259" s="68"/>
      <c r="U259" s="68"/>
      <c r="V259" s="69">
        <f>IF(J259=0,0,VLOOKUP(能力数值!J259,装备拆分数值生成!$AK$112:$AV$161,5,0))+IF(P259=0,0,VLOOKUP(能力数值!P259,装备拆分数值生成!$AK$112:$AV$161,5,0))+IF(R259=0,0,VLOOKUP(能力数值!R259,装备拆分数值生成!$AK$112:$AV$161,11,0))</f>
        <v>1833</v>
      </c>
      <c r="W259" s="69">
        <f>IF(H259=0,0,VLOOKUP(能力数值!H259,装备拆分数值生成!$AK$112:$AV$161,3,0))</f>
        <v>260</v>
      </c>
      <c r="X259" s="69">
        <f>IF(H259=0,0,VLOOKUP(能力数值!H259,装备拆分数值生成!$AK$112:$AV$161,4,0))</f>
        <v>260</v>
      </c>
      <c r="Y259" s="69">
        <f>IF(L259=0,0,VLOOKUP(能力数值!L259,装备拆分数值生成!$AK$112:$AV$161,6,0))+IF(N259=0,0,VLOOKUP(能力数值!N259,装备拆分数值生成!$AK$112:$AV$161,8,0))+IF(R259=0,0,VLOOKUP(能力数值!R259,装备拆分数值生成!$AK$112:$AV$161,12,0))</f>
        <v>719</v>
      </c>
      <c r="Z259" s="68"/>
      <c r="AA259" s="68"/>
      <c r="AB259" s="68"/>
      <c r="AC259" s="68"/>
      <c r="AD259" s="68">
        <f>VLOOKUP(D259,宠物成长生成表!$B$5:$J$103,3,0)*$AM$2*(VLOOKUP(E259,$AP$1:$AQ$6,2,0))</f>
        <v>3013.92</v>
      </c>
      <c r="AE259" s="68">
        <f>VLOOKUP(D259,宠物成长生成表!$B$5:$J$103,4,0)*$AM$3*(VLOOKUP(E259,$AP$1:$AQ$6,2,0))</f>
        <v>632.95999999999992</v>
      </c>
      <c r="AF259" s="68">
        <f>VLOOKUP(D259,宠物成长生成表!$B$5:$J$103,4,0)*$AM$4*(VLOOKUP(E259,$AP$1:$AQ$6,2,0))</f>
        <v>632.95999999999992</v>
      </c>
      <c r="AG259" s="68">
        <f>VLOOKUP(D259,宠物成长生成表!$B$5:$J$103,7,0)*$AM$5*(VLOOKUP(E259,$AP$1:$AQ$6,2,0))</f>
        <v>995.80799999999999</v>
      </c>
      <c r="AH259" s="68">
        <f>VLOOKUP(D259,宠物成长生成表!$B$5:$J$103,6,0)+VLOOKUP(E259,宠物升阶生成表!$B$6:$F$21,5,0)</f>
        <v>107</v>
      </c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9">
        <f t="shared" si="157"/>
        <v>4846.92</v>
      </c>
      <c r="AT259" s="69">
        <f t="shared" si="158"/>
        <v>892.95999999999992</v>
      </c>
      <c r="AU259" s="69">
        <f t="shared" si="159"/>
        <v>892.95999999999992</v>
      </c>
      <c r="AV259" s="71">
        <f t="shared" si="160"/>
        <v>1714.808</v>
      </c>
    </row>
    <row r="260" spans="2:48" ht="17.25" thickBot="1">
      <c r="B260" s="99"/>
      <c r="C260" s="72" t="s">
        <v>425</v>
      </c>
      <c r="D260" s="72">
        <v>5</v>
      </c>
      <c r="E260" s="93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69"/>
      <c r="W260" s="69"/>
      <c r="X260" s="69"/>
      <c r="Y260" s="69"/>
      <c r="Z260" s="72"/>
      <c r="AA260" s="72"/>
      <c r="AB260" s="72"/>
      <c r="AC260" s="72"/>
      <c r="AD260" s="72">
        <f>VLOOKUP(D260,宠物成长生成表!$B$5:$J$103,3,0)*$AL$2*(VLOOKUP(E260,$AP$1:$AQ$6,2,0))</f>
        <v>1228.99</v>
      </c>
      <c r="AE260" s="72">
        <f>VLOOKUP(D260,宠物成长生成表!$B$5:$J$103,4,0)*$AL$3*(VLOOKUP(E260,$AP$1:$AQ$6,2,0))</f>
        <v>384.48</v>
      </c>
      <c r="AF260" s="72">
        <f>VLOOKUP(D260,宠物成长生成表!$B$5:$J$103,4,0)*$AL$4*(VLOOKUP(E260,$AP$1:$AQ$6,2,0))</f>
        <v>496.79999999999995</v>
      </c>
      <c r="AG260" s="72">
        <f>VLOOKUP(D260,宠物成长生成表!$B$5:$J$103,7,0)*$AL$5*(VLOOKUP(E260,$AP$1:$AQ$6,2,0))</f>
        <v>313.12</v>
      </c>
      <c r="AH260" s="81">
        <f>VLOOKUP(D260,宠物成长生成表!$B$5:$J$103,6,0)</f>
        <v>59</v>
      </c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8"/>
    </row>
    <row r="261" spans="2:48">
      <c r="B261" s="97" t="s">
        <v>518</v>
      </c>
      <c r="C261" s="64" t="s">
        <v>428</v>
      </c>
      <c r="D261" s="64">
        <v>27</v>
      </c>
      <c r="E261" s="91">
        <v>3</v>
      </c>
      <c r="F261" s="64"/>
      <c r="G261" s="64"/>
      <c r="H261" s="89">
        <v>21</v>
      </c>
      <c r="I261" s="64"/>
      <c r="J261" s="64">
        <v>11</v>
      </c>
      <c r="K261" s="64"/>
      <c r="L261" s="64">
        <v>11</v>
      </c>
      <c r="M261" s="64"/>
      <c r="N261" s="64">
        <v>11</v>
      </c>
      <c r="O261" s="64"/>
      <c r="P261" s="64">
        <v>11</v>
      </c>
      <c r="Q261" s="64"/>
      <c r="R261" s="64">
        <v>13</v>
      </c>
      <c r="S261" s="64"/>
      <c r="T261" s="64"/>
      <c r="U261" s="64"/>
      <c r="V261" s="65">
        <f>IF(J261=0,0,VLOOKUP(能力数值!J261,装备拆分数值生成!$AK$58:$AV$107,5,0))+IF(P261=0,0,VLOOKUP(P261,装备拆分数值生成!$AK$58:$AV$107,9,0))+IF(R261=0,0,VLOOKUP(R261,装备拆分数值生成!$AK$58:$AV$107,11,0))</f>
        <v>1042</v>
      </c>
      <c r="W261" s="65">
        <f>IF(H261=0,0,VLOOKUP(H261,装备拆分数值生成!$AK$58:$AV$107,3,0))+IF(P261=0,0,VLOOKUP(P261,装备拆分数值生成!$AK$58:$AV$107,10,0))</f>
        <v>286</v>
      </c>
      <c r="X261" s="65">
        <f>IF(H261=0,0,VLOOKUP(H261,装备拆分数值生成!$AK$58:$AV$107,4,0))+IF(N261=0,0,VLOOKUP(N261,装备拆分数值生成!$AK$58:$AV$107,7,0))+IF(R261=0,0,VLOOKUP(R261,装备拆分数值生成!$AK$58:$AV$107,12,0))</f>
        <v>732</v>
      </c>
      <c r="Y261" s="65">
        <f>IF(L261=0,0,VLOOKUP(L261,装备拆分数值生成!$AK$58:$AV$107,6,0))+IF(N261=0,0,VLOOKUP(N261,装备拆分数值生成!$AK$58:$AV$107,8,0))</f>
        <v>233</v>
      </c>
      <c r="Z261" s="64"/>
      <c r="AA261" s="64"/>
      <c r="AB261" s="64"/>
      <c r="AC261" s="64"/>
      <c r="AD261" s="68">
        <f>VLOOKUP(D261,宠物成长生成表!$B$5:$J$103,3,0)*$AL$2*(VLOOKUP(E261,$AP$1:$AQ$6,2,0))</f>
        <v>2603.8679999999999</v>
      </c>
      <c r="AE261" s="68">
        <f>VLOOKUP(D261,宠物成长生成表!$B$5:$J$103,4,0)*$AL$3*(VLOOKUP(E261,$AP$1:$AQ$6,2,0))</f>
        <v>814.88400000000001</v>
      </c>
      <c r="AF261" s="68">
        <f>VLOOKUP(D261,宠物成长生成表!$B$5:$J$103,4,0)*$AL$4*(VLOOKUP(E261,$AP$1:$AQ$6,2,0))</f>
        <v>1052.9399999999998</v>
      </c>
      <c r="AG261" s="68">
        <f>VLOOKUP(D261,宠物成长生成表!$B$5:$J$103,7,0)*$AL$5*(VLOOKUP(E261,$AP$1:$AQ$6,2,0))</f>
        <v>663.93599999999992</v>
      </c>
      <c r="AH261" s="64">
        <f>VLOOKUP(D261,宠物成长生成表!$B$5:$J$103,6,0)+VLOOKUP(E261,宠物升阶生成表!$B$6:$F$21,5,0)</f>
        <v>130</v>
      </c>
      <c r="AI261" s="64"/>
      <c r="AJ261" s="64"/>
      <c r="AK261" s="64"/>
      <c r="AL261" s="64"/>
      <c r="AM261" s="64"/>
      <c r="AN261" s="64"/>
      <c r="AO261" s="64"/>
      <c r="AP261" s="64"/>
      <c r="AQ261" s="64"/>
      <c r="AR261" s="64"/>
      <c r="AS261" s="65">
        <f t="shared" ref="AS261:AS264" si="161">V261+AD261</f>
        <v>3645.8679999999999</v>
      </c>
      <c r="AT261" s="65">
        <f t="shared" ref="AT261:AT264" si="162">W261+AE261</f>
        <v>1100.884</v>
      </c>
      <c r="AU261" s="65">
        <f t="shared" ref="AU261:AU264" si="163">X261+AF261</f>
        <v>1784.9399999999998</v>
      </c>
      <c r="AV261" s="67">
        <f t="shared" ref="AV261:AV264" si="164">Y261+AG261</f>
        <v>896.93599999999992</v>
      </c>
    </row>
    <row r="262" spans="2:48">
      <c r="B262" s="98"/>
      <c r="C262" s="68" t="s">
        <v>426</v>
      </c>
      <c r="D262" s="68">
        <v>30</v>
      </c>
      <c r="E262" s="92">
        <v>4</v>
      </c>
      <c r="F262" s="68"/>
      <c r="G262" s="68"/>
      <c r="H262" s="68">
        <v>24</v>
      </c>
      <c r="I262" s="68"/>
      <c r="J262" s="68">
        <v>12</v>
      </c>
      <c r="K262" s="68"/>
      <c r="L262" s="68">
        <v>13</v>
      </c>
      <c r="M262" s="68"/>
      <c r="N262" s="68">
        <v>4</v>
      </c>
      <c r="O262" s="68"/>
      <c r="P262" s="68">
        <v>11</v>
      </c>
      <c r="Q262" s="68"/>
      <c r="R262" s="68">
        <v>12</v>
      </c>
      <c r="S262" s="68"/>
      <c r="T262" s="68"/>
      <c r="U262" s="68"/>
      <c r="V262" s="69">
        <f>IF(J262=0,0,VLOOKUP(能力数值!J262,装备拆分数值生成!$AK$4:$AV$53,5,0))+IF(P262=0,0,VLOOKUP(能力数值!P262,装备拆分数值生成!$AK$4:$AV$53,9,0))+IF(R262=0,0,VLOOKUP(能力数值!R262,装备拆分数值生成!$AK$4:$AV$53,11,0))</f>
        <v>1071</v>
      </c>
      <c r="W262" s="69">
        <f>IF(H262=0,0,VLOOKUP(能力数值!H262,装备拆分数值生成!$AK$4:$AV$53,3,0))+IF(N262=0,0,VLOOKUP(能力数值!N262,装备拆分数值生成!$AK$4:$AV$53,7,0))+IF(R262=0,0,VLOOKUP(能力数值!R262,装备拆分数值生成!$AK$4:$AV$53,12,0))</f>
        <v>792</v>
      </c>
      <c r="X262" s="69">
        <f>IF(H262=0,0,VLOOKUP(能力数值!H262,装备拆分数值生成!$AK$4:$AV$53,4,0))+IF(P262=0,0,VLOOKUP(能力数值!P262,装备拆分数值生成!$AK$4:$AV$53,10,0))</f>
        <v>333</v>
      </c>
      <c r="Y262" s="69">
        <f>IF(L262=0,0,VLOOKUP(能力数值!L262,装备拆分数值生成!$AK$4:$AV$53,6,0))+IF(N262=0,0,VLOOKUP(能力数值!N262,装备拆分数值生成!$AK$4:$AV$53,8,0))</f>
        <v>219</v>
      </c>
      <c r="Z262" s="68"/>
      <c r="AA262" s="68"/>
      <c r="AB262" s="68"/>
      <c r="AC262" s="68"/>
      <c r="AD262" s="68">
        <f>VLOOKUP(D262,宠物成长生成表!$B$5:$J$103,3,0)*$AO$2*(VLOOKUP(E262,$AP$1:$AQ$6,2,0))</f>
        <v>2949.0101666666592</v>
      </c>
      <c r="AE262" s="68">
        <f>VLOOKUP(D262,宠物成长生成表!$B$5:$J$103,4,0)*(VLOOKUP(E262,$AP$1:$AQ$6,2,0))</f>
        <v>1036.9333333333307</v>
      </c>
      <c r="AF262" s="68">
        <f>VLOOKUP(D262,宠物成长生成表!$B$5:$J$103,4,0)*$AO$4*(VLOOKUP(E262,$AP$1:$AQ$6,2,0))</f>
        <v>922.87066666666431</v>
      </c>
      <c r="AG262" s="68">
        <f>VLOOKUP(D262,宠物成长生成表!$B$5:$J$103,7,0)*$AO$5*(VLOOKUP(E262,$AP$1:$AQ$6,2,0))</f>
        <v>751.98199999999815</v>
      </c>
      <c r="AH262" s="68">
        <f>VLOOKUP(D262,宠物成长生成表!$B$5:$J$103,6,0)+VLOOKUP(E262,宠物升阶生成表!$B$6:$F$21,5,0)</f>
        <v>151</v>
      </c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9">
        <f t="shared" si="161"/>
        <v>4020.0101666666592</v>
      </c>
      <c r="AT262" s="69">
        <f t="shared" si="162"/>
        <v>1828.9333333333307</v>
      </c>
      <c r="AU262" s="69">
        <f t="shared" si="163"/>
        <v>1255.8706666666644</v>
      </c>
      <c r="AV262" s="71">
        <f t="shared" si="164"/>
        <v>970.98199999999815</v>
      </c>
    </row>
    <row r="263" spans="2:48">
      <c r="B263" s="98"/>
      <c r="C263" s="68" t="s">
        <v>394</v>
      </c>
      <c r="D263" s="68">
        <v>28</v>
      </c>
      <c r="E263" s="92">
        <v>3</v>
      </c>
      <c r="F263" s="68"/>
      <c r="G263" s="68"/>
      <c r="H263" s="68">
        <v>16</v>
      </c>
      <c r="I263" s="68"/>
      <c r="J263" s="68">
        <v>13</v>
      </c>
      <c r="K263" s="68"/>
      <c r="L263" s="68">
        <v>13</v>
      </c>
      <c r="M263" s="68"/>
      <c r="N263" s="68">
        <v>11</v>
      </c>
      <c r="O263" s="68"/>
      <c r="P263" s="68">
        <v>16</v>
      </c>
      <c r="Q263" s="68"/>
      <c r="R263" s="68">
        <v>11</v>
      </c>
      <c r="S263" s="68"/>
      <c r="T263" s="68"/>
      <c r="U263" s="68"/>
      <c r="V263" s="69">
        <f>IF(J263=0,0,VLOOKUP(能力数值!J263,装备拆分数值生成!$AK$165:$AV$214,5,0))+IF(P263=0,0,VLOOKUP(能力数值!P263,装备拆分数值生成!$AK$165:$AV$214,9,0))+IF(R263=0,0,VLOOKUP(能力数值!R263,装备拆分数值生成!$AK$165:$AV$214,11,0))</f>
        <v>1207</v>
      </c>
      <c r="W263" s="69">
        <f>IF(H263=0,0,VLOOKUP(能力数值!H263,装备拆分数值生成!$AK$165:$AV$214,3,0))</f>
        <v>284</v>
      </c>
      <c r="X263" s="69">
        <f>IF(H263=0,0,VLOOKUP(能力数值!H263,装备拆分数值生成!$AK$165:$AV$214,4,0))+IF(P263=0,0,VLOOKUP(能力数值!P263,装备拆分数值生成!$AK$165:$AV$214,10,0))</f>
        <v>378</v>
      </c>
      <c r="Y263" s="69">
        <f>IF(L263=0,0,VLOOKUP(能力数值!L263,装备拆分数值生成!$AK$165:$AV$214,6,0))+IF(N263=0,0,VLOOKUP(能力数值!N263,装备拆分数值生成!$AK$165:$AV$214,8,0))+IF(R263=0,0,VLOOKUP(能力数值!R263,装备拆分数值生成!$AK$165:$AV$214,12,0))</f>
        <v>323</v>
      </c>
      <c r="Z263" s="68"/>
      <c r="AA263" s="68"/>
      <c r="AB263" s="68"/>
      <c r="AC263" s="68"/>
      <c r="AD263" s="68">
        <f>VLOOKUP(D262,宠物成长生成表!$B$5:$J$103,3,0)*$AN$2*(VLOOKUP(E263,$AP$1:$AQ$6,2,0))</f>
        <v>3411.3599999999997</v>
      </c>
      <c r="AE263" s="68">
        <f>VLOOKUP(D262,宠物成长生成表!$B$5:$J$103,4,0)*$AN$3*(VLOOKUP(E263,$AP$1:$AQ$6,2,0))</f>
        <v>872.64</v>
      </c>
      <c r="AF263" s="68">
        <f>VLOOKUP(D262,宠物成长生成表!$B$5:$J$103,4,0)*$AN$4*(VLOOKUP(E263,$AP$1:$AQ$6,2,0))</f>
        <v>872.64</v>
      </c>
      <c r="AG263" s="68">
        <f>VLOOKUP(D262,宠物成长生成表!$B$5:$J$103,7,0)*$AN$5*(VLOOKUP(E263,$AP$1:$AQ$6,2,0))</f>
        <v>814.17600000000004</v>
      </c>
      <c r="AH263" s="68">
        <f>VLOOKUP(D263,宠物成长生成表!$B$5:$J$103,6,0)+VLOOKUP(E263,宠物升阶生成表!$B$6:$F$21,5,0)</f>
        <v>132</v>
      </c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9">
        <f t="shared" si="161"/>
        <v>4618.3599999999997</v>
      </c>
      <c r="AT263" s="69">
        <f t="shared" si="162"/>
        <v>1156.6399999999999</v>
      </c>
      <c r="AU263" s="69">
        <f t="shared" si="163"/>
        <v>1250.6399999999999</v>
      </c>
      <c r="AV263" s="71">
        <f t="shared" si="164"/>
        <v>1137.1759999999999</v>
      </c>
    </row>
    <row r="264" spans="2:48">
      <c r="B264" s="98"/>
      <c r="C264" s="68" t="s">
        <v>427</v>
      </c>
      <c r="D264" s="68">
        <v>22</v>
      </c>
      <c r="E264" s="92">
        <v>2</v>
      </c>
      <c r="F264" s="68"/>
      <c r="G264" s="68"/>
      <c r="H264" s="68">
        <v>16</v>
      </c>
      <c r="I264" s="68"/>
      <c r="J264" s="68">
        <v>12</v>
      </c>
      <c r="K264" s="68"/>
      <c r="L264" s="88">
        <v>24</v>
      </c>
      <c r="M264" s="68"/>
      <c r="N264" s="68">
        <v>6</v>
      </c>
      <c r="O264" s="68"/>
      <c r="P264" s="68">
        <v>11</v>
      </c>
      <c r="Q264" s="68"/>
      <c r="R264" s="68">
        <v>15</v>
      </c>
      <c r="S264" s="68"/>
      <c r="T264" s="68"/>
      <c r="U264" s="68"/>
      <c r="V264" s="69">
        <f>IF(J264=0,0,VLOOKUP(能力数值!J264,装备拆分数值生成!$AK$112:$AV$161,5,0))+IF(P264=0,0,VLOOKUP(能力数值!P264,装备拆分数值生成!$AK$112:$AV$161,5,0))+IF(R264=0,0,VLOOKUP(能力数值!R264,装备拆分数值生成!$AK$112:$AV$161,11,0))</f>
        <v>1833</v>
      </c>
      <c r="W264" s="69">
        <f>IF(H264=0,0,VLOOKUP(能力数值!H264,装备拆分数值生成!$AK$112:$AV$161,3,0))</f>
        <v>260</v>
      </c>
      <c r="X264" s="69">
        <f>IF(H264=0,0,VLOOKUP(能力数值!H264,装备拆分数值生成!$AK$112:$AV$161,4,0))</f>
        <v>260</v>
      </c>
      <c r="Y264" s="69">
        <f>IF(L264=0,0,VLOOKUP(能力数值!L264,装备拆分数值生成!$AK$112:$AV$161,6,0))+IF(N264=0,0,VLOOKUP(能力数值!N264,装备拆分数值生成!$AK$112:$AV$161,8,0))+IF(R264=0,0,VLOOKUP(能力数值!R264,装备拆分数值生成!$AK$112:$AV$161,12,0))</f>
        <v>719</v>
      </c>
      <c r="Z264" s="68"/>
      <c r="AA264" s="68"/>
      <c r="AB264" s="68"/>
      <c r="AC264" s="68"/>
      <c r="AD264" s="68">
        <f>VLOOKUP(D264,宠物成长生成表!$B$5:$J$103,3,0)*$AM$2*(VLOOKUP(E264,$AP$1:$AQ$6,2,0))</f>
        <v>3013.92</v>
      </c>
      <c r="AE264" s="68">
        <f>VLOOKUP(D264,宠物成长生成表!$B$5:$J$103,4,0)*$AM$3*(VLOOKUP(E264,$AP$1:$AQ$6,2,0))</f>
        <v>632.95999999999992</v>
      </c>
      <c r="AF264" s="68">
        <f>VLOOKUP(D264,宠物成长生成表!$B$5:$J$103,4,0)*$AM$4*(VLOOKUP(E264,$AP$1:$AQ$6,2,0))</f>
        <v>632.95999999999992</v>
      </c>
      <c r="AG264" s="68">
        <f>VLOOKUP(D264,宠物成长生成表!$B$5:$J$103,7,0)*$AM$5*(VLOOKUP(E264,$AP$1:$AQ$6,2,0))</f>
        <v>995.80799999999999</v>
      </c>
      <c r="AH264" s="68">
        <f>VLOOKUP(D264,宠物成长生成表!$B$5:$J$103,6,0)+VLOOKUP(E264,宠物升阶生成表!$B$6:$F$21,5,0)</f>
        <v>107</v>
      </c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9">
        <f t="shared" si="161"/>
        <v>4846.92</v>
      </c>
      <c r="AT264" s="69">
        <f t="shared" si="162"/>
        <v>892.95999999999992</v>
      </c>
      <c r="AU264" s="69">
        <f t="shared" si="163"/>
        <v>892.95999999999992</v>
      </c>
      <c r="AV264" s="71">
        <f t="shared" si="164"/>
        <v>1714.808</v>
      </c>
    </row>
    <row r="265" spans="2:48" ht="17.25" thickBot="1">
      <c r="B265" s="99"/>
      <c r="C265" s="72" t="s">
        <v>425</v>
      </c>
      <c r="D265" s="72">
        <v>5</v>
      </c>
      <c r="E265" s="93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69"/>
      <c r="W265" s="69"/>
      <c r="X265" s="69"/>
      <c r="Y265" s="69"/>
      <c r="Z265" s="72"/>
      <c r="AA265" s="72"/>
      <c r="AB265" s="72"/>
      <c r="AC265" s="72"/>
      <c r="AD265" s="72">
        <f>VLOOKUP(D265,宠物成长生成表!$B$5:$J$103,3,0)*$AL$2*(VLOOKUP(E265,$AP$1:$AQ$6,2,0))</f>
        <v>1228.99</v>
      </c>
      <c r="AE265" s="72">
        <f>VLOOKUP(D265,宠物成长生成表!$B$5:$J$103,4,0)*$AL$3*(VLOOKUP(E265,$AP$1:$AQ$6,2,0))</f>
        <v>384.48</v>
      </c>
      <c r="AF265" s="72">
        <f>VLOOKUP(D265,宠物成长生成表!$B$5:$J$103,4,0)*$AL$4*(VLOOKUP(E265,$AP$1:$AQ$6,2,0))</f>
        <v>496.79999999999995</v>
      </c>
      <c r="AG265" s="72">
        <f>VLOOKUP(D265,宠物成长生成表!$B$5:$J$103,7,0)*$AL$5*(VLOOKUP(E265,$AP$1:$AQ$6,2,0))</f>
        <v>313.12</v>
      </c>
      <c r="AH265" s="81">
        <f>VLOOKUP(D265,宠物成长生成表!$B$5:$J$103,6,0)</f>
        <v>59</v>
      </c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8"/>
    </row>
    <row r="266" spans="2:48">
      <c r="B266" s="97" t="s">
        <v>519</v>
      </c>
      <c r="C266" s="64" t="s">
        <v>428</v>
      </c>
      <c r="D266" s="64">
        <v>27</v>
      </c>
      <c r="E266" s="91">
        <v>3</v>
      </c>
      <c r="F266" s="64"/>
      <c r="G266" s="64"/>
      <c r="H266" s="89">
        <v>19</v>
      </c>
      <c r="I266" s="64"/>
      <c r="J266" s="64">
        <v>11</v>
      </c>
      <c r="K266" s="64"/>
      <c r="L266" s="64">
        <v>11</v>
      </c>
      <c r="M266" s="64"/>
      <c r="N266" s="64">
        <v>11</v>
      </c>
      <c r="O266" s="64"/>
      <c r="P266" s="64">
        <v>11</v>
      </c>
      <c r="Q266" s="64"/>
      <c r="R266" s="64">
        <v>13</v>
      </c>
      <c r="S266" s="64"/>
      <c r="T266" s="64"/>
      <c r="U266" s="64"/>
      <c r="V266" s="65">
        <f>IF(J266=0,0,VLOOKUP(能力数值!J266,装备拆分数值生成!$AK$58:$AV$107,5,0))+IF(P266=0,0,VLOOKUP(P266,装备拆分数值生成!$AK$58:$AV$107,9,0))+IF(R266=0,0,VLOOKUP(R266,装备拆分数值生成!$AK$58:$AV$107,11,0))</f>
        <v>1042</v>
      </c>
      <c r="W266" s="65">
        <f>IF(H266=0,0,VLOOKUP(H266,装备拆分数值生成!$AK$58:$AV$107,3,0))+IF(P266=0,0,VLOOKUP(P266,装备拆分数值生成!$AK$58:$AV$107,10,0))</f>
        <v>254</v>
      </c>
      <c r="X266" s="65">
        <f>IF(H266=0,0,VLOOKUP(H266,装备拆分数值生成!$AK$58:$AV$107,4,0))+IF(N266=0,0,VLOOKUP(N266,装备拆分数值生成!$AK$58:$AV$107,7,0))+IF(R266=0,0,VLOOKUP(R266,装备拆分数值生成!$AK$58:$AV$107,12,0))</f>
        <v>667</v>
      </c>
      <c r="Y266" s="65">
        <f>IF(L266=0,0,VLOOKUP(L266,装备拆分数值生成!$AK$58:$AV$107,6,0))+IF(N266=0,0,VLOOKUP(N266,装备拆分数值生成!$AK$58:$AV$107,8,0))</f>
        <v>233</v>
      </c>
      <c r="Z266" s="64"/>
      <c r="AA266" s="64"/>
      <c r="AB266" s="64"/>
      <c r="AC266" s="64"/>
      <c r="AD266" s="68">
        <f>VLOOKUP(D266,宠物成长生成表!$B$5:$J$103,3,0)*$AL$2*(VLOOKUP(E266,$AP$1:$AQ$6,2,0))</f>
        <v>2603.8679999999999</v>
      </c>
      <c r="AE266" s="68">
        <f>VLOOKUP(D266,宠物成长生成表!$B$5:$J$103,4,0)*$AL$3*(VLOOKUP(E266,$AP$1:$AQ$6,2,0))</f>
        <v>814.88400000000001</v>
      </c>
      <c r="AF266" s="68">
        <f>VLOOKUP(D266,宠物成长生成表!$B$5:$J$103,4,0)*$AL$4*(VLOOKUP(E266,$AP$1:$AQ$6,2,0))</f>
        <v>1052.9399999999998</v>
      </c>
      <c r="AG266" s="68">
        <f>VLOOKUP(D266,宠物成长生成表!$B$5:$J$103,7,0)*$AL$5*(VLOOKUP(E266,$AP$1:$AQ$6,2,0))</f>
        <v>663.93599999999992</v>
      </c>
      <c r="AH266" s="64">
        <f>VLOOKUP(D266,宠物成长生成表!$B$5:$J$103,6,0)+VLOOKUP(E266,宠物升阶生成表!$B$6:$F$21,5,0)</f>
        <v>130</v>
      </c>
      <c r="AI266" s="64"/>
      <c r="AJ266" s="64"/>
      <c r="AK266" s="64"/>
      <c r="AL266" s="64"/>
      <c r="AM266" s="64"/>
      <c r="AN266" s="64"/>
      <c r="AO266" s="64"/>
      <c r="AP266" s="64"/>
      <c r="AQ266" s="64"/>
      <c r="AR266" s="64"/>
      <c r="AS266" s="65">
        <f t="shared" ref="AS266:AS269" si="165">V266+AD266</f>
        <v>3645.8679999999999</v>
      </c>
      <c r="AT266" s="65">
        <f t="shared" ref="AT266:AT269" si="166">W266+AE266</f>
        <v>1068.884</v>
      </c>
      <c r="AU266" s="65">
        <f t="shared" ref="AU266:AU269" si="167">X266+AF266</f>
        <v>1719.9399999999998</v>
      </c>
      <c r="AV266" s="67">
        <f t="shared" ref="AV266:AV269" si="168">Y266+AG266</f>
        <v>896.93599999999992</v>
      </c>
    </row>
    <row r="267" spans="2:48">
      <c r="B267" s="98"/>
      <c r="C267" s="68" t="s">
        <v>426</v>
      </c>
      <c r="D267" s="68">
        <v>28</v>
      </c>
      <c r="E267" s="92">
        <v>4</v>
      </c>
      <c r="F267" s="68"/>
      <c r="G267" s="68"/>
      <c r="H267" s="68">
        <v>20</v>
      </c>
      <c r="I267" s="68"/>
      <c r="J267" s="68">
        <v>12</v>
      </c>
      <c r="K267" s="68"/>
      <c r="L267" s="68">
        <v>13</v>
      </c>
      <c r="M267" s="68"/>
      <c r="N267" s="68">
        <v>4</v>
      </c>
      <c r="O267" s="68"/>
      <c r="P267" s="68">
        <v>11</v>
      </c>
      <c r="Q267" s="68"/>
      <c r="R267" s="68">
        <v>12</v>
      </c>
      <c r="S267" s="68"/>
      <c r="T267" s="68"/>
      <c r="U267" s="68"/>
      <c r="V267" s="69">
        <f>IF(J267=0,0,VLOOKUP(能力数值!J267,装备拆分数值生成!$AK$4:$AV$53,5,0))+IF(P267=0,0,VLOOKUP(能力数值!P267,装备拆分数值生成!$AK$4:$AV$53,9,0))+IF(R267=0,0,VLOOKUP(能力数值!R267,装备拆分数值生成!$AK$4:$AV$53,11,0))</f>
        <v>1071</v>
      </c>
      <c r="W267" s="69">
        <f>IF(H267=0,0,VLOOKUP(能力数值!H267,装备拆分数值生成!$AK$4:$AV$53,3,0))+IF(N267=0,0,VLOOKUP(能力数值!N267,装备拆分数值生成!$AK$4:$AV$53,7,0))+IF(R267=0,0,VLOOKUP(能力数值!R267,装备拆分数值生成!$AK$4:$AV$53,12,0))</f>
        <v>654</v>
      </c>
      <c r="X267" s="69">
        <f>IF(H267=0,0,VLOOKUP(能力数值!H267,装备拆分数值生成!$AK$4:$AV$53,4,0))+IF(P267=0,0,VLOOKUP(能力数值!P267,装备拆分数值生成!$AK$4:$AV$53,10,0))</f>
        <v>264</v>
      </c>
      <c r="Y267" s="69">
        <f>IF(L267=0,0,VLOOKUP(能力数值!L267,装备拆分数值生成!$AK$4:$AV$53,6,0))+IF(N267=0,0,VLOOKUP(能力数值!N267,装备拆分数值生成!$AK$4:$AV$53,8,0))</f>
        <v>219</v>
      </c>
      <c r="Z267" s="68"/>
      <c r="AA267" s="68"/>
      <c r="AB267" s="68"/>
      <c r="AC267" s="68"/>
      <c r="AD267" s="68">
        <f>VLOOKUP(D267,宠物成长生成表!$B$5:$J$103,3,0)*$AO$2*(VLOOKUP(E267,$AP$1:$AQ$6,2,0))</f>
        <v>2839.4648333333266</v>
      </c>
      <c r="AE267" s="68">
        <f>VLOOKUP(D267,宠物成长生成表!$B$5:$J$103,4,0)*(VLOOKUP(E267,$AP$1:$AQ$6,2,0))</f>
        <v>998.43333333333078</v>
      </c>
      <c r="AF267" s="68">
        <f>VLOOKUP(D267,宠物成长生成表!$B$5:$J$103,4,0)*$AO$4*(VLOOKUP(E267,$AP$1:$AQ$6,2,0))</f>
        <v>888.60566666666443</v>
      </c>
      <c r="AG267" s="68">
        <f>VLOOKUP(D267,宠物成长生成表!$B$5:$J$103,7,0)*$AO$5*(VLOOKUP(E267,$AP$1:$AQ$6,2,0))</f>
        <v>723.69733333333147</v>
      </c>
      <c r="AH267" s="68">
        <f>VLOOKUP(D267,宠物成长生成表!$B$5:$J$103,6,0)+VLOOKUP(E267,宠物升阶生成表!$B$6:$F$21,5,0)</f>
        <v>145</v>
      </c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9">
        <f t="shared" si="165"/>
        <v>3910.4648333333266</v>
      </c>
      <c r="AT267" s="69">
        <f t="shared" si="166"/>
        <v>1652.4333333333307</v>
      </c>
      <c r="AU267" s="69">
        <f t="shared" si="167"/>
        <v>1152.6056666666645</v>
      </c>
      <c r="AV267" s="71">
        <f t="shared" si="168"/>
        <v>942.69733333333147</v>
      </c>
    </row>
    <row r="268" spans="2:48">
      <c r="B268" s="98"/>
      <c r="C268" s="68" t="s">
        <v>394</v>
      </c>
      <c r="D268" s="68">
        <v>26</v>
      </c>
      <c r="E268" s="92">
        <v>2</v>
      </c>
      <c r="F268" s="68"/>
      <c r="G268" s="68"/>
      <c r="H268" s="68">
        <v>16</v>
      </c>
      <c r="I268" s="68"/>
      <c r="J268" s="68">
        <v>13</v>
      </c>
      <c r="K268" s="68"/>
      <c r="L268" s="68">
        <v>13</v>
      </c>
      <c r="M268" s="68"/>
      <c r="N268" s="68">
        <v>11</v>
      </c>
      <c r="O268" s="68"/>
      <c r="P268" s="68">
        <v>16</v>
      </c>
      <c r="Q268" s="68"/>
      <c r="R268" s="68">
        <v>11</v>
      </c>
      <c r="S268" s="68"/>
      <c r="T268" s="68"/>
      <c r="U268" s="68"/>
      <c r="V268" s="69">
        <f>IF(J268=0,0,VLOOKUP(能力数值!J268,装备拆分数值生成!$AK$165:$AV$214,5,0))+IF(P268=0,0,VLOOKUP(能力数值!P268,装备拆分数值生成!$AK$165:$AV$214,9,0))+IF(R268=0,0,VLOOKUP(能力数值!R268,装备拆分数值生成!$AK$165:$AV$214,11,0))</f>
        <v>1207</v>
      </c>
      <c r="W268" s="69">
        <f>IF(H268=0,0,VLOOKUP(能力数值!H268,装备拆分数值生成!$AK$165:$AV$214,3,0))</f>
        <v>284</v>
      </c>
      <c r="X268" s="69">
        <f>IF(H268=0,0,VLOOKUP(能力数值!H268,装备拆分数值生成!$AK$165:$AV$214,4,0))+IF(P268=0,0,VLOOKUP(能力数值!P268,装备拆分数值生成!$AK$165:$AV$214,10,0))</f>
        <v>378</v>
      </c>
      <c r="Y268" s="69">
        <f>IF(L268=0,0,VLOOKUP(能力数值!L268,装备拆分数值生成!$AK$165:$AV$214,6,0))+IF(N268=0,0,VLOOKUP(能力数值!N268,装备拆分数值生成!$AK$165:$AV$214,8,0))+IF(R268=0,0,VLOOKUP(能力数值!R268,装备拆分数值生成!$AK$165:$AV$214,12,0))</f>
        <v>323</v>
      </c>
      <c r="Z268" s="68"/>
      <c r="AA268" s="68"/>
      <c r="AB268" s="68"/>
      <c r="AC268" s="68"/>
      <c r="AD268" s="68">
        <f>VLOOKUP(D267,宠物成长生成表!$B$5:$J$103,3,0)*$AN$2*(VLOOKUP(E268,$AP$1:$AQ$6,2,0))</f>
        <v>3147.7799999999997</v>
      </c>
      <c r="AE268" s="68">
        <f>VLOOKUP(D267,宠物成长生成表!$B$5:$J$103,4,0)*$AN$3*(VLOOKUP(E268,$AP$1:$AQ$6,2,0))</f>
        <v>805.23</v>
      </c>
      <c r="AF268" s="68">
        <f>VLOOKUP(D267,宠物成长生成表!$B$5:$J$103,4,0)*$AN$4*(VLOOKUP(E268,$AP$1:$AQ$6,2,0))</f>
        <v>805.23</v>
      </c>
      <c r="AG268" s="68">
        <f>VLOOKUP(D267,宠物成长生成表!$B$5:$J$103,7,0)*$AN$5*(VLOOKUP(E268,$AP$1:$AQ$6,2,0))</f>
        <v>750.904</v>
      </c>
      <c r="AH268" s="68">
        <f>VLOOKUP(D268,宠物成长生成表!$B$5:$J$103,6,0)+VLOOKUP(E268,宠物升阶生成表!$B$6:$F$21,5,0)</f>
        <v>115</v>
      </c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9">
        <f t="shared" si="165"/>
        <v>4354.78</v>
      </c>
      <c r="AT268" s="69">
        <f t="shared" si="166"/>
        <v>1089.23</v>
      </c>
      <c r="AU268" s="69">
        <f t="shared" si="167"/>
        <v>1183.23</v>
      </c>
      <c r="AV268" s="71">
        <f t="shared" si="168"/>
        <v>1073.904</v>
      </c>
    </row>
    <row r="269" spans="2:48">
      <c r="B269" s="98"/>
      <c r="C269" s="68" t="s">
        <v>427</v>
      </c>
      <c r="D269" s="68">
        <v>22</v>
      </c>
      <c r="E269" s="92">
        <v>2</v>
      </c>
      <c r="F269" s="68"/>
      <c r="G269" s="68"/>
      <c r="H269" s="68">
        <v>16</v>
      </c>
      <c r="I269" s="68"/>
      <c r="J269" s="68">
        <v>12</v>
      </c>
      <c r="K269" s="68"/>
      <c r="L269" s="88">
        <v>24</v>
      </c>
      <c r="M269" s="68"/>
      <c r="N269" s="68">
        <v>6</v>
      </c>
      <c r="O269" s="68"/>
      <c r="P269" s="68">
        <v>11</v>
      </c>
      <c r="Q269" s="68"/>
      <c r="R269" s="68">
        <v>15</v>
      </c>
      <c r="S269" s="68"/>
      <c r="T269" s="68"/>
      <c r="U269" s="68"/>
      <c r="V269" s="69">
        <f>IF(J269=0,0,VLOOKUP(能力数值!J269,装备拆分数值生成!$AK$112:$AV$161,5,0))+IF(P269=0,0,VLOOKUP(能力数值!P269,装备拆分数值生成!$AK$112:$AV$161,5,0))+IF(R269=0,0,VLOOKUP(能力数值!R269,装备拆分数值生成!$AK$112:$AV$161,11,0))</f>
        <v>1833</v>
      </c>
      <c r="W269" s="69">
        <f>IF(H269=0,0,VLOOKUP(能力数值!H269,装备拆分数值生成!$AK$112:$AV$161,3,0))</f>
        <v>260</v>
      </c>
      <c r="X269" s="69">
        <f>IF(H269=0,0,VLOOKUP(能力数值!H269,装备拆分数值生成!$AK$112:$AV$161,4,0))</f>
        <v>260</v>
      </c>
      <c r="Y269" s="69">
        <f>IF(L269=0,0,VLOOKUP(能力数值!L269,装备拆分数值生成!$AK$112:$AV$161,6,0))+IF(N269=0,0,VLOOKUP(能力数值!N269,装备拆分数值生成!$AK$112:$AV$161,8,0))+IF(R269=0,0,VLOOKUP(能力数值!R269,装备拆分数值生成!$AK$112:$AV$161,12,0))</f>
        <v>719</v>
      </c>
      <c r="Z269" s="68"/>
      <c r="AA269" s="68"/>
      <c r="AB269" s="68"/>
      <c r="AC269" s="68"/>
      <c r="AD269" s="68">
        <f>VLOOKUP(D269,宠物成长生成表!$B$5:$J$103,3,0)*$AM$2*(VLOOKUP(E269,$AP$1:$AQ$6,2,0))</f>
        <v>3013.92</v>
      </c>
      <c r="AE269" s="68">
        <f>VLOOKUP(D269,宠物成长生成表!$B$5:$J$103,4,0)*$AM$3*(VLOOKUP(E269,$AP$1:$AQ$6,2,0))</f>
        <v>632.95999999999992</v>
      </c>
      <c r="AF269" s="68">
        <f>VLOOKUP(D269,宠物成长生成表!$B$5:$J$103,4,0)*$AM$4*(VLOOKUP(E269,$AP$1:$AQ$6,2,0))</f>
        <v>632.95999999999992</v>
      </c>
      <c r="AG269" s="68">
        <f>VLOOKUP(D269,宠物成长生成表!$B$5:$J$103,7,0)*$AM$5*(VLOOKUP(E269,$AP$1:$AQ$6,2,0))</f>
        <v>995.80799999999999</v>
      </c>
      <c r="AH269" s="68">
        <f>VLOOKUP(D269,宠物成长生成表!$B$5:$J$103,6,0)+VLOOKUP(E269,宠物升阶生成表!$B$6:$F$21,5,0)</f>
        <v>107</v>
      </c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9">
        <f t="shared" si="165"/>
        <v>4846.92</v>
      </c>
      <c r="AT269" s="69">
        <f t="shared" si="166"/>
        <v>892.95999999999992</v>
      </c>
      <c r="AU269" s="69">
        <f t="shared" si="167"/>
        <v>892.95999999999992</v>
      </c>
      <c r="AV269" s="71">
        <f t="shared" si="168"/>
        <v>1714.808</v>
      </c>
    </row>
    <row r="270" spans="2:48" ht="17.25" thickBot="1">
      <c r="B270" s="99"/>
      <c r="C270" s="72" t="s">
        <v>425</v>
      </c>
      <c r="D270" s="72">
        <v>5</v>
      </c>
      <c r="E270" s="93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69"/>
      <c r="W270" s="69"/>
      <c r="X270" s="69"/>
      <c r="Y270" s="69"/>
      <c r="Z270" s="72"/>
      <c r="AA270" s="72"/>
      <c r="AB270" s="72"/>
      <c r="AC270" s="72"/>
      <c r="AD270" s="72">
        <f>VLOOKUP(D270,宠物成长生成表!$B$5:$J$103,3,0)*$AL$2*(VLOOKUP(E270,$AP$1:$AQ$6,2,0))</f>
        <v>1228.99</v>
      </c>
      <c r="AE270" s="72">
        <f>VLOOKUP(D270,宠物成长生成表!$B$5:$J$103,4,0)*$AL$3*(VLOOKUP(E270,$AP$1:$AQ$6,2,0))</f>
        <v>384.48</v>
      </c>
      <c r="AF270" s="72">
        <f>VLOOKUP(D270,宠物成长生成表!$B$5:$J$103,4,0)*$AL$4*(VLOOKUP(E270,$AP$1:$AQ$6,2,0))</f>
        <v>496.79999999999995</v>
      </c>
      <c r="AG270" s="72">
        <f>VLOOKUP(D270,宠物成长生成表!$B$5:$J$103,7,0)*$AL$5*(VLOOKUP(E270,$AP$1:$AQ$6,2,0))</f>
        <v>313.12</v>
      </c>
      <c r="AH270" s="81">
        <f>VLOOKUP(D270,宠物成长生成表!$B$5:$J$103,6,0)</f>
        <v>59</v>
      </c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8"/>
    </row>
    <row r="271" spans="2:48">
      <c r="B271" s="97" t="s">
        <v>520</v>
      </c>
      <c r="C271" s="64" t="s">
        <v>428</v>
      </c>
      <c r="D271" s="64">
        <v>27</v>
      </c>
      <c r="E271" s="91">
        <v>3</v>
      </c>
      <c r="F271" s="64"/>
      <c r="G271" s="64"/>
      <c r="H271" s="89">
        <v>21</v>
      </c>
      <c r="I271" s="64"/>
      <c r="J271" s="64">
        <v>11</v>
      </c>
      <c r="K271" s="64"/>
      <c r="L271" s="64">
        <v>11</v>
      </c>
      <c r="M271" s="64"/>
      <c r="N271" s="64">
        <v>11</v>
      </c>
      <c r="O271" s="64"/>
      <c r="P271" s="64">
        <v>11</v>
      </c>
      <c r="Q271" s="64"/>
      <c r="R271" s="64">
        <v>13</v>
      </c>
      <c r="S271" s="64"/>
      <c r="T271" s="64"/>
      <c r="U271" s="64"/>
      <c r="V271" s="65">
        <f>IF(J271=0,0,VLOOKUP(能力数值!J271,装备拆分数值生成!$AK$58:$AV$107,5,0))+IF(P271=0,0,VLOOKUP(P271,装备拆分数值生成!$AK$58:$AV$107,9,0))+IF(R271=0,0,VLOOKUP(R271,装备拆分数值生成!$AK$58:$AV$107,11,0))</f>
        <v>1042</v>
      </c>
      <c r="W271" s="65">
        <f>IF(H271=0,0,VLOOKUP(H271,装备拆分数值生成!$AK$58:$AV$107,3,0))+IF(P271=0,0,VLOOKUP(P271,装备拆分数值生成!$AK$58:$AV$107,10,0))</f>
        <v>286</v>
      </c>
      <c r="X271" s="65">
        <f>IF(H271=0,0,VLOOKUP(H271,装备拆分数值生成!$AK$58:$AV$107,4,0))+IF(N271=0,0,VLOOKUP(N271,装备拆分数值生成!$AK$58:$AV$107,7,0))+IF(R271=0,0,VLOOKUP(R271,装备拆分数值生成!$AK$58:$AV$107,12,0))</f>
        <v>732</v>
      </c>
      <c r="Y271" s="65">
        <f>IF(L271=0,0,VLOOKUP(L271,装备拆分数值生成!$AK$58:$AV$107,6,0))+IF(N271=0,0,VLOOKUP(N271,装备拆分数值生成!$AK$58:$AV$107,8,0))</f>
        <v>233</v>
      </c>
      <c r="Z271" s="64"/>
      <c r="AA271" s="64"/>
      <c r="AB271" s="64"/>
      <c r="AC271" s="64"/>
      <c r="AD271" s="68">
        <f>VLOOKUP(D271,宠物成长生成表!$B$5:$J$103,3,0)*$AL$2*(VLOOKUP(E271,$AP$1:$AQ$6,2,0))</f>
        <v>2603.8679999999999</v>
      </c>
      <c r="AE271" s="68">
        <f>VLOOKUP(D271,宠物成长生成表!$B$5:$J$103,4,0)*$AL$3*(VLOOKUP(E271,$AP$1:$AQ$6,2,0))</f>
        <v>814.88400000000001</v>
      </c>
      <c r="AF271" s="68">
        <f>VLOOKUP(D271,宠物成长生成表!$B$5:$J$103,4,0)*$AL$4*(VLOOKUP(E271,$AP$1:$AQ$6,2,0))</f>
        <v>1052.9399999999998</v>
      </c>
      <c r="AG271" s="68">
        <f>VLOOKUP(D271,宠物成长生成表!$B$5:$J$103,7,0)*$AL$5*(VLOOKUP(E271,$AP$1:$AQ$6,2,0))</f>
        <v>663.93599999999992</v>
      </c>
      <c r="AH271" s="64">
        <f>VLOOKUP(D271,宠物成长生成表!$B$5:$J$103,6,0)+VLOOKUP(E271,宠物升阶生成表!$B$6:$F$21,5,0)</f>
        <v>130</v>
      </c>
      <c r="AI271" s="64"/>
      <c r="AJ271" s="64"/>
      <c r="AK271" s="64"/>
      <c r="AL271" s="64"/>
      <c r="AM271" s="64"/>
      <c r="AN271" s="64"/>
      <c r="AO271" s="64"/>
      <c r="AP271" s="64"/>
      <c r="AQ271" s="64"/>
      <c r="AR271" s="64"/>
      <c r="AS271" s="65">
        <f t="shared" ref="AS271:AS274" si="169">V271+AD271</f>
        <v>3645.8679999999999</v>
      </c>
      <c r="AT271" s="65">
        <f t="shared" ref="AT271:AT274" si="170">W271+AE271</f>
        <v>1100.884</v>
      </c>
      <c r="AU271" s="65">
        <f t="shared" ref="AU271:AU274" si="171">X271+AF271</f>
        <v>1784.9399999999998</v>
      </c>
      <c r="AV271" s="67">
        <f t="shared" ref="AV271:AV274" si="172">Y271+AG271</f>
        <v>896.93599999999992</v>
      </c>
    </row>
    <row r="272" spans="2:48">
      <c r="B272" s="98"/>
      <c r="C272" s="68" t="s">
        <v>426</v>
      </c>
      <c r="D272" s="68">
        <v>30</v>
      </c>
      <c r="E272" s="92">
        <v>4</v>
      </c>
      <c r="F272" s="68"/>
      <c r="G272" s="68"/>
      <c r="H272" s="68">
        <v>24</v>
      </c>
      <c r="I272" s="68"/>
      <c r="J272" s="68">
        <v>12</v>
      </c>
      <c r="K272" s="68"/>
      <c r="L272" s="68">
        <v>13</v>
      </c>
      <c r="M272" s="68"/>
      <c r="N272" s="68">
        <v>11</v>
      </c>
      <c r="O272" s="68"/>
      <c r="P272" s="68">
        <v>11</v>
      </c>
      <c r="Q272" s="68"/>
      <c r="R272" s="68">
        <v>12</v>
      </c>
      <c r="S272" s="68"/>
      <c r="T272" s="68"/>
      <c r="U272" s="68"/>
      <c r="V272" s="69">
        <f>IF(J272=0,0,VLOOKUP(能力数值!J272,装备拆分数值生成!$AK$4:$AV$53,5,0))+IF(P272=0,0,VLOOKUP(能力数值!P272,装备拆分数值生成!$AK$4:$AV$53,9,0))+IF(R272=0,0,VLOOKUP(能力数值!R272,装备拆分数值生成!$AK$4:$AV$53,11,0))</f>
        <v>1071</v>
      </c>
      <c r="W272" s="69">
        <f>IF(H272=0,0,VLOOKUP(能力数值!H272,装备拆分数值生成!$AK$4:$AV$53,3,0))+IF(N272=0,0,VLOOKUP(能力数值!N272,装备拆分数值生成!$AK$4:$AV$53,7,0))+IF(R272=0,0,VLOOKUP(能力数值!R272,装备拆分数值生成!$AK$4:$AV$53,12,0))</f>
        <v>816</v>
      </c>
      <c r="X272" s="69">
        <f>IF(H272=0,0,VLOOKUP(能力数值!H272,装备拆分数值生成!$AK$4:$AV$53,4,0))+IF(P272=0,0,VLOOKUP(能力数值!P272,装备拆分数值生成!$AK$4:$AV$53,10,0))</f>
        <v>333</v>
      </c>
      <c r="Y272" s="69">
        <f>IF(L272=0,0,VLOOKUP(能力数值!L272,装备拆分数值生成!$AK$4:$AV$53,6,0))+IF(N272=0,0,VLOOKUP(能力数值!N272,装备拆分数值生成!$AK$4:$AV$53,8,0))</f>
        <v>252</v>
      </c>
      <c r="Z272" s="68"/>
      <c r="AA272" s="68"/>
      <c r="AB272" s="68"/>
      <c r="AC272" s="68"/>
      <c r="AD272" s="68">
        <f>VLOOKUP(D272,宠物成长生成表!$B$5:$J$103,3,0)*$AO$2*(VLOOKUP(E272,$AP$1:$AQ$6,2,0))</f>
        <v>2949.0101666666592</v>
      </c>
      <c r="AE272" s="68">
        <f>VLOOKUP(D272,宠物成长生成表!$B$5:$J$103,4,0)*(VLOOKUP(E272,$AP$1:$AQ$6,2,0))</f>
        <v>1036.9333333333307</v>
      </c>
      <c r="AF272" s="68">
        <f>VLOOKUP(D272,宠物成长生成表!$B$5:$J$103,4,0)*$AO$4*(VLOOKUP(E272,$AP$1:$AQ$6,2,0))</f>
        <v>922.87066666666431</v>
      </c>
      <c r="AG272" s="68">
        <f>VLOOKUP(D272,宠物成长生成表!$B$5:$J$103,7,0)*$AO$5*(VLOOKUP(E272,$AP$1:$AQ$6,2,0))</f>
        <v>751.98199999999815</v>
      </c>
      <c r="AH272" s="68">
        <f>VLOOKUP(D272,宠物成长生成表!$B$5:$J$103,6,0)+VLOOKUP(E272,宠物升阶生成表!$B$6:$F$21,5,0)</f>
        <v>151</v>
      </c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9">
        <f t="shared" si="169"/>
        <v>4020.0101666666592</v>
      </c>
      <c r="AT272" s="69">
        <f t="shared" si="170"/>
        <v>1852.9333333333307</v>
      </c>
      <c r="AU272" s="69">
        <f t="shared" si="171"/>
        <v>1255.8706666666644</v>
      </c>
      <c r="AV272" s="71">
        <f t="shared" si="172"/>
        <v>1003.9819999999982</v>
      </c>
    </row>
    <row r="273" spans="2:48">
      <c r="B273" s="98"/>
      <c r="C273" s="68" t="s">
        <v>394</v>
      </c>
      <c r="D273" s="68">
        <v>29</v>
      </c>
      <c r="E273" s="92">
        <v>3</v>
      </c>
      <c r="F273" s="68"/>
      <c r="G273" s="68"/>
      <c r="H273" s="68">
        <v>16</v>
      </c>
      <c r="I273" s="68"/>
      <c r="J273" s="68">
        <v>13</v>
      </c>
      <c r="K273" s="68"/>
      <c r="L273" s="68">
        <v>13</v>
      </c>
      <c r="M273" s="68"/>
      <c r="N273" s="68">
        <v>11</v>
      </c>
      <c r="O273" s="68"/>
      <c r="P273" s="68">
        <v>16</v>
      </c>
      <c r="Q273" s="68"/>
      <c r="R273" s="68">
        <v>11</v>
      </c>
      <c r="S273" s="68"/>
      <c r="T273" s="68"/>
      <c r="U273" s="68"/>
      <c r="V273" s="69">
        <f>IF(J273=0,0,VLOOKUP(能力数值!J273,装备拆分数值生成!$AK$165:$AV$214,5,0))+IF(P273=0,0,VLOOKUP(能力数值!P273,装备拆分数值生成!$AK$165:$AV$214,9,0))+IF(R273=0,0,VLOOKUP(能力数值!R273,装备拆分数值生成!$AK$165:$AV$214,11,0))</f>
        <v>1207</v>
      </c>
      <c r="W273" s="69">
        <f>IF(H273=0,0,VLOOKUP(能力数值!H273,装备拆分数值生成!$AK$165:$AV$214,3,0))</f>
        <v>284</v>
      </c>
      <c r="X273" s="69">
        <f>IF(H273=0,0,VLOOKUP(能力数值!H273,装备拆分数值生成!$AK$165:$AV$214,4,0))+IF(P273=0,0,VLOOKUP(能力数值!P273,装备拆分数值生成!$AK$165:$AV$214,10,0))</f>
        <v>378</v>
      </c>
      <c r="Y273" s="69">
        <f>IF(L273=0,0,VLOOKUP(能力数值!L273,装备拆分数值生成!$AK$165:$AV$214,6,0))+IF(N273=0,0,VLOOKUP(能力数值!N273,装备拆分数值生成!$AK$165:$AV$214,8,0))+IF(R273=0,0,VLOOKUP(能力数值!R273,装备拆分数值生成!$AK$165:$AV$214,12,0))</f>
        <v>323</v>
      </c>
      <c r="Z273" s="68"/>
      <c r="AA273" s="68"/>
      <c r="AB273" s="68"/>
      <c r="AC273" s="68"/>
      <c r="AD273" s="68">
        <f>VLOOKUP(D272,宠物成长生成表!$B$5:$J$103,3,0)*$AN$2*(VLOOKUP(E273,$AP$1:$AQ$6,2,0))</f>
        <v>3411.3599999999997</v>
      </c>
      <c r="AE273" s="68">
        <f>VLOOKUP(D272,宠物成长生成表!$B$5:$J$103,4,0)*$AN$3*(VLOOKUP(E273,$AP$1:$AQ$6,2,0))</f>
        <v>872.64</v>
      </c>
      <c r="AF273" s="68">
        <f>VLOOKUP(D272,宠物成长生成表!$B$5:$J$103,4,0)*$AN$4*(VLOOKUP(E273,$AP$1:$AQ$6,2,0))</f>
        <v>872.64</v>
      </c>
      <c r="AG273" s="68">
        <f>VLOOKUP(D272,宠物成长生成表!$B$5:$J$103,7,0)*$AN$5*(VLOOKUP(E273,$AP$1:$AQ$6,2,0))</f>
        <v>814.17600000000004</v>
      </c>
      <c r="AH273" s="68">
        <f>VLOOKUP(D273,宠物成长生成表!$B$5:$J$103,6,0)+VLOOKUP(E273,宠物升阶生成表!$B$6:$F$21,5,0)</f>
        <v>134</v>
      </c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9">
        <f t="shared" si="169"/>
        <v>4618.3599999999997</v>
      </c>
      <c r="AT273" s="69">
        <f t="shared" si="170"/>
        <v>1156.6399999999999</v>
      </c>
      <c r="AU273" s="69">
        <f t="shared" si="171"/>
        <v>1250.6399999999999</v>
      </c>
      <c r="AV273" s="71">
        <f t="shared" si="172"/>
        <v>1137.1759999999999</v>
      </c>
    </row>
    <row r="274" spans="2:48">
      <c r="B274" s="98"/>
      <c r="C274" s="68" t="s">
        <v>427</v>
      </c>
      <c r="D274" s="68">
        <v>25</v>
      </c>
      <c r="E274" s="92">
        <v>3</v>
      </c>
      <c r="F274" s="68"/>
      <c r="G274" s="68"/>
      <c r="H274" s="68">
        <v>16</v>
      </c>
      <c r="I274" s="68"/>
      <c r="J274" s="68">
        <v>12</v>
      </c>
      <c r="K274" s="68"/>
      <c r="L274" s="88">
        <v>24</v>
      </c>
      <c r="M274" s="68"/>
      <c r="N274" s="68">
        <v>6</v>
      </c>
      <c r="O274" s="68"/>
      <c r="P274" s="68">
        <v>11</v>
      </c>
      <c r="Q274" s="68"/>
      <c r="R274" s="68">
        <v>15</v>
      </c>
      <c r="S274" s="68"/>
      <c r="T274" s="68"/>
      <c r="U274" s="68"/>
      <c r="V274" s="69">
        <f>IF(J274=0,0,VLOOKUP(能力数值!J274,装备拆分数值生成!$AK$112:$AV$161,5,0))+IF(P274=0,0,VLOOKUP(能力数值!P274,装备拆分数值生成!$AK$112:$AV$161,5,0))+IF(R274=0,0,VLOOKUP(能力数值!R274,装备拆分数值生成!$AK$112:$AV$161,11,0))</f>
        <v>1833</v>
      </c>
      <c r="W274" s="69">
        <f>IF(H274=0,0,VLOOKUP(能力数值!H274,装备拆分数值生成!$AK$112:$AV$161,3,0))</f>
        <v>260</v>
      </c>
      <c r="X274" s="69">
        <f>IF(H274=0,0,VLOOKUP(能力数值!H274,装备拆分数值生成!$AK$112:$AV$161,4,0))</f>
        <v>260</v>
      </c>
      <c r="Y274" s="69">
        <f>IF(L274=0,0,VLOOKUP(能力数值!L274,装备拆分数值生成!$AK$112:$AV$161,6,0))+IF(N274=0,0,VLOOKUP(能力数值!N274,装备拆分数值生成!$AK$112:$AV$161,8,0))+IF(R274=0,0,VLOOKUP(能力数值!R274,装备拆分数值生成!$AK$112:$AV$161,12,0))</f>
        <v>719</v>
      </c>
      <c r="Z274" s="68"/>
      <c r="AA274" s="68"/>
      <c r="AB274" s="68"/>
      <c r="AC274" s="68"/>
      <c r="AD274" s="68">
        <f>VLOOKUP(D274,宠物成长生成表!$B$5:$J$103,3,0)*$AM$2*(VLOOKUP(E274,$AP$1:$AQ$6,2,0))</f>
        <v>3350.88</v>
      </c>
      <c r="AE274" s="68">
        <f>VLOOKUP(D274,宠物成长生成表!$B$5:$J$103,4,0)*$AM$3*(VLOOKUP(E274,$AP$1:$AQ$6,2,0))</f>
        <v>703.68</v>
      </c>
      <c r="AF274" s="68">
        <f>VLOOKUP(D274,宠物成长生成表!$B$5:$J$103,4,0)*$AM$4*(VLOOKUP(E274,$AP$1:$AQ$6,2,0))</f>
        <v>703.68</v>
      </c>
      <c r="AG274" s="68">
        <f>VLOOKUP(D274,宠物成长生成表!$B$5:$J$103,7,0)*$AM$5*(VLOOKUP(E274,$AP$1:$AQ$6,2,0))</f>
        <v>1107.2160000000001</v>
      </c>
      <c r="AH274" s="68">
        <f>VLOOKUP(D274,宠物成长生成表!$B$5:$J$103,6,0)+VLOOKUP(E274,宠物升阶生成表!$B$6:$F$21,5,0)</f>
        <v>126</v>
      </c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9">
        <f t="shared" si="169"/>
        <v>5183.88</v>
      </c>
      <c r="AT274" s="69">
        <f t="shared" si="170"/>
        <v>963.68</v>
      </c>
      <c r="AU274" s="69">
        <f t="shared" si="171"/>
        <v>963.68</v>
      </c>
      <c r="AV274" s="71">
        <f t="shared" si="172"/>
        <v>1826.2160000000001</v>
      </c>
    </row>
    <row r="275" spans="2:48" ht="17.25" thickBot="1">
      <c r="B275" s="99"/>
      <c r="C275" s="72" t="s">
        <v>425</v>
      </c>
      <c r="D275" s="72">
        <v>5</v>
      </c>
      <c r="E275" s="93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69"/>
      <c r="W275" s="69"/>
      <c r="X275" s="69"/>
      <c r="Y275" s="69"/>
      <c r="Z275" s="72"/>
      <c r="AA275" s="72"/>
      <c r="AB275" s="72"/>
      <c r="AC275" s="72"/>
      <c r="AD275" s="72">
        <f>VLOOKUP(D275,宠物成长生成表!$B$5:$J$103,3,0)*$AL$2*(VLOOKUP(E275,$AP$1:$AQ$6,2,0))</f>
        <v>1228.99</v>
      </c>
      <c r="AE275" s="72">
        <f>VLOOKUP(D275,宠物成长生成表!$B$5:$J$103,4,0)*$AL$3*(VLOOKUP(E275,$AP$1:$AQ$6,2,0))</f>
        <v>384.48</v>
      </c>
      <c r="AF275" s="72">
        <f>VLOOKUP(D275,宠物成长生成表!$B$5:$J$103,4,0)*$AL$4*(VLOOKUP(E275,$AP$1:$AQ$6,2,0))</f>
        <v>496.79999999999995</v>
      </c>
      <c r="AG275" s="72">
        <f>VLOOKUP(D275,宠物成长生成表!$B$5:$J$103,7,0)*$AL$5*(VLOOKUP(E275,$AP$1:$AQ$6,2,0))</f>
        <v>313.12</v>
      </c>
      <c r="AH275" s="81">
        <f>VLOOKUP(D275,宠物成长生成表!$B$5:$J$103,6,0)</f>
        <v>59</v>
      </c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8"/>
    </row>
    <row r="276" spans="2:48">
      <c r="B276" s="97" t="s">
        <v>521</v>
      </c>
      <c r="C276" s="64" t="s">
        <v>428</v>
      </c>
      <c r="D276" s="64">
        <v>30</v>
      </c>
      <c r="E276" s="91">
        <v>3</v>
      </c>
      <c r="F276" s="64"/>
      <c r="G276" s="64"/>
      <c r="H276" s="89">
        <v>21</v>
      </c>
      <c r="I276" s="64"/>
      <c r="J276" s="64">
        <v>11</v>
      </c>
      <c r="K276" s="64"/>
      <c r="L276" s="64">
        <v>11</v>
      </c>
      <c r="M276" s="64"/>
      <c r="N276" s="64">
        <v>11</v>
      </c>
      <c r="O276" s="64"/>
      <c r="P276" s="64">
        <v>11</v>
      </c>
      <c r="Q276" s="64"/>
      <c r="R276" s="64">
        <v>13</v>
      </c>
      <c r="S276" s="64"/>
      <c r="T276" s="64"/>
      <c r="U276" s="64"/>
      <c r="V276" s="65">
        <f>IF(J276=0,0,VLOOKUP(能力数值!J276,装备拆分数值生成!$AK$58:$AV$107,5,0))+IF(P276=0,0,VLOOKUP(P276,装备拆分数值生成!$AK$58:$AV$107,9,0))+IF(R276=0,0,VLOOKUP(R276,装备拆分数值生成!$AK$58:$AV$107,11,0))</f>
        <v>1042</v>
      </c>
      <c r="W276" s="65">
        <f>IF(H276=0,0,VLOOKUP(H276,装备拆分数值生成!$AK$58:$AV$107,3,0))+IF(P276=0,0,VLOOKUP(P276,装备拆分数值生成!$AK$58:$AV$107,10,0))</f>
        <v>286</v>
      </c>
      <c r="X276" s="65">
        <f>IF(H276=0,0,VLOOKUP(H276,装备拆分数值生成!$AK$58:$AV$107,4,0))+IF(N276=0,0,VLOOKUP(N276,装备拆分数值生成!$AK$58:$AV$107,7,0))+IF(R276=0,0,VLOOKUP(R276,装备拆分数值生成!$AK$58:$AV$107,12,0))</f>
        <v>732</v>
      </c>
      <c r="Y276" s="65">
        <f>IF(L276=0,0,VLOOKUP(L276,装备拆分数值生成!$AK$58:$AV$107,6,0))+IF(N276=0,0,VLOOKUP(N276,装备拆分数值生成!$AK$58:$AV$107,8,0))</f>
        <v>233</v>
      </c>
      <c r="Z276" s="64"/>
      <c r="AA276" s="64"/>
      <c r="AB276" s="64"/>
      <c r="AC276" s="64"/>
      <c r="AD276" s="68">
        <f>VLOOKUP(D276,宠物成长生成表!$B$5:$J$103,3,0)*$AL$2*(VLOOKUP(E276,$AP$1:$AQ$6,2,0))</f>
        <v>2757.5159999999996</v>
      </c>
      <c r="AE276" s="68">
        <f>VLOOKUP(D276,宠物成长生成表!$B$5:$J$103,4,0)*$AL$3*(VLOOKUP(E276,$AP$1:$AQ$6,2,0))</f>
        <v>862.94399999999996</v>
      </c>
      <c r="AF276" s="68">
        <f>VLOOKUP(D276,宠物成长生成表!$B$5:$J$103,4,0)*$AL$4*(VLOOKUP(E276,$AP$1:$AQ$6,2,0))</f>
        <v>1115.04</v>
      </c>
      <c r="AG276" s="68">
        <f>VLOOKUP(D276,宠物成长生成表!$B$5:$J$103,7,0)*$AL$5*(VLOOKUP(E276,$AP$1:$AQ$6,2,0))</f>
        <v>703.15200000000004</v>
      </c>
      <c r="AH276" s="64">
        <f>VLOOKUP(D276,宠物成长生成表!$B$5:$J$103,6,0)+VLOOKUP(E276,宠物升阶生成表!$B$6:$F$21,5,0)</f>
        <v>138</v>
      </c>
      <c r="AI276" s="64"/>
      <c r="AJ276" s="64"/>
      <c r="AK276" s="64"/>
      <c r="AL276" s="64"/>
      <c r="AM276" s="64"/>
      <c r="AN276" s="64"/>
      <c r="AO276" s="64"/>
      <c r="AP276" s="64"/>
      <c r="AQ276" s="64"/>
      <c r="AR276" s="64"/>
      <c r="AS276" s="65">
        <f t="shared" ref="AS276:AS279" si="173">V276+AD276</f>
        <v>3799.5159999999996</v>
      </c>
      <c r="AT276" s="65">
        <f t="shared" ref="AT276:AT279" si="174">W276+AE276</f>
        <v>1148.944</v>
      </c>
      <c r="AU276" s="65">
        <f t="shared" ref="AU276:AU279" si="175">X276+AF276</f>
        <v>1847.04</v>
      </c>
      <c r="AV276" s="67">
        <f t="shared" ref="AV276:AV279" si="176">Y276+AG276</f>
        <v>936.15200000000004</v>
      </c>
    </row>
    <row r="277" spans="2:48">
      <c r="B277" s="98"/>
      <c r="C277" s="68" t="s">
        <v>426</v>
      </c>
      <c r="D277" s="68">
        <v>31</v>
      </c>
      <c r="E277" s="92">
        <v>4</v>
      </c>
      <c r="F277" s="68"/>
      <c r="G277" s="68"/>
      <c r="H277" s="68">
        <v>24</v>
      </c>
      <c r="I277" s="68"/>
      <c r="J277" s="68">
        <v>12</v>
      </c>
      <c r="K277" s="68"/>
      <c r="L277" s="68">
        <v>13</v>
      </c>
      <c r="M277" s="68"/>
      <c r="N277" s="68">
        <v>11</v>
      </c>
      <c r="O277" s="68"/>
      <c r="P277" s="68">
        <v>11</v>
      </c>
      <c r="Q277" s="68"/>
      <c r="R277" s="68">
        <v>12</v>
      </c>
      <c r="S277" s="68"/>
      <c r="T277" s="68"/>
      <c r="U277" s="68"/>
      <c r="V277" s="69">
        <f>IF(J277=0,0,VLOOKUP(能力数值!J277,装备拆分数值生成!$AK$4:$AV$53,5,0))+IF(P277=0,0,VLOOKUP(能力数值!P277,装备拆分数值生成!$AK$4:$AV$53,9,0))+IF(R277=0,0,VLOOKUP(能力数值!R277,装备拆分数值生成!$AK$4:$AV$53,11,0))</f>
        <v>1071</v>
      </c>
      <c r="W277" s="69">
        <f>IF(H277=0,0,VLOOKUP(能力数值!H277,装备拆分数值生成!$AK$4:$AV$53,3,0))+IF(N277=0,0,VLOOKUP(能力数值!N277,装备拆分数值生成!$AK$4:$AV$53,7,0))+IF(R277=0,0,VLOOKUP(能力数值!R277,装备拆分数值生成!$AK$4:$AV$53,12,0))</f>
        <v>816</v>
      </c>
      <c r="X277" s="69">
        <f>IF(H277=0,0,VLOOKUP(能力数值!H277,装备拆分数值生成!$AK$4:$AV$53,4,0))+IF(P277=0,0,VLOOKUP(能力数值!P277,装备拆分数值生成!$AK$4:$AV$53,10,0))</f>
        <v>333</v>
      </c>
      <c r="Y277" s="69">
        <f>IF(L277=0,0,VLOOKUP(能力数值!L277,装备拆分数值生成!$AK$4:$AV$53,6,0))+IF(N277=0,0,VLOOKUP(能力数值!N277,装备拆分数值生成!$AK$4:$AV$53,8,0))</f>
        <v>252</v>
      </c>
      <c r="Z277" s="68"/>
      <c r="AA277" s="68"/>
      <c r="AB277" s="68"/>
      <c r="AC277" s="68"/>
      <c r="AD277" s="68">
        <f>VLOOKUP(D277,宠物成长生成表!$B$5:$J$103,3,0)*$AO$2*(VLOOKUP(E277,$AP$1:$AQ$6,2,0))</f>
        <v>3003.7828333333259</v>
      </c>
      <c r="AE277" s="68">
        <f>VLOOKUP(D277,宠物成长生成表!$B$5:$J$103,4,0)*(VLOOKUP(E277,$AP$1:$AQ$6,2,0))</f>
        <v>1057.466666666664</v>
      </c>
      <c r="AF277" s="68">
        <f>VLOOKUP(D277,宠物成长生成表!$B$5:$J$103,4,0)*$AO$4*(VLOOKUP(E277,$AP$1:$AQ$6,2,0))</f>
        <v>941.145333333331</v>
      </c>
      <c r="AG277" s="68">
        <f>VLOOKUP(D277,宠物成长生成表!$B$5:$J$103,7,0)*$AO$5*(VLOOKUP(E277,$AP$1:$AQ$6,2,0))</f>
        <v>765.63666666666472</v>
      </c>
      <c r="AH277" s="68">
        <f>VLOOKUP(D277,宠物成长生成表!$B$5:$J$103,6,0)+VLOOKUP(E277,宠物升阶生成表!$B$6:$F$21,5,0)</f>
        <v>152</v>
      </c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9">
        <f t="shared" si="173"/>
        <v>4074.7828333333259</v>
      </c>
      <c r="AT277" s="69">
        <f t="shared" si="174"/>
        <v>1873.466666666664</v>
      </c>
      <c r="AU277" s="69">
        <f t="shared" si="175"/>
        <v>1274.1453333333311</v>
      </c>
      <c r="AV277" s="71">
        <f t="shared" si="176"/>
        <v>1017.6366666666647</v>
      </c>
    </row>
    <row r="278" spans="2:48">
      <c r="B278" s="98"/>
      <c r="C278" s="68" t="s">
        <v>394</v>
      </c>
      <c r="D278" s="68">
        <v>29</v>
      </c>
      <c r="E278" s="92">
        <v>3</v>
      </c>
      <c r="F278" s="68"/>
      <c r="G278" s="68"/>
      <c r="H278" s="68">
        <v>16</v>
      </c>
      <c r="I278" s="68"/>
      <c r="J278" s="68">
        <v>13</v>
      </c>
      <c r="K278" s="68"/>
      <c r="L278" s="68">
        <v>13</v>
      </c>
      <c r="M278" s="68"/>
      <c r="N278" s="68">
        <v>11</v>
      </c>
      <c r="O278" s="68"/>
      <c r="P278" s="68">
        <v>16</v>
      </c>
      <c r="Q278" s="68"/>
      <c r="R278" s="68">
        <v>11</v>
      </c>
      <c r="S278" s="68"/>
      <c r="T278" s="68"/>
      <c r="U278" s="68"/>
      <c r="V278" s="69">
        <f>IF(J278=0,0,VLOOKUP(能力数值!J278,装备拆分数值生成!$AK$165:$AV$214,5,0))+IF(P278=0,0,VLOOKUP(能力数值!P278,装备拆分数值生成!$AK$165:$AV$214,9,0))+IF(R278=0,0,VLOOKUP(能力数值!R278,装备拆分数值生成!$AK$165:$AV$214,11,0))</f>
        <v>1207</v>
      </c>
      <c r="W278" s="69">
        <f>IF(H278=0,0,VLOOKUP(能力数值!H278,装备拆分数值生成!$AK$165:$AV$214,3,0))</f>
        <v>284</v>
      </c>
      <c r="X278" s="69">
        <f>IF(H278=0,0,VLOOKUP(能力数值!H278,装备拆分数值生成!$AK$165:$AV$214,4,0))+IF(P278=0,0,VLOOKUP(能力数值!P278,装备拆分数值生成!$AK$165:$AV$214,10,0))</f>
        <v>378</v>
      </c>
      <c r="Y278" s="69">
        <f>IF(L278=0,0,VLOOKUP(能力数值!L278,装备拆分数值生成!$AK$165:$AV$214,6,0))+IF(N278=0,0,VLOOKUP(能力数值!N278,装备拆分数值生成!$AK$165:$AV$214,8,0))+IF(R278=0,0,VLOOKUP(能力数值!R278,装备拆分数值生成!$AK$165:$AV$214,12,0))</f>
        <v>323</v>
      </c>
      <c r="Z278" s="68"/>
      <c r="AA278" s="68"/>
      <c r="AB278" s="68"/>
      <c r="AC278" s="68"/>
      <c r="AD278" s="68">
        <f>VLOOKUP(D277,宠物成长生成表!$B$5:$J$103,3,0)*$AN$2*(VLOOKUP(E278,$AP$1:$AQ$6,2,0))</f>
        <v>3474.72</v>
      </c>
      <c r="AE278" s="68">
        <f>VLOOKUP(D277,宠物成长生成表!$B$5:$J$103,4,0)*$AN$3*(VLOOKUP(E278,$AP$1:$AQ$6,2,0))</f>
        <v>889.92</v>
      </c>
      <c r="AF278" s="68">
        <f>VLOOKUP(D277,宠物成长生成表!$B$5:$J$103,4,0)*$AN$4*(VLOOKUP(E278,$AP$1:$AQ$6,2,0))</f>
        <v>889.92</v>
      </c>
      <c r="AG278" s="68">
        <f>VLOOKUP(D277,宠物成长生成表!$B$5:$J$103,7,0)*$AN$5*(VLOOKUP(E278,$AP$1:$AQ$6,2,0))</f>
        <v>828.95999999999992</v>
      </c>
      <c r="AH278" s="68">
        <f>VLOOKUP(D278,宠物成长生成表!$B$5:$J$103,6,0)+VLOOKUP(E278,宠物升阶生成表!$B$6:$F$21,5,0)</f>
        <v>134</v>
      </c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9">
        <f t="shared" si="173"/>
        <v>4681.7199999999993</v>
      </c>
      <c r="AT278" s="69">
        <f t="shared" si="174"/>
        <v>1173.92</v>
      </c>
      <c r="AU278" s="69">
        <f t="shared" si="175"/>
        <v>1267.92</v>
      </c>
      <c r="AV278" s="71">
        <f t="shared" si="176"/>
        <v>1151.96</v>
      </c>
    </row>
    <row r="279" spans="2:48">
      <c r="B279" s="98"/>
      <c r="C279" s="68" t="s">
        <v>427</v>
      </c>
      <c r="D279" s="68">
        <v>25</v>
      </c>
      <c r="E279" s="92">
        <v>2</v>
      </c>
      <c r="F279" s="68"/>
      <c r="G279" s="68"/>
      <c r="H279" s="68">
        <v>16</v>
      </c>
      <c r="I279" s="68"/>
      <c r="J279" s="68">
        <v>12</v>
      </c>
      <c r="K279" s="68"/>
      <c r="L279" s="88">
        <v>24</v>
      </c>
      <c r="M279" s="68"/>
      <c r="N279" s="68">
        <v>6</v>
      </c>
      <c r="O279" s="68"/>
      <c r="P279" s="68">
        <v>11</v>
      </c>
      <c r="Q279" s="68"/>
      <c r="R279" s="68">
        <v>15</v>
      </c>
      <c r="S279" s="68"/>
      <c r="T279" s="68"/>
      <c r="U279" s="68"/>
      <c r="V279" s="69">
        <f>IF(J279=0,0,VLOOKUP(能力数值!J279,装备拆分数值生成!$AK$112:$AV$161,5,0))+IF(P279=0,0,VLOOKUP(能力数值!P279,装备拆分数值生成!$AK$112:$AV$161,5,0))+IF(R279=0,0,VLOOKUP(能力数值!R279,装备拆分数值生成!$AK$112:$AV$161,11,0))</f>
        <v>1833</v>
      </c>
      <c r="W279" s="69">
        <f>IF(H279=0,0,VLOOKUP(能力数值!H279,装备拆分数值生成!$AK$112:$AV$161,3,0))</f>
        <v>260</v>
      </c>
      <c r="X279" s="69">
        <f>IF(H279=0,0,VLOOKUP(能力数值!H279,装备拆分数值生成!$AK$112:$AV$161,4,0))</f>
        <v>260</v>
      </c>
      <c r="Y279" s="69">
        <f>IF(L279=0,0,VLOOKUP(能力数值!L279,装备拆分数值生成!$AK$112:$AV$161,6,0))+IF(N279=0,0,VLOOKUP(能力数值!N279,装备拆分数值生成!$AK$112:$AV$161,8,0))+IF(R279=0,0,VLOOKUP(能力数值!R279,装备拆分数值生成!$AK$112:$AV$161,12,0))</f>
        <v>719</v>
      </c>
      <c r="Z279" s="68"/>
      <c r="AA279" s="68"/>
      <c r="AB279" s="68"/>
      <c r="AC279" s="68"/>
      <c r="AD279" s="68">
        <f>VLOOKUP(D279,宠物成长生成表!$B$5:$J$103,3,0)*$AM$2*(VLOOKUP(E279,$AP$1:$AQ$6,2,0))</f>
        <v>3211.2599999999998</v>
      </c>
      <c r="AE279" s="68">
        <f>VLOOKUP(D279,宠物成长生成表!$B$5:$J$103,4,0)*$AM$3*(VLOOKUP(E279,$AP$1:$AQ$6,2,0))</f>
        <v>674.3599999999999</v>
      </c>
      <c r="AF279" s="68">
        <f>VLOOKUP(D279,宠物成长生成表!$B$5:$J$103,4,0)*$AM$4*(VLOOKUP(E279,$AP$1:$AQ$6,2,0))</f>
        <v>674.3599999999999</v>
      </c>
      <c r="AG279" s="68">
        <f>VLOOKUP(D279,宠物成长生成表!$B$5:$J$103,7,0)*$AM$5*(VLOOKUP(E279,$AP$1:$AQ$6,2,0))</f>
        <v>1061.0819999999999</v>
      </c>
      <c r="AH279" s="68">
        <f>VLOOKUP(D279,宠物成长生成表!$B$5:$J$103,6,0)+VLOOKUP(E279,宠物升阶生成表!$B$6:$F$21,5,0)</f>
        <v>113</v>
      </c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9">
        <f t="shared" si="173"/>
        <v>5044.26</v>
      </c>
      <c r="AT279" s="69">
        <f t="shared" si="174"/>
        <v>934.3599999999999</v>
      </c>
      <c r="AU279" s="69">
        <f t="shared" si="175"/>
        <v>934.3599999999999</v>
      </c>
      <c r="AV279" s="71">
        <f t="shared" si="176"/>
        <v>1780.0819999999999</v>
      </c>
    </row>
    <row r="280" spans="2:48" ht="17.25" thickBot="1">
      <c r="B280" s="99"/>
      <c r="C280" s="72" t="s">
        <v>425</v>
      </c>
      <c r="D280" s="72">
        <v>5</v>
      </c>
      <c r="E280" s="93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69"/>
      <c r="W280" s="69"/>
      <c r="X280" s="69"/>
      <c r="Y280" s="69"/>
      <c r="Z280" s="72"/>
      <c r="AA280" s="72"/>
      <c r="AB280" s="72"/>
      <c r="AC280" s="72"/>
      <c r="AD280" s="72">
        <f>VLOOKUP(D280,宠物成长生成表!$B$5:$J$103,3,0)*$AL$2*(VLOOKUP(E280,$AP$1:$AQ$6,2,0))</f>
        <v>1228.99</v>
      </c>
      <c r="AE280" s="72">
        <f>VLOOKUP(D280,宠物成长生成表!$B$5:$J$103,4,0)*$AL$3*(VLOOKUP(E280,$AP$1:$AQ$6,2,0))</f>
        <v>384.48</v>
      </c>
      <c r="AF280" s="72">
        <f>VLOOKUP(D280,宠物成长生成表!$B$5:$J$103,4,0)*$AL$4*(VLOOKUP(E280,$AP$1:$AQ$6,2,0))</f>
        <v>496.79999999999995</v>
      </c>
      <c r="AG280" s="72">
        <f>VLOOKUP(D280,宠物成长生成表!$B$5:$J$103,7,0)*$AL$5*(VLOOKUP(E280,$AP$1:$AQ$6,2,0))</f>
        <v>313.12</v>
      </c>
      <c r="AH280" s="81">
        <f>VLOOKUP(D280,宠物成长生成表!$B$5:$J$103,6,0)</f>
        <v>59</v>
      </c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8"/>
    </row>
    <row r="281" spans="2:48">
      <c r="B281" s="97" t="s">
        <v>522</v>
      </c>
      <c r="C281" s="64" t="s">
        <v>428</v>
      </c>
      <c r="D281" s="64">
        <v>31</v>
      </c>
      <c r="E281" s="91">
        <v>3</v>
      </c>
      <c r="F281" s="64"/>
      <c r="G281" s="64"/>
      <c r="H281" s="89">
        <v>26</v>
      </c>
      <c r="I281" s="64"/>
      <c r="J281" s="64">
        <v>17</v>
      </c>
      <c r="K281" s="64"/>
      <c r="L281" s="64">
        <v>15</v>
      </c>
      <c r="M281" s="64"/>
      <c r="N281" s="64">
        <v>15</v>
      </c>
      <c r="O281" s="64"/>
      <c r="P281" s="64">
        <v>11</v>
      </c>
      <c r="Q281" s="64"/>
      <c r="R281" s="64">
        <v>13</v>
      </c>
      <c r="S281" s="64"/>
      <c r="T281" s="64"/>
      <c r="U281" s="64"/>
      <c r="V281" s="65">
        <f>IF(J281=0,0,VLOOKUP(能力数值!J281,装备拆分数值生成!$AK$58:$AV$107,5,0))+IF(P281=0,0,VLOOKUP(P281,装备拆分数值生成!$AK$58:$AV$107,9,0))+IF(R281=0,0,VLOOKUP(R281,装备拆分数值生成!$AK$58:$AV$107,11,0))</f>
        <v>1259</v>
      </c>
      <c r="W281" s="65">
        <f>IF(H281=0,0,VLOOKUP(H281,装备拆分数值生成!$AK$58:$AV$107,3,0))+IF(P281=0,0,VLOOKUP(P281,装备拆分数值生成!$AK$58:$AV$107,10,0))</f>
        <v>364</v>
      </c>
      <c r="X281" s="65">
        <f>IF(H281=0,0,VLOOKUP(H281,装备拆分数值生成!$AK$58:$AV$107,4,0))+IF(N281=0,0,VLOOKUP(N281,装备拆分数值生成!$AK$58:$AV$107,7,0))+IF(R281=0,0,VLOOKUP(R281,装备拆分数值生成!$AK$58:$AV$107,12,0))</f>
        <v>906</v>
      </c>
      <c r="Y281" s="65">
        <f>IF(L281=0,0,VLOOKUP(L281,装备拆分数值生成!$AK$58:$AV$107,6,0))+IF(N281=0,0,VLOOKUP(N281,装备拆分数值生成!$AK$58:$AV$107,8,0))</f>
        <v>299</v>
      </c>
      <c r="Z281" s="64"/>
      <c r="AA281" s="64"/>
      <c r="AB281" s="64"/>
      <c r="AC281" s="64"/>
      <c r="AD281" s="68">
        <f>VLOOKUP(D281,宠物成长生成表!$B$5:$J$103,3,0)*$AL$2*(VLOOKUP(E281,$AP$1:$AQ$17,2,0))</f>
        <v>2808.732</v>
      </c>
      <c r="AE281" s="68">
        <f>VLOOKUP(D281,宠物成长生成表!$B$5:$J$103,4,0)*$AL$3*(VLOOKUP(E281,$AP$1:$AQ$17,2,0))</f>
        <v>880.03200000000004</v>
      </c>
      <c r="AF281" s="68">
        <f>VLOOKUP(D281,宠物成长生成表!$B$5:$J$103,4,0)*$AL$4*(VLOOKUP(E281,$AP$1:$AQ$17,2,0))</f>
        <v>1137.1199999999999</v>
      </c>
      <c r="AG281" s="68">
        <f>VLOOKUP(D281,宠物成长生成表!$B$5:$J$103,7,0)*$AL$5*(VLOOKUP(E281,$AP$1:$AQ$17,2,0))</f>
        <v>715.92</v>
      </c>
      <c r="AH281" s="64">
        <f>VLOOKUP(D281,宠物成长生成表!$B$5:$J$103,6,0)+VLOOKUP(E281,宠物升阶生成表!$B$6:$F$21,5,0)</f>
        <v>139</v>
      </c>
      <c r="AI281" s="64"/>
      <c r="AJ281" s="64"/>
      <c r="AK281" s="64"/>
      <c r="AL281" s="64"/>
      <c r="AM281" s="64"/>
      <c r="AN281" s="64"/>
      <c r="AO281" s="64"/>
      <c r="AP281" s="64"/>
      <c r="AQ281" s="64"/>
      <c r="AR281" s="64"/>
      <c r="AS281" s="65">
        <f t="shared" ref="AS281:AS284" si="177">V281+AD281</f>
        <v>4067.732</v>
      </c>
      <c r="AT281" s="65">
        <f t="shared" ref="AT281:AT284" si="178">W281+AE281</f>
        <v>1244.0320000000002</v>
      </c>
      <c r="AU281" s="65">
        <f t="shared" ref="AU281:AU284" si="179">X281+AF281</f>
        <v>2043.12</v>
      </c>
      <c r="AV281" s="67">
        <f t="shared" ref="AV281:AV284" si="180">Y281+AG281</f>
        <v>1014.92</v>
      </c>
    </row>
    <row r="282" spans="2:48">
      <c r="B282" s="98"/>
      <c r="C282" s="68" t="s">
        <v>426</v>
      </c>
      <c r="D282" s="68">
        <v>32</v>
      </c>
      <c r="E282" s="92">
        <v>4</v>
      </c>
      <c r="F282" s="68"/>
      <c r="G282" s="68"/>
      <c r="H282" s="68">
        <v>25</v>
      </c>
      <c r="I282" s="68"/>
      <c r="J282" s="68">
        <v>18</v>
      </c>
      <c r="K282" s="68"/>
      <c r="L282" s="68">
        <v>18</v>
      </c>
      <c r="M282" s="68"/>
      <c r="N282" s="68">
        <v>13</v>
      </c>
      <c r="O282" s="68"/>
      <c r="P282" s="68">
        <v>11</v>
      </c>
      <c r="Q282" s="68"/>
      <c r="R282" s="68">
        <v>12</v>
      </c>
      <c r="S282" s="68"/>
      <c r="T282" s="68"/>
      <c r="U282" s="68"/>
      <c r="V282" s="69">
        <f>IF(J282=0,0,VLOOKUP(能力数值!J282,装备拆分数值生成!$AK$4:$AV$53,5,0))+IF(P282=0,0,VLOOKUP(能力数值!P282,装备拆分数值生成!$AK$4:$AV$53,9,0))+IF(R282=0,0,VLOOKUP(能力数值!R282,装备拆分数值生成!$AK$4:$AV$53,11,0))</f>
        <v>1288</v>
      </c>
      <c r="W282" s="69">
        <f>IF(H282=0,0,VLOOKUP(能力数值!H282,装备拆分数值生成!$AK$4:$AV$53,3,0))+IF(N282=0,0,VLOOKUP(能力数值!N282,装备拆分数值生成!$AK$4:$AV$53,7,0))+IF(R282=0,0,VLOOKUP(能力数值!R282,装备拆分数值生成!$AK$4:$AV$53,12,0))</f>
        <v>856</v>
      </c>
      <c r="X282" s="69">
        <f>IF(H282=0,0,VLOOKUP(能力数值!H282,装备拆分数值生成!$AK$4:$AV$53,4,0))+IF(P282=0,0,VLOOKUP(能力数值!P282,装备拆分数值生成!$AK$4:$AV$53,10,0))</f>
        <v>348</v>
      </c>
      <c r="Y282" s="69">
        <f>IF(L282=0,0,VLOOKUP(能力数值!L282,装备拆分数值生成!$AK$4:$AV$53,6,0))+IF(N282=0,0,VLOOKUP(能力数值!N282,装备拆分数值生成!$AK$4:$AV$53,8,0))</f>
        <v>313</v>
      </c>
      <c r="Z282" s="68"/>
      <c r="AA282" s="68"/>
      <c r="AB282" s="68"/>
      <c r="AC282" s="68"/>
      <c r="AD282" s="68">
        <f>VLOOKUP(D282,宠物成长生成表!$B$5:$J$103,3,0)*$AO$2*(VLOOKUP(E282,$AP$1:$AQ$17,2,0))</f>
        <v>3058.5554999999922</v>
      </c>
      <c r="AE282" s="68">
        <f>VLOOKUP(D282,宠物成长生成表!$B$5:$J$103,4,0)*(VLOOKUP(E282,$AP$1:$AQ$17,2,0))</f>
        <v>1076.716666666664</v>
      </c>
      <c r="AF282" s="68">
        <f>VLOOKUP(D282,宠物成长生成表!$B$5:$J$103,4,0)*$AO$4*(VLOOKUP(E282,$AP$1:$AQ$17,2,0))</f>
        <v>958.27783333333093</v>
      </c>
      <c r="AG282" s="68">
        <f>VLOOKUP(D282,宠物成长生成表!$B$5:$J$103,7,0)*$AO$5*(VLOOKUP(E282,$AP$1:$AQ$17,2,0))</f>
        <v>780.26666666666472</v>
      </c>
      <c r="AH282" s="68">
        <f>VLOOKUP(D282,宠物成长生成表!$B$5:$J$103,6,0)+VLOOKUP(E282,宠物升阶生成表!$B$6:$F$21,5,0)</f>
        <v>153</v>
      </c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9">
        <f t="shared" si="177"/>
        <v>4346.5554999999922</v>
      </c>
      <c r="AT282" s="69">
        <f t="shared" si="178"/>
        <v>1932.716666666664</v>
      </c>
      <c r="AU282" s="69">
        <f t="shared" si="179"/>
        <v>1306.2778333333308</v>
      </c>
      <c r="AV282" s="71">
        <f t="shared" si="180"/>
        <v>1093.2666666666646</v>
      </c>
    </row>
    <row r="283" spans="2:48">
      <c r="B283" s="98"/>
      <c r="C283" s="68" t="s">
        <v>394</v>
      </c>
      <c r="D283" s="68">
        <v>29</v>
      </c>
      <c r="E283" s="92">
        <v>3</v>
      </c>
      <c r="F283" s="68"/>
      <c r="G283" s="68"/>
      <c r="H283" s="68">
        <v>18</v>
      </c>
      <c r="I283" s="68"/>
      <c r="J283" s="68">
        <v>13</v>
      </c>
      <c r="K283" s="68"/>
      <c r="L283" s="68">
        <v>16</v>
      </c>
      <c r="M283" s="68"/>
      <c r="N283" s="68">
        <v>18</v>
      </c>
      <c r="O283" s="68"/>
      <c r="P283" s="68">
        <v>16</v>
      </c>
      <c r="Q283" s="68"/>
      <c r="R283" s="68">
        <v>11</v>
      </c>
      <c r="S283" s="68"/>
      <c r="T283" s="68"/>
      <c r="U283" s="68"/>
      <c r="V283" s="69">
        <f>IF(J283=0,0,VLOOKUP(能力数值!J283,装备拆分数值生成!$AK$165:$AV$214,5,0))+IF(P283=0,0,VLOOKUP(能力数值!P283,装备拆分数值生成!$AK$165:$AV$214,9,0))+IF(R283=0,0,VLOOKUP(能力数值!R283,装备拆分数值生成!$AK$165:$AV$214,11,0))</f>
        <v>1207</v>
      </c>
      <c r="W283" s="69">
        <f>IF(H283=0,0,VLOOKUP(能力数值!H283,装备拆分数值生成!$AK$165:$AV$214,3,0))</f>
        <v>313</v>
      </c>
      <c r="X283" s="69">
        <f>IF(H283=0,0,VLOOKUP(能力数值!H283,装备拆分数值生成!$AK$165:$AV$214,4,0))+IF(P283=0,0,VLOOKUP(能力数值!P283,装备拆分数值生成!$AK$165:$AV$214,10,0))</f>
        <v>407</v>
      </c>
      <c r="Y283" s="69">
        <f>IF(L283=0,0,VLOOKUP(能力数值!L283,装备拆分数值生成!$AK$165:$AV$214,6,0))+IF(N283=0,0,VLOOKUP(能力数值!N283,装备拆分数值生成!$AK$165:$AV$214,8,0))+IF(R283=0,0,VLOOKUP(能力数值!R283,装备拆分数值生成!$AK$165:$AV$214,12,0))</f>
        <v>408</v>
      </c>
      <c r="Z283" s="68"/>
      <c r="AA283" s="68"/>
      <c r="AB283" s="68"/>
      <c r="AC283" s="68"/>
      <c r="AD283" s="68">
        <f>VLOOKUP(D282,宠物成长生成表!$B$5:$J$103,3,0)*$AN$2*(VLOOKUP(E283,$AP$1:$AQ$17,2,0))</f>
        <v>3538.08</v>
      </c>
      <c r="AE283" s="68">
        <f>VLOOKUP(D282,宠物成长生成表!$B$5:$J$103,4,0)*$AN$3*(VLOOKUP(E283,$AP$1:$AQ$17,2,0))</f>
        <v>906.12</v>
      </c>
      <c r="AF283" s="68">
        <f>VLOOKUP(D282,宠物成长生成表!$B$5:$J$103,4,0)*$AN$4*(VLOOKUP(E283,$AP$1:$AQ$17,2,0))</f>
        <v>906.12</v>
      </c>
      <c r="AG283" s="68">
        <f>VLOOKUP(D282,宠物成长生成表!$B$5:$J$103,7,0)*$AN$5*(VLOOKUP(E283,$AP$1:$AQ$17,2,0))</f>
        <v>844.8</v>
      </c>
      <c r="AH283" s="68">
        <f>VLOOKUP(D283,宠物成长生成表!$B$5:$J$103,6,0)+VLOOKUP(E283,宠物升阶生成表!$B$6:$F$21,5,0)</f>
        <v>134</v>
      </c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9">
        <f t="shared" si="177"/>
        <v>4745.08</v>
      </c>
      <c r="AT283" s="69">
        <f t="shared" si="178"/>
        <v>1219.1199999999999</v>
      </c>
      <c r="AU283" s="69">
        <f t="shared" si="179"/>
        <v>1313.12</v>
      </c>
      <c r="AV283" s="71">
        <f t="shared" si="180"/>
        <v>1252.8</v>
      </c>
    </row>
    <row r="284" spans="2:48">
      <c r="B284" s="98"/>
      <c r="C284" s="68" t="s">
        <v>427</v>
      </c>
      <c r="D284" s="68">
        <v>25</v>
      </c>
      <c r="E284" s="92">
        <v>3</v>
      </c>
      <c r="F284" s="68"/>
      <c r="G284" s="68"/>
      <c r="H284" s="68">
        <v>16</v>
      </c>
      <c r="I284" s="68"/>
      <c r="J284" s="68">
        <v>12</v>
      </c>
      <c r="K284" s="68"/>
      <c r="L284" s="88">
        <v>28</v>
      </c>
      <c r="M284" s="68"/>
      <c r="N284" s="68">
        <v>6</v>
      </c>
      <c r="O284" s="68"/>
      <c r="P284" s="68">
        <v>11</v>
      </c>
      <c r="Q284" s="68"/>
      <c r="R284" s="68">
        <v>15</v>
      </c>
      <c r="S284" s="68"/>
      <c r="T284" s="68"/>
      <c r="U284" s="68"/>
      <c r="V284" s="69">
        <f>IF(J284=0,0,VLOOKUP(能力数值!J284,装备拆分数值生成!$AK$112:$AV$161,5,0))+IF(P284=0,0,VLOOKUP(能力数值!P284,装备拆分数值生成!$AK$112:$AV$161,5,0))+IF(R284=0,0,VLOOKUP(能力数值!R284,装备拆分数值生成!$AK$112:$AV$161,11,0))</f>
        <v>1833</v>
      </c>
      <c r="W284" s="69">
        <f>IF(H284=0,0,VLOOKUP(能力数值!H284,装备拆分数值生成!$AK$112:$AV$161,3,0))</f>
        <v>260</v>
      </c>
      <c r="X284" s="69">
        <f>IF(H284=0,0,VLOOKUP(能力数值!H284,装备拆分数值生成!$AK$112:$AV$161,4,0))</f>
        <v>260</v>
      </c>
      <c r="Y284" s="69">
        <f>IF(L284=0,0,VLOOKUP(能力数值!L284,装备拆分数值生成!$AK$112:$AV$161,6,0))+IF(N284=0,0,VLOOKUP(能力数值!N284,装备拆分数值生成!$AK$112:$AV$161,8,0))+IF(R284=0,0,VLOOKUP(能力数值!R284,装备拆分数值生成!$AK$112:$AV$161,12,0))</f>
        <v>808</v>
      </c>
      <c r="Z284" s="68"/>
      <c r="AA284" s="68"/>
      <c r="AB284" s="68"/>
      <c r="AC284" s="68"/>
      <c r="AD284" s="68">
        <f>VLOOKUP(D284,宠物成长生成表!$B$5:$J$103,3,0)*$AM$2*(VLOOKUP(E284,$AP$1:$AQ$17,2,0))</f>
        <v>3350.88</v>
      </c>
      <c r="AE284" s="68">
        <f>VLOOKUP(D284,宠物成长生成表!$B$5:$J$103,4,0)*$AM$3*(VLOOKUP(E284,$AP$1:$AQ$17,2,0))</f>
        <v>703.68</v>
      </c>
      <c r="AF284" s="68">
        <f>VLOOKUP(D284,宠物成长生成表!$B$5:$J$103,4,0)*$AM$4*(VLOOKUP(E284,$AP$1:$AQ$17,2,0))</f>
        <v>703.68</v>
      </c>
      <c r="AG284" s="68">
        <f>VLOOKUP(D284,宠物成长生成表!$B$5:$J$103,7,0)*$AM$5*(VLOOKUP(E284,$AP$1:$AQ$17,2,0))</f>
        <v>1107.2160000000001</v>
      </c>
      <c r="AH284" s="68">
        <f>VLOOKUP(D284,宠物成长生成表!$B$5:$J$103,6,0)+VLOOKUP(E284,宠物升阶生成表!$B$6:$F$21,5,0)</f>
        <v>126</v>
      </c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9">
        <f t="shared" si="177"/>
        <v>5183.88</v>
      </c>
      <c r="AT284" s="69">
        <f t="shared" si="178"/>
        <v>963.68</v>
      </c>
      <c r="AU284" s="69">
        <f t="shared" si="179"/>
        <v>963.68</v>
      </c>
      <c r="AV284" s="71">
        <f t="shared" si="180"/>
        <v>1915.2160000000001</v>
      </c>
    </row>
    <row r="285" spans="2:48" ht="17.25" thickBot="1">
      <c r="B285" s="99"/>
      <c r="C285" s="72" t="s">
        <v>425</v>
      </c>
      <c r="D285" s="72">
        <v>5</v>
      </c>
      <c r="E285" s="93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69"/>
      <c r="W285" s="69"/>
      <c r="X285" s="69"/>
      <c r="Y285" s="69"/>
      <c r="Z285" s="72"/>
      <c r="AA285" s="72"/>
      <c r="AB285" s="72"/>
      <c r="AC285" s="72"/>
      <c r="AD285" s="72">
        <f>VLOOKUP(D285,宠物成长生成表!$B$5:$J$103,3,0)*$AL$2*(VLOOKUP(E285,$AP$1:$AQ$17,2,0))</f>
        <v>1228.99</v>
      </c>
      <c r="AE285" s="72">
        <f>VLOOKUP(D285,宠物成长生成表!$B$5:$J$103,4,0)*$AL$3*(VLOOKUP(E285,$AP$1:$AQ$17,2,0))</f>
        <v>384.48</v>
      </c>
      <c r="AF285" s="72">
        <f>VLOOKUP(D285,宠物成长生成表!$B$5:$J$103,4,0)*$AL$4*(VLOOKUP(E285,$AP$1:$AQ$17,2,0))</f>
        <v>496.79999999999995</v>
      </c>
      <c r="AG285" s="72">
        <f>VLOOKUP(D285,宠物成长生成表!$B$5:$J$103,7,0)*$AL$5*(VLOOKUP(E285,$AP$1:$AQ$17,2,0))</f>
        <v>313.12</v>
      </c>
      <c r="AH285" s="81">
        <f>VLOOKUP(D285,宠物成长生成表!$B$5:$J$103,6,0)</f>
        <v>59</v>
      </c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8"/>
    </row>
    <row r="286" spans="2:48">
      <c r="B286" s="97" t="s">
        <v>523</v>
      </c>
      <c r="C286" s="64" t="s">
        <v>428</v>
      </c>
      <c r="D286" s="64">
        <v>27</v>
      </c>
      <c r="E286" s="91">
        <v>3</v>
      </c>
      <c r="F286" s="64"/>
      <c r="G286" s="64"/>
      <c r="H286" s="89">
        <v>21</v>
      </c>
      <c r="I286" s="64"/>
      <c r="J286" s="64">
        <v>11</v>
      </c>
      <c r="K286" s="64"/>
      <c r="L286" s="64">
        <v>11</v>
      </c>
      <c r="M286" s="64"/>
      <c r="N286" s="64">
        <v>11</v>
      </c>
      <c r="O286" s="64"/>
      <c r="P286" s="64">
        <v>11</v>
      </c>
      <c r="Q286" s="64"/>
      <c r="R286" s="64">
        <v>13</v>
      </c>
      <c r="S286" s="64"/>
      <c r="T286" s="64"/>
      <c r="U286" s="64"/>
      <c r="V286" s="65">
        <f>IF(J286=0,0,VLOOKUP(能力数值!J286,装备拆分数值生成!$AK$58:$AV$107,5,0))+IF(P286=0,0,VLOOKUP(P286,装备拆分数值生成!$AK$58:$AV$107,9,0))+IF(R286=0,0,VLOOKUP(R286,装备拆分数值生成!$AK$58:$AV$107,11,0))</f>
        <v>1042</v>
      </c>
      <c r="W286" s="65">
        <f>IF(H286=0,0,VLOOKUP(H286,装备拆分数值生成!$AK$58:$AV$107,3,0))+IF(P286=0,0,VLOOKUP(P286,装备拆分数值生成!$AK$58:$AV$107,10,0))</f>
        <v>286</v>
      </c>
      <c r="X286" s="65">
        <f>IF(H286=0,0,VLOOKUP(H286,装备拆分数值生成!$AK$58:$AV$107,4,0))+IF(N286=0,0,VLOOKUP(N286,装备拆分数值生成!$AK$58:$AV$107,7,0))+IF(R286=0,0,VLOOKUP(R286,装备拆分数值生成!$AK$58:$AV$107,12,0))</f>
        <v>732</v>
      </c>
      <c r="Y286" s="65">
        <f>IF(L286=0,0,VLOOKUP(L286,装备拆分数值生成!$AK$58:$AV$107,6,0))+IF(N286=0,0,VLOOKUP(N286,装备拆分数值生成!$AK$58:$AV$107,8,0))</f>
        <v>233</v>
      </c>
      <c r="Z286" s="64"/>
      <c r="AA286" s="64"/>
      <c r="AB286" s="64"/>
      <c r="AC286" s="64"/>
      <c r="AD286" s="68">
        <f>VLOOKUP(D286,宠物成长生成表!$B$5:$J$103,3,0)*$AL$2*(VLOOKUP(E286,$AP$1:$AQ$17,2,0))</f>
        <v>2603.8679999999999</v>
      </c>
      <c r="AE286" s="68">
        <f>VLOOKUP(D286,宠物成长生成表!$B$5:$J$103,4,0)*$AL$3*(VLOOKUP(E286,$AP$1:$AQ$17,2,0))</f>
        <v>814.88400000000001</v>
      </c>
      <c r="AF286" s="68">
        <f>VLOOKUP(D286,宠物成长生成表!$B$5:$J$103,4,0)*$AL$4*(VLOOKUP(E286,$AP$1:$AQ$17,2,0))</f>
        <v>1052.9399999999998</v>
      </c>
      <c r="AG286" s="68">
        <f>VLOOKUP(D286,宠物成长生成表!$B$5:$J$103,7,0)*$AL$5*(VLOOKUP(E286,$AP$1:$AQ$17,2,0))</f>
        <v>663.93599999999992</v>
      </c>
      <c r="AH286" s="64">
        <f>VLOOKUP(D286,宠物成长生成表!$B$5:$J$103,6,0)+VLOOKUP(E286,宠物升阶生成表!$B$6:$F$21,5,0)</f>
        <v>130</v>
      </c>
      <c r="AI286" s="64"/>
      <c r="AJ286" s="64"/>
      <c r="AK286" s="64"/>
      <c r="AL286" s="64"/>
      <c r="AM286" s="64"/>
      <c r="AN286" s="64"/>
      <c r="AO286" s="64"/>
      <c r="AP286" s="64"/>
      <c r="AQ286" s="64"/>
      <c r="AR286" s="64"/>
      <c r="AS286" s="65">
        <f t="shared" ref="AS286:AS289" si="181">V286+AD286</f>
        <v>3645.8679999999999</v>
      </c>
      <c r="AT286" s="65">
        <f t="shared" ref="AT286:AT289" si="182">W286+AE286</f>
        <v>1100.884</v>
      </c>
      <c r="AU286" s="65">
        <f t="shared" ref="AU286:AU289" si="183">X286+AF286</f>
        <v>1784.9399999999998</v>
      </c>
      <c r="AV286" s="67">
        <f t="shared" ref="AV286:AV289" si="184">Y286+AG286</f>
        <v>896.93599999999992</v>
      </c>
    </row>
    <row r="287" spans="2:48">
      <c r="B287" s="98"/>
      <c r="C287" s="68" t="s">
        <v>426</v>
      </c>
      <c r="D287" s="68">
        <v>30</v>
      </c>
      <c r="E287" s="92">
        <v>4</v>
      </c>
      <c r="F287" s="68"/>
      <c r="G287" s="68"/>
      <c r="H287" s="68">
        <v>24</v>
      </c>
      <c r="I287" s="68"/>
      <c r="J287" s="68">
        <v>12</v>
      </c>
      <c r="K287" s="68"/>
      <c r="L287" s="68">
        <v>13</v>
      </c>
      <c r="M287" s="68"/>
      <c r="N287" s="68">
        <v>11</v>
      </c>
      <c r="O287" s="68"/>
      <c r="P287" s="68">
        <v>11</v>
      </c>
      <c r="Q287" s="68"/>
      <c r="R287" s="68">
        <v>12</v>
      </c>
      <c r="S287" s="68"/>
      <c r="T287" s="68"/>
      <c r="U287" s="68"/>
      <c r="V287" s="69">
        <f>IF(J287=0,0,VLOOKUP(能力数值!J287,装备拆分数值生成!$AK$4:$AV$53,5,0))+IF(P287=0,0,VLOOKUP(能力数值!P287,装备拆分数值生成!$AK$4:$AV$53,9,0))+IF(R287=0,0,VLOOKUP(能力数值!R287,装备拆分数值生成!$AK$4:$AV$53,11,0))</f>
        <v>1071</v>
      </c>
      <c r="W287" s="69">
        <f>IF(H287=0,0,VLOOKUP(能力数值!H287,装备拆分数值生成!$AK$4:$AV$53,3,0))+IF(N287=0,0,VLOOKUP(能力数值!N287,装备拆分数值生成!$AK$4:$AV$53,7,0))+IF(R287=0,0,VLOOKUP(能力数值!R287,装备拆分数值生成!$AK$4:$AV$53,12,0))</f>
        <v>816</v>
      </c>
      <c r="X287" s="69">
        <f>IF(H287=0,0,VLOOKUP(能力数值!H287,装备拆分数值生成!$AK$4:$AV$53,4,0))+IF(P287=0,0,VLOOKUP(能力数值!P287,装备拆分数值生成!$AK$4:$AV$53,10,0))</f>
        <v>333</v>
      </c>
      <c r="Y287" s="69">
        <f>IF(L287=0,0,VLOOKUP(能力数值!L287,装备拆分数值生成!$AK$4:$AV$53,6,0))+IF(N287=0,0,VLOOKUP(能力数值!N287,装备拆分数值生成!$AK$4:$AV$53,8,0))</f>
        <v>252</v>
      </c>
      <c r="Z287" s="68"/>
      <c r="AA287" s="68"/>
      <c r="AB287" s="68"/>
      <c r="AC287" s="68"/>
      <c r="AD287" s="68">
        <f>VLOOKUP(D287,宠物成长生成表!$B$5:$J$103,3,0)*$AO$2*(VLOOKUP(E287,$AP$1:$AQ$17,2,0))</f>
        <v>2949.0101666666592</v>
      </c>
      <c r="AE287" s="68">
        <f>VLOOKUP(D287,宠物成长生成表!$B$5:$J$103,4,0)*(VLOOKUP(E287,$AP$1:$AQ$17,2,0))</f>
        <v>1036.9333333333307</v>
      </c>
      <c r="AF287" s="68">
        <f>VLOOKUP(D287,宠物成长生成表!$B$5:$J$103,4,0)*$AO$4*(VLOOKUP(E287,$AP$1:$AQ$17,2,0))</f>
        <v>922.87066666666431</v>
      </c>
      <c r="AG287" s="68">
        <f>VLOOKUP(D287,宠物成长生成表!$B$5:$J$103,7,0)*$AO$5*(VLOOKUP(E287,$AP$1:$AQ$17,2,0))</f>
        <v>751.98199999999815</v>
      </c>
      <c r="AH287" s="68">
        <f>VLOOKUP(D287,宠物成长生成表!$B$5:$J$103,6,0)+VLOOKUP(E287,宠物升阶生成表!$B$6:$F$21,5,0)</f>
        <v>151</v>
      </c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9">
        <f t="shared" si="181"/>
        <v>4020.0101666666592</v>
      </c>
      <c r="AT287" s="69">
        <f t="shared" si="182"/>
        <v>1852.9333333333307</v>
      </c>
      <c r="AU287" s="69">
        <f t="shared" si="183"/>
        <v>1255.8706666666644</v>
      </c>
      <c r="AV287" s="71">
        <f t="shared" si="184"/>
        <v>1003.9819999999982</v>
      </c>
    </row>
    <row r="288" spans="2:48">
      <c r="B288" s="98"/>
      <c r="C288" s="68" t="s">
        <v>394</v>
      </c>
      <c r="D288" s="68">
        <v>29</v>
      </c>
      <c r="E288" s="92">
        <v>3</v>
      </c>
      <c r="F288" s="68"/>
      <c r="G288" s="68"/>
      <c r="H288" s="68">
        <v>16</v>
      </c>
      <c r="I288" s="68"/>
      <c r="J288" s="68">
        <v>13</v>
      </c>
      <c r="K288" s="68"/>
      <c r="L288" s="68">
        <v>13</v>
      </c>
      <c r="M288" s="68"/>
      <c r="N288" s="68">
        <v>11</v>
      </c>
      <c r="O288" s="68"/>
      <c r="P288" s="68">
        <v>16</v>
      </c>
      <c r="Q288" s="68"/>
      <c r="R288" s="68">
        <v>11</v>
      </c>
      <c r="S288" s="68"/>
      <c r="T288" s="68"/>
      <c r="U288" s="68"/>
      <c r="V288" s="69">
        <f>IF(J288=0,0,VLOOKUP(能力数值!J288,装备拆分数值生成!$AK$165:$AV$214,5,0))+IF(P288=0,0,VLOOKUP(能力数值!P288,装备拆分数值生成!$AK$165:$AV$214,9,0))+IF(R288=0,0,VLOOKUP(能力数值!R288,装备拆分数值生成!$AK$165:$AV$214,11,0))</f>
        <v>1207</v>
      </c>
      <c r="W288" s="69">
        <f>IF(H288=0,0,VLOOKUP(能力数值!H288,装备拆分数值生成!$AK$165:$AV$214,3,0))</f>
        <v>284</v>
      </c>
      <c r="X288" s="69">
        <f>IF(H288=0,0,VLOOKUP(能力数值!H288,装备拆分数值生成!$AK$165:$AV$214,4,0))+IF(P288=0,0,VLOOKUP(能力数值!P288,装备拆分数值生成!$AK$165:$AV$214,10,0))</f>
        <v>378</v>
      </c>
      <c r="Y288" s="69">
        <f>IF(L288=0,0,VLOOKUP(能力数值!L288,装备拆分数值生成!$AK$165:$AV$214,6,0))+IF(N288=0,0,VLOOKUP(能力数值!N288,装备拆分数值生成!$AK$165:$AV$214,8,0))+IF(R288=0,0,VLOOKUP(能力数值!R288,装备拆分数值生成!$AK$165:$AV$214,12,0))</f>
        <v>323</v>
      </c>
      <c r="Z288" s="68"/>
      <c r="AA288" s="68"/>
      <c r="AB288" s="68"/>
      <c r="AC288" s="68"/>
      <c r="AD288" s="68">
        <f>VLOOKUP(D287,宠物成长生成表!$B$5:$J$103,3,0)*$AN$2*(VLOOKUP(E288,$AP$1:$AQ$17,2,0))</f>
        <v>3411.3599999999997</v>
      </c>
      <c r="AE288" s="68">
        <f>VLOOKUP(D287,宠物成长生成表!$B$5:$J$103,4,0)*$AN$3*(VLOOKUP(E288,$AP$1:$AQ$17,2,0))</f>
        <v>872.64</v>
      </c>
      <c r="AF288" s="68">
        <f>VLOOKUP(D287,宠物成长生成表!$B$5:$J$103,4,0)*$AN$4*(VLOOKUP(E288,$AP$1:$AQ$17,2,0))</f>
        <v>872.64</v>
      </c>
      <c r="AG288" s="68">
        <f>VLOOKUP(D287,宠物成长生成表!$B$5:$J$103,7,0)*$AN$5*(VLOOKUP(E288,$AP$1:$AQ$17,2,0))</f>
        <v>814.17600000000004</v>
      </c>
      <c r="AH288" s="68">
        <f>VLOOKUP(D288,宠物成长生成表!$B$5:$J$103,6,0)+VLOOKUP(E288,宠物升阶生成表!$B$6:$F$21,5,0)</f>
        <v>134</v>
      </c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9">
        <f t="shared" si="181"/>
        <v>4618.3599999999997</v>
      </c>
      <c r="AT288" s="69">
        <f t="shared" si="182"/>
        <v>1156.6399999999999</v>
      </c>
      <c r="AU288" s="69">
        <f t="shared" si="183"/>
        <v>1250.6399999999999</v>
      </c>
      <c r="AV288" s="71">
        <f t="shared" si="184"/>
        <v>1137.1759999999999</v>
      </c>
    </row>
    <row r="289" spans="2:48">
      <c r="B289" s="98"/>
      <c r="C289" s="68" t="s">
        <v>427</v>
      </c>
      <c r="D289" s="68">
        <v>25</v>
      </c>
      <c r="E289" s="92">
        <v>3</v>
      </c>
      <c r="F289" s="68"/>
      <c r="G289" s="68"/>
      <c r="H289" s="68">
        <v>16</v>
      </c>
      <c r="I289" s="68"/>
      <c r="J289" s="68">
        <v>12</v>
      </c>
      <c r="K289" s="68"/>
      <c r="L289" s="88">
        <v>24</v>
      </c>
      <c r="M289" s="68"/>
      <c r="N289" s="68">
        <v>6</v>
      </c>
      <c r="O289" s="68"/>
      <c r="P289" s="68">
        <v>11</v>
      </c>
      <c r="Q289" s="68"/>
      <c r="R289" s="68">
        <v>15</v>
      </c>
      <c r="S289" s="68"/>
      <c r="T289" s="68"/>
      <c r="U289" s="68"/>
      <c r="V289" s="69">
        <f>IF(J289=0,0,VLOOKUP(能力数值!J289,装备拆分数值生成!$AK$112:$AV$161,5,0))+IF(P289=0,0,VLOOKUP(能力数值!P289,装备拆分数值生成!$AK$112:$AV$161,5,0))+IF(R289=0,0,VLOOKUP(能力数值!R289,装备拆分数值生成!$AK$112:$AV$161,11,0))</f>
        <v>1833</v>
      </c>
      <c r="W289" s="69">
        <f>IF(H289=0,0,VLOOKUP(能力数值!H289,装备拆分数值生成!$AK$112:$AV$161,3,0))</f>
        <v>260</v>
      </c>
      <c r="X289" s="69">
        <f>IF(H289=0,0,VLOOKUP(能力数值!H289,装备拆分数值生成!$AK$112:$AV$161,4,0))</f>
        <v>260</v>
      </c>
      <c r="Y289" s="69">
        <f>IF(L289=0,0,VLOOKUP(能力数值!L289,装备拆分数值生成!$AK$112:$AV$161,6,0))+IF(N289=0,0,VLOOKUP(能力数值!N289,装备拆分数值生成!$AK$112:$AV$161,8,0))+IF(R289=0,0,VLOOKUP(能力数值!R289,装备拆分数值生成!$AK$112:$AV$161,12,0))</f>
        <v>719</v>
      </c>
      <c r="Z289" s="68"/>
      <c r="AA289" s="68"/>
      <c r="AB289" s="68"/>
      <c r="AC289" s="68"/>
      <c r="AD289" s="68">
        <f>VLOOKUP(D289,宠物成长生成表!$B$5:$J$103,3,0)*$AM$2*(VLOOKUP(E289,$AP$1:$AQ$17,2,0))</f>
        <v>3350.88</v>
      </c>
      <c r="AE289" s="68">
        <f>VLOOKUP(D289,宠物成长生成表!$B$5:$J$103,4,0)*$AM$3*(VLOOKUP(E289,$AP$1:$AQ$17,2,0))</f>
        <v>703.68</v>
      </c>
      <c r="AF289" s="68">
        <f>VLOOKUP(D289,宠物成长生成表!$B$5:$J$103,4,0)*$AM$4*(VLOOKUP(E289,$AP$1:$AQ$17,2,0))</f>
        <v>703.68</v>
      </c>
      <c r="AG289" s="68">
        <f>VLOOKUP(D289,宠物成长生成表!$B$5:$J$103,7,0)*$AM$5*(VLOOKUP(E289,$AP$1:$AQ$17,2,0))</f>
        <v>1107.2160000000001</v>
      </c>
      <c r="AH289" s="68">
        <f>VLOOKUP(D289,宠物成长生成表!$B$5:$J$103,6,0)+VLOOKUP(E289,宠物升阶生成表!$B$6:$F$21,5,0)</f>
        <v>126</v>
      </c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9">
        <f t="shared" si="181"/>
        <v>5183.88</v>
      </c>
      <c r="AT289" s="69">
        <f t="shared" si="182"/>
        <v>963.68</v>
      </c>
      <c r="AU289" s="69">
        <f t="shared" si="183"/>
        <v>963.68</v>
      </c>
      <c r="AV289" s="71">
        <f t="shared" si="184"/>
        <v>1826.2160000000001</v>
      </c>
    </row>
    <row r="290" spans="2:48" ht="17.25" thickBot="1">
      <c r="B290" s="99"/>
      <c r="C290" s="72" t="s">
        <v>425</v>
      </c>
      <c r="D290" s="72">
        <v>5</v>
      </c>
      <c r="E290" s="93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69"/>
      <c r="W290" s="69"/>
      <c r="X290" s="69"/>
      <c r="Y290" s="69"/>
      <c r="Z290" s="72"/>
      <c r="AA290" s="72"/>
      <c r="AB290" s="72"/>
      <c r="AC290" s="72"/>
      <c r="AD290" s="72">
        <f>VLOOKUP(D290,宠物成长生成表!$B$5:$J$103,3,0)*$AL$2*(VLOOKUP(E290,$AP$1:$AQ$17,2,0))</f>
        <v>1228.99</v>
      </c>
      <c r="AE290" s="72">
        <f>VLOOKUP(D290,宠物成长生成表!$B$5:$J$103,4,0)*$AL$3*(VLOOKUP(E290,$AP$1:$AQ$17,2,0))</f>
        <v>384.48</v>
      </c>
      <c r="AF290" s="72">
        <f>VLOOKUP(D290,宠物成长生成表!$B$5:$J$103,4,0)*$AL$4*(VLOOKUP(E290,$AP$1:$AQ$17,2,0))</f>
        <v>496.79999999999995</v>
      </c>
      <c r="AG290" s="72">
        <f>VLOOKUP(D290,宠物成长生成表!$B$5:$J$103,7,0)*$AL$5*(VLOOKUP(E290,$AP$1:$AQ$17,2,0))</f>
        <v>313.12</v>
      </c>
      <c r="AH290" s="81">
        <f>VLOOKUP(D290,宠物成长生成表!$B$5:$J$103,6,0)</f>
        <v>59</v>
      </c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8"/>
    </row>
    <row r="291" spans="2:48">
      <c r="B291" s="97" t="s">
        <v>524</v>
      </c>
      <c r="C291" s="64" t="s">
        <v>428</v>
      </c>
      <c r="D291" s="64">
        <v>30</v>
      </c>
      <c r="E291" s="91">
        <v>3</v>
      </c>
      <c r="F291" s="64"/>
      <c r="G291" s="64"/>
      <c r="H291" s="89">
        <v>21</v>
      </c>
      <c r="I291" s="64"/>
      <c r="J291" s="64">
        <v>11</v>
      </c>
      <c r="K291" s="64"/>
      <c r="L291" s="64">
        <v>11</v>
      </c>
      <c r="M291" s="64"/>
      <c r="N291" s="64">
        <v>11</v>
      </c>
      <c r="O291" s="64"/>
      <c r="P291" s="64">
        <v>11</v>
      </c>
      <c r="Q291" s="64"/>
      <c r="R291" s="64">
        <v>13</v>
      </c>
      <c r="S291" s="64"/>
      <c r="T291" s="64"/>
      <c r="U291" s="64"/>
      <c r="V291" s="65">
        <f>IF(J291=0,0,VLOOKUP(能力数值!J291,装备拆分数值生成!$AK$58:$AV$107,5,0))+IF(P291=0,0,VLOOKUP(P291,装备拆分数值生成!$AK$58:$AV$107,9,0))+IF(R291=0,0,VLOOKUP(R291,装备拆分数值生成!$AK$58:$AV$107,11,0))</f>
        <v>1042</v>
      </c>
      <c r="W291" s="65">
        <f>IF(H291=0,0,VLOOKUP(H291,装备拆分数值生成!$AK$58:$AV$107,3,0))+IF(P291=0,0,VLOOKUP(P291,装备拆分数值生成!$AK$58:$AV$107,10,0))</f>
        <v>286</v>
      </c>
      <c r="X291" s="65">
        <f>IF(H291=0,0,VLOOKUP(H291,装备拆分数值生成!$AK$58:$AV$107,4,0))+IF(N291=0,0,VLOOKUP(N291,装备拆分数值生成!$AK$58:$AV$107,7,0))+IF(R291=0,0,VLOOKUP(R291,装备拆分数值生成!$AK$58:$AV$107,12,0))</f>
        <v>732</v>
      </c>
      <c r="Y291" s="65">
        <f>IF(L291=0,0,VLOOKUP(L291,装备拆分数值生成!$AK$58:$AV$107,6,0))+IF(N291=0,0,VLOOKUP(N291,装备拆分数值生成!$AK$58:$AV$107,8,0))</f>
        <v>233</v>
      </c>
      <c r="Z291" s="64"/>
      <c r="AA291" s="64"/>
      <c r="AB291" s="64"/>
      <c r="AC291" s="64"/>
      <c r="AD291" s="68">
        <f>VLOOKUP(D291,宠物成长生成表!$B$5:$J$103,3,0)*$AL$2*(VLOOKUP(E291,$AP$1:$AQ$17,2,0))</f>
        <v>2757.5159999999996</v>
      </c>
      <c r="AE291" s="68">
        <f>VLOOKUP(D291,宠物成长生成表!$B$5:$J$103,4,0)*$AL$3*(VLOOKUP(E291,$AP$1:$AQ$17,2,0))</f>
        <v>862.94399999999996</v>
      </c>
      <c r="AF291" s="68">
        <f>VLOOKUP(D291,宠物成长生成表!$B$5:$J$103,4,0)*$AL$4*(VLOOKUP(E291,$AP$1:$AQ$17,2,0))</f>
        <v>1115.04</v>
      </c>
      <c r="AG291" s="68">
        <f>VLOOKUP(D291,宠物成长生成表!$B$5:$J$103,7,0)*$AL$5*(VLOOKUP(E291,$AP$1:$AQ$17,2,0))</f>
        <v>703.15200000000004</v>
      </c>
      <c r="AH291" s="64">
        <f>VLOOKUP(D291,宠物成长生成表!$B$5:$J$103,6,0)+VLOOKUP(E291,宠物升阶生成表!$B$6:$F$21,5,0)</f>
        <v>138</v>
      </c>
      <c r="AI291" s="64"/>
      <c r="AJ291" s="64"/>
      <c r="AK291" s="64"/>
      <c r="AL291" s="64"/>
      <c r="AM291" s="64"/>
      <c r="AN291" s="64"/>
      <c r="AO291" s="64"/>
      <c r="AP291" s="64"/>
      <c r="AQ291" s="64"/>
      <c r="AR291" s="64"/>
      <c r="AS291" s="65">
        <f t="shared" ref="AS291:AS294" si="185">V291+AD291</f>
        <v>3799.5159999999996</v>
      </c>
      <c r="AT291" s="65">
        <f t="shared" ref="AT291:AT294" si="186">W291+AE291</f>
        <v>1148.944</v>
      </c>
      <c r="AU291" s="65">
        <f t="shared" ref="AU291:AU294" si="187">X291+AF291</f>
        <v>1847.04</v>
      </c>
      <c r="AV291" s="67">
        <f t="shared" ref="AV291:AV294" si="188">Y291+AG291</f>
        <v>936.15200000000004</v>
      </c>
    </row>
    <row r="292" spans="2:48">
      <c r="B292" s="98"/>
      <c r="C292" s="68" t="s">
        <v>426</v>
      </c>
      <c r="D292" s="68">
        <v>31</v>
      </c>
      <c r="E292" s="92">
        <v>4</v>
      </c>
      <c r="F292" s="68"/>
      <c r="G292" s="68"/>
      <c r="H292" s="68">
        <v>24</v>
      </c>
      <c r="I292" s="68"/>
      <c r="J292" s="68">
        <v>12</v>
      </c>
      <c r="K292" s="68"/>
      <c r="L292" s="68">
        <v>13</v>
      </c>
      <c r="M292" s="68"/>
      <c r="N292" s="68">
        <v>11</v>
      </c>
      <c r="O292" s="68"/>
      <c r="P292" s="68">
        <v>11</v>
      </c>
      <c r="Q292" s="68"/>
      <c r="R292" s="68">
        <v>12</v>
      </c>
      <c r="S292" s="68"/>
      <c r="T292" s="68"/>
      <c r="U292" s="68"/>
      <c r="V292" s="69">
        <f>IF(J292=0,0,VLOOKUP(能力数值!J292,装备拆分数值生成!$AK$4:$AV$53,5,0))+IF(P292=0,0,VLOOKUP(能力数值!P292,装备拆分数值生成!$AK$4:$AV$53,9,0))+IF(R292=0,0,VLOOKUP(能力数值!R292,装备拆分数值生成!$AK$4:$AV$53,11,0))</f>
        <v>1071</v>
      </c>
      <c r="W292" s="69">
        <f>IF(H292=0,0,VLOOKUP(能力数值!H292,装备拆分数值生成!$AK$4:$AV$53,3,0))+IF(N292=0,0,VLOOKUP(能力数值!N292,装备拆分数值生成!$AK$4:$AV$53,7,0))+IF(R292=0,0,VLOOKUP(能力数值!R292,装备拆分数值生成!$AK$4:$AV$53,12,0))</f>
        <v>816</v>
      </c>
      <c r="X292" s="69">
        <f>IF(H292=0,0,VLOOKUP(能力数值!H292,装备拆分数值生成!$AK$4:$AV$53,4,0))+IF(P292=0,0,VLOOKUP(能力数值!P292,装备拆分数值生成!$AK$4:$AV$53,10,0))</f>
        <v>333</v>
      </c>
      <c r="Y292" s="69">
        <f>IF(L292=0,0,VLOOKUP(能力数值!L292,装备拆分数值生成!$AK$4:$AV$53,6,0))+IF(N292=0,0,VLOOKUP(能力数值!N292,装备拆分数值生成!$AK$4:$AV$53,8,0))</f>
        <v>252</v>
      </c>
      <c r="Z292" s="68"/>
      <c r="AA292" s="68"/>
      <c r="AB292" s="68"/>
      <c r="AC292" s="68"/>
      <c r="AD292" s="68">
        <f>VLOOKUP(D292,宠物成长生成表!$B$5:$J$103,3,0)*$AO$2*(VLOOKUP(E292,$AP$1:$AQ$17,2,0))</f>
        <v>3003.7828333333259</v>
      </c>
      <c r="AE292" s="68">
        <f>VLOOKUP(D292,宠物成长生成表!$B$5:$J$103,4,0)*(VLOOKUP(E292,$AP$1:$AQ$17,2,0))</f>
        <v>1057.466666666664</v>
      </c>
      <c r="AF292" s="68">
        <f>VLOOKUP(D292,宠物成长生成表!$B$5:$J$103,4,0)*$AO$4*(VLOOKUP(E292,$AP$1:$AQ$17,2,0))</f>
        <v>941.145333333331</v>
      </c>
      <c r="AG292" s="68">
        <f>VLOOKUP(D292,宠物成长生成表!$B$5:$J$103,7,0)*$AO$5*(VLOOKUP(E292,$AP$1:$AQ$17,2,0))</f>
        <v>765.63666666666472</v>
      </c>
      <c r="AH292" s="68">
        <f>VLOOKUP(D292,宠物成长生成表!$B$5:$J$103,6,0)+VLOOKUP(E292,宠物升阶生成表!$B$6:$F$21,5,0)</f>
        <v>152</v>
      </c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9">
        <f t="shared" si="185"/>
        <v>4074.7828333333259</v>
      </c>
      <c r="AT292" s="69">
        <f t="shared" si="186"/>
        <v>1873.466666666664</v>
      </c>
      <c r="AU292" s="69">
        <f t="shared" si="187"/>
        <v>1274.1453333333311</v>
      </c>
      <c r="AV292" s="71">
        <f t="shared" si="188"/>
        <v>1017.6366666666647</v>
      </c>
    </row>
    <row r="293" spans="2:48">
      <c r="B293" s="98"/>
      <c r="C293" s="68" t="s">
        <v>394</v>
      </c>
      <c r="D293" s="68">
        <v>29</v>
      </c>
      <c r="E293" s="92">
        <v>3</v>
      </c>
      <c r="F293" s="68"/>
      <c r="G293" s="68"/>
      <c r="H293" s="68">
        <v>16</v>
      </c>
      <c r="I293" s="68"/>
      <c r="J293" s="68">
        <v>13</v>
      </c>
      <c r="K293" s="68"/>
      <c r="L293" s="68">
        <v>13</v>
      </c>
      <c r="M293" s="68"/>
      <c r="N293" s="68">
        <v>11</v>
      </c>
      <c r="O293" s="68"/>
      <c r="P293" s="68">
        <v>16</v>
      </c>
      <c r="Q293" s="68"/>
      <c r="R293" s="68">
        <v>11</v>
      </c>
      <c r="S293" s="68"/>
      <c r="T293" s="68"/>
      <c r="U293" s="68"/>
      <c r="V293" s="69">
        <f>IF(J293=0,0,VLOOKUP(能力数值!J293,装备拆分数值生成!$AK$165:$AV$214,5,0))+IF(P293=0,0,VLOOKUP(能力数值!P293,装备拆分数值生成!$AK$165:$AV$214,9,0))+IF(R293=0,0,VLOOKUP(能力数值!R293,装备拆分数值生成!$AK$165:$AV$214,11,0))</f>
        <v>1207</v>
      </c>
      <c r="W293" s="69">
        <f>IF(H293=0,0,VLOOKUP(能力数值!H293,装备拆分数值生成!$AK$165:$AV$214,3,0))</f>
        <v>284</v>
      </c>
      <c r="X293" s="69">
        <f>IF(H293=0,0,VLOOKUP(能力数值!H293,装备拆分数值生成!$AK$165:$AV$214,4,0))+IF(P293=0,0,VLOOKUP(能力数值!P293,装备拆分数值生成!$AK$165:$AV$214,10,0))</f>
        <v>378</v>
      </c>
      <c r="Y293" s="69">
        <f>IF(L293=0,0,VLOOKUP(能力数值!L293,装备拆分数值生成!$AK$165:$AV$214,6,0))+IF(N293=0,0,VLOOKUP(能力数值!N293,装备拆分数值生成!$AK$165:$AV$214,8,0))+IF(R293=0,0,VLOOKUP(能力数值!R293,装备拆分数值生成!$AK$165:$AV$214,12,0))</f>
        <v>323</v>
      </c>
      <c r="Z293" s="68"/>
      <c r="AA293" s="68"/>
      <c r="AB293" s="68"/>
      <c r="AC293" s="68"/>
      <c r="AD293" s="68">
        <f>VLOOKUP(D292,宠物成长生成表!$B$5:$J$103,3,0)*$AN$2*(VLOOKUP(E293,$AP$1:$AQ$17,2,0))</f>
        <v>3474.72</v>
      </c>
      <c r="AE293" s="68">
        <f>VLOOKUP(D292,宠物成长生成表!$B$5:$J$103,4,0)*$AN$3*(VLOOKUP(E293,$AP$1:$AQ$17,2,0))</f>
        <v>889.92</v>
      </c>
      <c r="AF293" s="68">
        <f>VLOOKUP(D292,宠物成长生成表!$B$5:$J$103,4,0)*$AN$4*(VLOOKUP(E293,$AP$1:$AQ$17,2,0))</f>
        <v>889.92</v>
      </c>
      <c r="AG293" s="68">
        <f>VLOOKUP(D292,宠物成长生成表!$B$5:$J$103,7,0)*$AN$5*(VLOOKUP(E293,$AP$1:$AQ$17,2,0))</f>
        <v>828.95999999999992</v>
      </c>
      <c r="AH293" s="68">
        <f>VLOOKUP(D293,宠物成长生成表!$B$5:$J$103,6,0)+VLOOKUP(E293,宠物升阶生成表!$B$6:$F$21,5,0)</f>
        <v>134</v>
      </c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9">
        <f t="shared" si="185"/>
        <v>4681.7199999999993</v>
      </c>
      <c r="AT293" s="69">
        <f t="shared" si="186"/>
        <v>1173.92</v>
      </c>
      <c r="AU293" s="69">
        <f t="shared" si="187"/>
        <v>1267.92</v>
      </c>
      <c r="AV293" s="71">
        <f t="shared" si="188"/>
        <v>1151.96</v>
      </c>
    </row>
    <row r="294" spans="2:48">
      <c r="B294" s="98"/>
      <c r="C294" s="68" t="s">
        <v>427</v>
      </c>
      <c r="D294" s="68">
        <v>25</v>
      </c>
      <c r="E294" s="92">
        <v>2</v>
      </c>
      <c r="F294" s="68"/>
      <c r="G294" s="68"/>
      <c r="H294" s="68">
        <v>16</v>
      </c>
      <c r="I294" s="68"/>
      <c r="J294" s="68">
        <v>12</v>
      </c>
      <c r="K294" s="68"/>
      <c r="L294" s="88">
        <v>24</v>
      </c>
      <c r="M294" s="68"/>
      <c r="N294" s="68">
        <v>6</v>
      </c>
      <c r="O294" s="68"/>
      <c r="P294" s="68">
        <v>11</v>
      </c>
      <c r="Q294" s="68"/>
      <c r="R294" s="68">
        <v>15</v>
      </c>
      <c r="S294" s="68"/>
      <c r="T294" s="68"/>
      <c r="U294" s="68"/>
      <c r="V294" s="69">
        <f>IF(J294=0,0,VLOOKUP(能力数值!J294,装备拆分数值生成!$AK$112:$AV$161,5,0))+IF(P294=0,0,VLOOKUP(能力数值!P294,装备拆分数值生成!$AK$112:$AV$161,5,0))+IF(R294=0,0,VLOOKUP(能力数值!R294,装备拆分数值生成!$AK$112:$AV$161,11,0))</f>
        <v>1833</v>
      </c>
      <c r="W294" s="69">
        <f>IF(H294=0,0,VLOOKUP(能力数值!H294,装备拆分数值生成!$AK$112:$AV$161,3,0))</f>
        <v>260</v>
      </c>
      <c r="X294" s="69">
        <f>IF(H294=0,0,VLOOKUP(能力数值!H294,装备拆分数值生成!$AK$112:$AV$161,4,0))</f>
        <v>260</v>
      </c>
      <c r="Y294" s="69">
        <f>IF(L294=0,0,VLOOKUP(能力数值!L294,装备拆分数值生成!$AK$112:$AV$161,6,0))+IF(N294=0,0,VLOOKUP(能力数值!N294,装备拆分数值生成!$AK$112:$AV$161,8,0))+IF(R294=0,0,VLOOKUP(能力数值!R294,装备拆分数值生成!$AK$112:$AV$161,12,0))</f>
        <v>719</v>
      </c>
      <c r="Z294" s="68"/>
      <c r="AA294" s="68"/>
      <c r="AB294" s="68"/>
      <c r="AC294" s="68"/>
      <c r="AD294" s="68">
        <f>VLOOKUP(D294,宠物成长生成表!$B$5:$J$103,3,0)*$AM$2*(VLOOKUP(E294,$AP$1:$AQ$17,2,0))</f>
        <v>3211.2599999999998</v>
      </c>
      <c r="AE294" s="68">
        <f>VLOOKUP(D294,宠物成长生成表!$B$5:$J$103,4,0)*$AM$3*(VLOOKUP(E294,$AP$1:$AQ$17,2,0))</f>
        <v>674.3599999999999</v>
      </c>
      <c r="AF294" s="68">
        <f>VLOOKUP(D294,宠物成长生成表!$B$5:$J$103,4,0)*$AM$4*(VLOOKUP(E294,$AP$1:$AQ$17,2,0))</f>
        <v>674.3599999999999</v>
      </c>
      <c r="AG294" s="68">
        <f>VLOOKUP(D294,宠物成长生成表!$B$5:$J$103,7,0)*$AM$5*(VLOOKUP(E294,$AP$1:$AQ$17,2,0))</f>
        <v>1061.0819999999999</v>
      </c>
      <c r="AH294" s="68">
        <f>VLOOKUP(D294,宠物成长生成表!$B$5:$J$103,6,0)+VLOOKUP(E294,宠物升阶生成表!$B$6:$F$21,5,0)</f>
        <v>113</v>
      </c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9">
        <f t="shared" si="185"/>
        <v>5044.26</v>
      </c>
      <c r="AT294" s="69">
        <f t="shared" si="186"/>
        <v>934.3599999999999</v>
      </c>
      <c r="AU294" s="69">
        <f t="shared" si="187"/>
        <v>934.3599999999999</v>
      </c>
      <c r="AV294" s="71">
        <f t="shared" si="188"/>
        <v>1780.0819999999999</v>
      </c>
    </row>
    <row r="295" spans="2:48" ht="17.25" thickBot="1">
      <c r="B295" s="99"/>
      <c r="C295" s="72" t="s">
        <v>425</v>
      </c>
      <c r="D295" s="72">
        <v>5</v>
      </c>
      <c r="E295" s="93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69"/>
      <c r="W295" s="69"/>
      <c r="X295" s="69"/>
      <c r="Y295" s="69"/>
      <c r="Z295" s="72"/>
      <c r="AA295" s="72"/>
      <c r="AB295" s="72"/>
      <c r="AC295" s="72"/>
      <c r="AD295" s="72">
        <f>VLOOKUP(D295,宠物成长生成表!$B$5:$J$103,3,0)*$AL$2*(VLOOKUP(E295,$AP$1:$AQ$17,2,0))</f>
        <v>1228.99</v>
      </c>
      <c r="AE295" s="72">
        <f>VLOOKUP(D295,宠物成长生成表!$B$5:$J$103,4,0)*$AL$3*(VLOOKUP(E295,$AP$1:$AQ$17,2,0))</f>
        <v>384.48</v>
      </c>
      <c r="AF295" s="72">
        <f>VLOOKUP(D295,宠物成长生成表!$B$5:$J$103,4,0)*$AL$4*(VLOOKUP(E295,$AP$1:$AQ$17,2,0))</f>
        <v>496.79999999999995</v>
      </c>
      <c r="AG295" s="72">
        <f>VLOOKUP(D295,宠物成长生成表!$B$5:$J$103,7,0)*$AL$5*(VLOOKUP(E295,$AP$1:$AQ$17,2,0))</f>
        <v>313.12</v>
      </c>
      <c r="AH295" s="81">
        <f>VLOOKUP(D295,宠物成长生成表!$B$5:$J$103,6,0)</f>
        <v>59</v>
      </c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8"/>
    </row>
    <row r="296" spans="2:48">
      <c r="B296" s="97" t="s">
        <v>525</v>
      </c>
      <c r="C296" s="64" t="s">
        <v>428</v>
      </c>
      <c r="D296" s="64">
        <v>31</v>
      </c>
      <c r="E296" s="91">
        <v>3</v>
      </c>
      <c r="F296" s="64"/>
      <c r="G296" s="64"/>
      <c r="H296" s="89">
        <v>26</v>
      </c>
      <c r="I296" s="64"/>
      <c r="J296" s="64">
        <v>17</v>
      </c>
      <c r="K296" s="64"/>
      <c r="L296" s="64">
        <v>15</v>
      </c>
      <c r="M296" s="64"/>
      <c r="N296" s="64">
        <v>15</v>
      </c>
      <c r="O296" s="64"/>
      <c r="P296" s="64">
        <v>11</v>
      </c>
      <c r="Q296" s="64"/>
      <c r="R296" s="64">
        <v>13</v>
      </c>
      <c r="S296" s="64"/>
      <c r="T296" s="64"/>
      <c r="U296" s="64"/>
      <c r="V296" s="65">
        <f>IF(J296=0,0,VLOOKUP(能力数值!J296,装备拆分数值生成!$AK$58:$AV$107,5,0))+IF(P296=0,0,VLOOKUP(P296,装备拆分数值生成!$AK$58:$AV$107,9,0))+IF(R296=0,0,VLOOKUP(R296,装备拆分数值生成!$AK$58:$AV$107,11,0))</f>
        <v>1259</v>
      </c>
      <c r="W296" s="65">
        <f>IF(H296=0,0,VLOOKUP(H296,装备拆分数值生成!$AK$58:$AV$107,3,0))+IF(P296=0,0,VLOOKUP(P296,装备拆分数值生成!$AK$58:$AV$107,10,0))</f>
        <v>364</v>
      </c>
      <c r="X296" s="65">
        <f>IF(H296=0,0,VLOOKUP(H296,装备拆分数值生成!$AK$58:$AV$107,4,0))+IF(N296=0,0,VLOOKUP(N296,装备拆分数值生成!$AK$58:$AV$107,7,0))+IF(R296=0,0,VLOOKUP(R296,装备拆分数值生成!$AK$58:$AV$107,12,0))</f>
        <v>906</v>
      </c>
      <c r="Y296" s="65">
        <f>IF(L296=0,0,VLOOKUP(L296,装备拆分数值生成!$AK$58:$AV$107,6,0))+IF(N296=0,0,VLOOKUP(N296,装备拆分数值生成!$AK$58:$AV$107,8,0))</f>
        <v>299</v>
      </c>
      <c r="Z296" s="64"/>
      <c r="AA296" s="64"/>
      <c r="AB296" s="64"/>
      <c r="AC296" s="64"/>
      <c r="AD296" s="68">
        <f>VLOOKUP(D296,宠物成长生成表!$B$5:$J$103,3,0)*$AL$2*(VLOOKUP(E296,$AP$1:$AQ$17,2,0))</f>
        <v>2808.732</v>
      </c>
      <c r="AE296" s="68">
        <f>VLOOKUP(D296,宠物成长生成表!$B$5:$J$103,4,0)*$AL$3*(VLOOKUP(E296,$AP$1:$AQ$17,2,0))</f>
        <v>880.03200000000004</v>
      </c>
      <c r="AF296" s="68">
        <f>VLOOKUP(D296,宠物成长生成表!$B$5:$J$103,4,0)*$AL$4*(VLOOKUP(E296,$AP$1:$AQ$17,2,0))</f>
        <v>1137.1199999999999</v>
      </c>
      <c r="AG296" s="68">
        <f>VLOOKUP(D296,宠物成长生成表!$B$5:$J$103,7,0)*$AL$5*(VLOOKUP(E296,$AP$1:$AQ$17,2,0))</f>
        <v>715.92</v>
      </c>
      <c r="AH296" s="64">
        <f>VLOOKUP(D296,宠物成长生成表!$B$5:$J$103,6,0)+VLOOKUP(E296,宠物升阶生成表!$B$6:$F$21,5,0)</f>
        <v>139</v>
      </c>
      <c r="AI296" s="64"/>
      <c r="AJ296" s="64"/>
      <c r="AK296" s="64"/>
      <c r="AL296" s="64"/>
      <c r="AM296" s="64"/>
      <c r="AN296" s="64"/>
      <c r="AO296" s="64"/>
      <c r="AP296" s="64"/>
      <c r="AQ296" s="64"/>
      <c r="AR296" s="64"/>
      <c r="AS296" s="65">
        <f t="shared" ref="AS296:AS299" si="189">V296+AD296</f>
        <v>4067.732</v>
      </c>
      <c r="AT296" s="65">
        <f t="shared" ref="AT296:AT299" si="190">W296+AE296</f>
        <v>1244.0320000000002</v>
      </c>
      <c r="AU296" s="65">
        <f t="shared" ref="AU296:AU299" si="191">X296+AF296</f>
        <v>2043.12</v>
      </c>
      <c r="AV296" s="67">
        <f t="shared" ref="AV296:AV299" si="192">Y296+AG296</f>
        <v>1014.92</v>
      </c>
    </row>
    <row r="297" spans="2:48">
      <c r="B297" s="98"/>
      <c r="C297" s="68" t="s">
        <v>426</v>
      </c>
      <c r="D297" s="68">
        <v>32</v>
      </c>
      <c r="E297" s="92">
        <v>4</v>
      </c>
      <c r="F297" s="68"/>
      <c r="G297" s="68"/>
      <c r="H297" s="68">
        <v>25</v>
      </c>
      <c r="I297" s="68"/>
      <c r="J297" s="68">
        <v>18</v>
      </c>
      <c r="K297" s="68"/>
      <c r="L297" s="68">
        <v>18</v>
      </c>
      <c r="M297" s="68"/>
      <c r="N297" s="68">
        <v>13</v>
      </c>
      <c r="O297" s="68"/>
      <c r="P297" s="68">
        <v>11</v>
      </c>
      <c r="Q297" s="68"/>
      <c r="R297" s="68">
        <v>12</v>
      </c>
      <c r="S297" s="68"/>
      <c r="T297" s="68"/>
      <c r="U297" s="68"/>
      <c r="V297" s="69">
        <f>IF(J297=0,0,VLOOKUP(能力数值!J297,装备拆分数值生成!$AK$4:$AV$53,5,0))+IF(P297=0,0,VLOOKUP(能力数值!P297,装备拆分数值生成!$AK$4:$AV$53,9,0))+IF(R297=0,0,VLOOKUP(能力数值!R297,装备拆分数值生成!$AK$4:$AV$53,11,0))</f>
        <v>1288</v>
      </c>
      <c r="W297" s="69">
        <f>IF(H297=0,0,VLOOKUP(能力数值!H297,装备拆分数值生成!$AK$4:$AV$53,3,0))+IF(N297=0,0,VLOOKUP(能力数值!N297,装备拆分数值生成!$AK$4:$AV$53,7,0))+IF(R297=0,0,VLOOKUP(能力数值!R297,装备拆分数值生成!$AK$4:$AV$53,12,0))</f>
        <v>856</v>
      </c>
      <c r="X297" s="69">
        <f>IF(H297=0,0,VLOOKUP(能力数值!H297,装备拆分数值生成!$AK$4:$AV$53,4,0))+IF(P297=0,0,VLOOKUP(能力数值!P297,装备拆分数值生成!$AK$4:$AV$53,10,0))</f>
        <v>348</v>
      </c>
      <c r="Y297" s="69">
        <f>IF(L297=0,0,VLOOKUP(能力数值!L297,装备拆分数值生成!$AK$4:$AV$53,6,0))+IF(N297=0,0,VLOOKUP(能力数值!N297,装备拆分数值生成!$AK$4:$AV$53,8,0))</f>
        <v>313</v>
      </c>
      <c r="Z297" s="68"/>
      <c r="AA297" s="68"/>
      <c r="AB297" s="68"/>
      <c r="AC297" s="68"/>
      <c r="AD297" s="68">
        <f>VLOOKUP(D297,宠物成长生成表!$B$5:$J$103,3,0)*$AO$2*(VLOOKUP(E297,$AP$1:$AQ$17,2,0))</f>
        <v>3058.5554999999922</v>
      </c>
      <c r="AE297" s="68">
        <f>VLOOKUP(D297,宠物成长生成表!$B$5:$J$103,4,0)*(VLOOKUP(E297,$AP$1:$AQ$17,2,0))</f>
        <v>1076.716666666664</v>
      </c>
      <c r="AF297" s="68">
        <f>VLOOKUP(D297,宠物成长生成表!$B$5:$J$103,4,0)*$AO$4*(VLOOKUP(E297,$AP$1:$AQ$17,2,0))</f>
        <v>958.27783333333093</v>
      </c>
      <c r="AG297" s="68">
        <f>VLOOKUP(D297,宠物成长生成表!$B$5:$J$103,7,0)*$AO$5*(VLOOKUP(E297,$AP$1:$AQ$17,2,0))</f>
        <v>780.26666666666472</v>
      </c>
      <c r="AH297" s="68">
        <f>VLOOKUP(D297,宠物成长生成表!$B$5:$J$103,6,0)+VLOOKUP(E297,宠物升阶生成表!$B$6:$F$21,5,0)</f>
        <v>153</v>
      </c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9">
        <f t="shared" si="189"/>
        <v>4346.5554999999922</v>
      </c>
      <c r="AT297" s="69">
        <f t="shared" si="190"/>
        <v>1932.716666666664</v>
      </c>
      <c r="AU297" s="69">
        <f t="shared" si="191"/>
        <v>1306.2778333333308</v>
      </c>
      <c r="AV297" s="71">
        <f t="shared" si="192"/>
        <v>1093.2666666666646</v>
      </c>
    </row>
    <row r="298" spans="2:48">
      <c r="B298" s="98"/>
      <c r="C298" s="68" t="s">
        <v>394</v>
      </c>
      <c r="D298" s="68">
        <v>29</v>
      </c>
      <c r="E298" s="92">
        <v>3</v>
      </c>
      <c r="F298" s="68"/>
      <c r="G298" s="68"/>
      <c r="H298" s="68">
        <v>18</v>
      </c>
      <c r="I298" s="68"/>
      <c r="J298" s="68">
        <v>13</v>
      </c>
      <c r="K298" s="68"/>
      <c r="L298" s="68">
        <v>16</v>
      </c>
      <c r="M298" s="68"/>
      <c r="N298" s="68">
        <v>18</v>
      </c>
      <c r="O298" s="68"/>
      <c r="P298" s="68">
        <v>16</v>
      </c>
      <c r="Q298" s="68"/>
      <c r="R298" s="68">
        <v>11</v>
      </c>
      <c r="S298" s="68"/>
      <c r="T298" s="68"/>
      <c r="U298" s="68"/>
      <c r="V298" s="69">
        <f>IF(J298=0,0,VLOOKUP(能力数值!J298,装备拆分数值生成!$AK$165:$AV$214,5,0))+IF(P298=0,0,VLOOKUP(能力数值!P298,装备拆分数值生成!$AK$165:$AV$214,9,0))+IF(R298=0,0,VLOOKUP(能力数值!R298,装备拆分数值生成!$AK$165:$AV$214,11,0))</f>
        <v>1207</v>
      </c>
      <c r="W298" s="69">
        <f>IF(H298=0,0,VLOOKUP(能力数值!H298,装备拆分数值生成!$AK$165:$AV$214,3,0))</f>
        <v>313</v>
      </c>
      <c r="X298" s="69">
        <f>IF(H298=0,0,VLOOKUP(能力数值!H298,装备拆分数值生成!$AK$165:$AV$214,4,0))+IF(P298=0,0,VLOOKUP(能力数值!P298,装备拆分数值生成!$AK$165:$AV$214,10,0))</f>
        <v>407</v>
      </c>
      <c r="Y298" s="69">
        <f>IF(L298=0,0,VLOOKUP(能力数值!L298,装备拆分数值生成!$AK$165:$AV$214,6,0))+IF(N298=0,0,VLOOKUP(能力数值!N298,装备拆分数值生成!$AK$165:$AV$214,8,0))+IF(R298=0,0,VLOOKUP(能力数值!R298,装备拆分数值生成!$AK$165:$AV$214,12,0))</f>
        <v>408</v>
      </c>
      <c r="Z298" s="68"/>
      <c r="AA298" s="68"/>
      <c r="AB298" s="68"/>
      <c r="AC298" s="68"/>
      <c r="AD298" s="68">
        <f>VLOOKUP(D297,宠物成长生成表!$B$5:$J$103,3,0)*$AN$2*(VLOOKUP(E298,$AP$1:$AQ$17,2,0))</f>
        <v>3538.08</v>
      </c>
      <c r="AE298" s="68">
        <f>VLOOKUP(D297,宠物成长生成表!$B$5:$J$103,4,0)*$AN$3*(VLOOKUP(E298,$AP$1:$AQ$17,2,0))</f>
        <v>906.12</v>
      </c>
      <c r="AF298" s="68">
        <f>VLOOKUP(D297,宠物成长生成表!$B$5:$J$103,4,0)*$AN$4*(VLOOKUP(E298,$AP$1:$AQ$17,2,0))</f>
        <v>906.12</v>
      </c>
      <c r="AG298" s="68">
        <f>VLOOKUP(D297,宠物成长生成表!$B$5:$J$103,7,0)*$AN$5*(VLOOKUP(E298,$AP$1:$AQ$17,2,0))</f>
        <v>844.8</v>
      </c>
      <c r="AH298" s="68">
        <f>VLOOKUP(D298,宠物成长生成表!$B$5:$J$103,6,0)+VLOOKUP(E298,宠物升阶生成表!$B$6:$F$21,5,0)</f>
        <v>134</v>
      </c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9">
        <f t="shared" si="189"/>
        <v>4745.08</v>
      </c>
      <c r="AT298" s="69">
        <f t="shared" si="190"/>
        <v>1219.1199999999999</v>
      </c>
      <c r="AU298" s="69">
        <f t="shared" si="191"/>
        <v>1313.12</v>
      </c>
      <c r="AV298" s="71">
        <f t="shared" si="192"/>
        <v>1252.8</v>
      </c>
    </row>
    <row r="299" spans="2:48">
      <c r="B299" s="98"/>
      <c r="C299" s="68" t="s">
        <v>427</v>
      </c>
      <c r="D299" s="68">
        <v>25</v>
      </c>
      <c r="E299" s="92">
        <v>3</v>
      </c>
      <c r="F299" s="68"/>
      <c r="G299" s="68"/>
      <c r="H299" s="68">
        <v>16</v>
      </c>
      <c r="I299" s="68"/>
      <c r="J299" s="68">
        <v>12</v>
      </c>
      <c r="K299" s="68"/>
      <c r="L299" s="88">
        <v>28</v>
      </c>
      <c r="M299" s="68"/>
      <c r="N299" s="68">
        <v>6</v>
      </c>
      <c r="O299" s="68"/>
      <c r="P299" s="68">
        <v>11</v>
      </c>
      <c r="Q299" s="68"/>
      <c r="R299" s="68">
        <v>15</v>
      </c>
      <c r="S299" s="68"/>
      <c r="T299" s="68"/>
      <c r="U299" s="68"/>
      <c r="V299" s="69">
        <f>IF(J299=0,0,VLOOKUP(能力数值!J299,装备拆分数值生成!$AK$112:$AV$161,5,0))+IF(P299=0,0,VLOOKUP(能力数值!P299,装备拆分数值生成!$AK$112:$AV$161,5,0))+IF(R299=0,0,VLOOKUP(能力数值!R299,装备拆分数值生成!$AK$112:$AV$161,11,0))</f>
        <v>1833</v>
      </c>
      <c r="W299" s="69">
        <f>IF(H299=0,0,VLOOKUP(能力数值!H299,装备拆分数值生成!$AK$112:$AV$161,3,0))</f>
        <v>260</v>
      </c>
      <c r="X299" s="69">
        <f>IF(H299=0,0,VLOOKUP(能力数值!H299,装备拆分数值生成!$AK$112:$AV$161,4,0))</f>
        <v>260</v>
      </c>
      <c r="Y299" s="69">
        <f>IF(L299=0,0,VLOOKUP(能力数值!L299,装备拆分数值生成!$AK$112:$AV$161,6,0))+IF(N299=0,0,VLOOKUP(能力数值!N299,装备拆分数值生成!$AK$112:$AV$161,8,0))+IF(R299=0,0,VLOOKUP(能力数值!R299,装备拆分数值生成!$AK$112:$AV$161,12,0))</f>
        <v>808</v>
      </c>
      <c r="Z299" s="68"/>
      <c r="AA299" s="68"/>
      <c r="AB299" s="68"/>
      <c r="AC299" s="68"/>
      <c r="AD299" s="68">
        <f>VLOOKUP(D299,宠物成长生成表!$B$5:$J$103,3,0)*$AM$2*(VLOOKUP(E299,$AP$1:$AQ$17,2,0))</f>
        <v>3350.88</v>
      </c>
      <c r="AE299" s="68">
        <f>VLOOKUP(D299,宠物成长生成表!$B$5:$J$103,4,0)*$AM$3*(VLOOKUP(E299,$AP$1:$AQ$17,2,0))</f>
        <v>703.68</v>
      </c>
      <c r="AF299" s="68">
        <f>VLOOKUP(D299,宠物成长生成表!$B$5:$J$103,4,0)*$AM$4*(VLOOKUP(E299,$AP$1:$AQ$17,2,0))</f>
        <v>703.68</v>
      </c>
      <c r="AG299" s="68">
        <f>VLOOKUP(D299,宠物成长生成表!$B$5:$J$103,7,0)*$AM$5*(VLOOKUP(E299,$AP$1:$AQ$17,2,0))</f>
        <v>1107.2160000000001</v>
      </c>
      <c r="AH299" s="68">
        <f>VLOOKUP(D299,宠物成长生成表!$B$5:$J$103,6,0)+VLOOKUP(E299,宠物升阶生成表!$B$6:$F$21,5,0)</f>
        <v>126</v>
      </c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9">
        <f t="shared" si="189"/>
        <v>5183.88</v>
      </c>
      <c r="AT299" s="69">
        <f t="shared" si="190"/>
        <v>963.68</v>
      </c>
      <c r="AU299" s="69">
        <f t="shared" si="191"/>
        <v>963.68</v>
      </c>
      <c r="AV299" s="71">
        <f t="shared" si="192"/>
        <v>1915.2160000000001</v>
      </c>
    </row>
    <row r="300" spans="2:48" ht="17.25" thickBot="1">
      <c r="B300" s="99"/>
      <c r="C300" s="72" t="s">
        <v>425</v>
      </c>
      <c r="D300" s="72">
        <v>5</v>
      </c>
      <c r="E300" s="93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69"/>
      <c r="W300" s="69"/>
      <c r="X300" s="69"/>
      <c r="Y300" s="69"/>
      <c r="Z300" s="72"/>
      <c r="AA300" s="72"/>
      <c r="AB300" s="72"/>
      <c r="AC300" s="72"/>
      <c r="AD300" s="72">
        <f>VLOOKUP(D300,宠物成长生成表!$B$5:$J$103,3,0)*$AL$2*(VLOOKUP(E300,$AP$1:$AQ$17,2,0))</f>
        <v>1228.99</v>
      </c>
      <c r="AE300" s="72">
        <f>VLOOKUP(D300,宠物成长生成表!$B$5:$J$103,4,0)*$AL$3*(VLOOKUP(E300,$AP$1:$AQ$17,2,0))</f>
        <v>384.48</v>
      </c>
      <c r="AF300" s="72">
        <f>VLOOKUP(D300,宠物成长生成表!$B$5:$J$103,4,0)*$AL$4*(VLOOKUP(E300,$AP$1:$AQ$17,2,0))</f>
        <v>496.79999999999995</v>
      </c>
      <c r="AG300" s="72">
        <f>VLOOKUP(D300,宠物成长生成表!$B$5:$J$103,7,0)*$AL$5*(VLOOKUP(E300,$AP$1:$AQ$17,2,0))</f>
        <v>313.12</v>
      </c>
      <c r="AH300" s="81">
        <f>VLOOKUP(D300,宠物成长生成表!$B$5:$J$103,6,0)</f>
        <v>59</v>
      </c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8"/>
    </row>
    <row r="301" spans="2:48">
      <c r="B301" s="97" t="s">
        <v>526</v>
      </c>
      <c r="C301" s="64" t="s">
        <v>428</v>
      </c>
      <c r="D301" s="64">
        <v>33</v>
      </c>
      <c r="E301" s="91">
        <v>4</v>
      </c>
      <c r="F301" s="64"/>
      <c r="G301" s="64"/>
      <c r="H301" s="89">
        <v>28</v>
      </c>
      <c r="I301" s="64"/>
      <c r="J301" s="64">
        <v>17</v>
      </c>
      <c r="K301" s="64"/>
      <c r="L301" s="64">
        <v>15</v>
      </c>
      <c r="M301" s="64"/>
      <c r="N301" s="64">
        <v>15</v>
      </c>
      <c r="O301" s="64"/>
      <c r="P301" s="64">
        <v>11</v>
      </c>
      <c r="Q301" s="64"/>
      <c r="R301" s="64">
        <v>13</v>
      </c>
      <c r="S301" s="64"/>
      <c r="T301" s="64"/>
      <c r="U301" s="64"/>
      <c r="V301" s="65">
        <f>IF(J301=0,0,VLOOKUP(能力数值!J301,装备拆分数值生成!$AK$58:$AV$107,5,0))+IF(P301=0,0,VLOOKUP(P301,装备拆分数值生成!$AK$58:$AV$107,9,0))+IF(R301=0,0,VLOOKUP(R301,装备拆分数值生成!$AK$58:$AV$107,11,0))</f>
        <v>1259</v>
      </c>
      <c r="W301" s="65">
        <f>IF(H301=0,0,VLOOKUP(H301,装备拆分数值生成!$AK$58:$AV$107,3,0))+IF(P301=0,0,VLOOKUP(P301,装备拆分数值生成!$AK$58:$AV$107,10,0))</f>
        <v>395</v>
      </c>
      <c r="X301" s="65">
        <f>IF(H301=0,0,VLOOKUP(H301,装备拆分数值生成!$AK$58:$AV$107,4,0))+IF(N301=0,0,VLOOKUP(N301,装备拆分数值生成!$AK$58:$AV$107,7,0))+IF(R301=0,0,VLOOKUP(R301,装备拆分数值生成!$AK$58:$AV$107,12,0))</f>
        <v>968</v>
      </c>
      <c r="Y301" s="65">
        <f>IF(L301=0,0,VLOOKUP(L301,装备拆分数值生成!$AK$58:$AV$107,6,0))+IF(N301=0,0,VLOOKUP(N301,装备拆分数值生成!$AK$58:$AV$107,8,0))</f>
        <v>299</v>
      </c>
      <c r="Z301" s="64"/>
      <c r="AA301" s="64"/>
      <c r="AB301" s="64"/>
      <c r="AC301" s="64"/>
      <c r="AD301" s="68">
        <f>VLOOKUP(D301,宠物成长生成表!$B$5:$J$103,3,0)*$AL$2*(VLOOKUP(E301,$AP$1:$AQ$17,2,0))</f>
        <v>3113.3281666666585</v>
      </c>
      <c r="AE301" s="68">
        <f>VLOOKUP(D301,宠物成长生成表!$B$5:$J$103,4,0)*$AL$3*(VLOOKUP(E301,$AP$1:$AQ$17,2,0))</f>
        <v>975.41033333333098</v>
      </c>
      <c r="AF301" s="68">
        <f>VLOOKUP(D301,宠物成长生成表!$B$5:$J$103,4,0)*$AL$4*(VLOOKUP(E301,$AP$1:$AQ$17,2,0))</f>
        <v>1260.3616666666633</v>
      </c>
      <c r="AG301" s="68">
        <f>VLOOKUP(D301,宠物成长生成表!$B$5:$J$103,7,0)*$AL$5*(VLOOKUP(E301,$AP$1:$AQ$17,2,0))</f>
        <v>793.92133333333129</v>
      </c>
      <c r="AH301" s="64">
        <f>VLOOKUP(D301,宠物成长生成表!$B$5:$J$103,6,0)+VLOOKUP(E301,宠物升阶生成表!$B$6:$F$21,5,0)</f>
        <v>154</v>
      </c>
      <c r="AI301" s="64"/>
      <c r="AJ301" s="64"/>
      <c r="AK301" s="64"/>
      <c r="AL301" s="64"/>
      <c r="AM301" s="64"/>
      <c r="AN301" s="64"/>
      <c r="AO301" s="64"/>
      <c r="AP301" s="64"/>
      <c r="AQ301" s="64"/>
      <c r="AR301" s="64"/>
      <c r="AS301" s="65">
        <f t="shared" ref="AS301:AS304" si="193">V301+AD301</f>
        <v>4372.3281666666589</v>
      </c>
      <c r="AT301" s="65">
        <f t="shared" ref="AT301:AT304" si="194">W301+AE301</f>
        <v>1370.410333333331</v>
      </c>
      <c r="AU301" s="65">
        <f t="shared" ref="AU301:AU304" si="195">X301+AF301</f>
        <v>2228.361666666663</v>
      </c>
      <c r="AV301" s="67">
        <f t="shared" ref="AV301:AV304" si="196">Y301+AG301</f>
        <v>1092.9213333333314</v>
      </c>
    </row>
    <row r="302" spans="2:48">
      <c r="B302" s="98"/>
      <c r="C302" s="68" t="s">
        <v>426</v>
      </c>
      <c r="D302" s="68">
        <v>34</v>
      </c>
      <c r="E302" s="92">
        <v>5</v>
      </c>
      <c r="F302" s="68"/>
      <c r="G302" s="68"/>
      <c r="H302" s="68">
        <v>29</v>
      </c>
      <c r="I302" s="68"/>
      <c r="J302" s="68">
        <v>20</v>
      </c>
      <c r="K302" s="68"/>
      <c r="L302" s="68">
        <v>20</v>
      </c>
      <c r="M302" s="68"/>
      <c r="N302" s="68">
        <v>20</v>
      </c>
      <c r="O302" s="68"/>
      <c r="P302" s="68">
        <v>16</v>
      </c>
      <c r="Q302" s="68"/>
      <c r="R302" s="68">
        <v>12</v>
      </c>
      <c r="S302" s="68"/>
      <c r="T302" s="68"/>
      <c r="U302" s="68"/>
      <c r="V302" s="69">
        <f>IF(J302=0,0,VLOOKUP(能力数值!J302,装备拆分数值生成!$AK$4:$AV$53,5,0))+IF(P302=0,0,VLOOKUP(能力数值!P302,装备拆分数值生成!$AK$4:$AV$53,9,0))+IF(R302=0,0,VLOOKUP(能力数值!R302,装备拆分数值生成!$AK$4:$AV$53,11,0))</f>
        <v>1504</v>
      </c>
      <c r="W302" s="69">
        <f>IF(H302=0,0,VLOOKUP(能力数值!H302,装备拆分数值生成!$AK$4:$AV$53,3,0))+IF(N302=0,0,VLOOKUP(能力数值!N302,装备拆分数值生成!$AK$4:$AV$53,7,0))+IF(R302=0,0,VLOOKUP(能力数值!R302,装备拆分数值生成!$AK$4:$AV$53,12,0))</f>
        <v>1015</v>
      </c>
      <c r="X302" s="69">
        <f>IF(H302=0,0,VLOOKUP(能力数值!H302,装备拆分数值生成!$AK$4:$AV$53,4,0))+IF(P302=0,0,VLOOKUP(能力数值!P302,装备拆分数值生成!$AK$4:$AV$53,10,0))</f>
        <v>422</v>
      </c>
      <c r="Y302" s="69">
        <f>IF(L302=0,0,VLOOKUP(能力数值!L302,装备拆分数值生成!$AK$4:$AV$53,6,0))+IF(N302=0,0,VLOOKUP(能力数值!N302,装备拆分数值生成!$AK$4:$AV$53,8,0))</f>
        <v>381</v>
      </c>
      <c r="Z302" s="68"/>
      <c r="AA302" s="68"/>
      <c r="AB302" s="68"/>
      <c r="AC302" s="68"/>
      <c r="AD302" s="68">
        <f>VLOOKUP(D302,宠物成长生成表!$B$5:$J$103,3,0)*$AO$2*(VLOOKUP(E302,$AP$1:$AQ$17,2,0))</f>
        <v>3353.2495833333255</v>
      </c>
      <c r="AE302" s="68">
        <f>VLOOKUP(D302,宠物成长生成表!$B$5:$J$103,4,0)*(VLOOKUP(E302,$AP$1:$AQ$17,2,0))</f>
        <v>1180.3916666666639</v>
      </c>
      <c r="AF302" s="68">
        <f>VLOOKUP(D302,宠物成长生成表!$B$5:$J$103,4,0)*$AO$4*(VLOOKUP(E302,$AP$1:$AQ$17,2,0))</f>
        <v>1050.5485833333307</v>
      </c>
      <c r="AG302" s="68">
        <f>VLOOKUP(D302,宠物成长生成表!$B$5:$J$103,7,0)*$AO$5*(VLOOKUP(E302,$AP$1:$AQ$17,2,0))</f>
        <v>854.77199999999789</v>
      </c>
      <c r="AH302" s="68">
        <f>VLOOKUP(D302,宠物成长生成表!$B$5:$J$103,6,0)+VLOOKUP(E302,宠物升阶生成表!$B$6:$F$21,5,0)</f>
        <v>168</v>
      </c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9">
        <f t="shared" si="193"/>
        <v>4857.2495833333251</v>
      </c>
      <c r="AT302" s="69">
        <f t="shared" si="194"/>
        <v>2195.3916666666637</v>
      </c>
      <c r="AU302" s="69">
        <f t="shared" si="195"/>
        <v>1472.5485833333307</v>
      </c>
      <c r="AV302" s="71">
        <f t="shared" si="196"/>
        <v>1235.7719999999979</v>
      </c>
    </row>
    <row r="303" spans="2:48">
      <c r="B303" s="98"/>
      <c r="C303" s="68" t="s">
        <v>394</v>
      </c>
      <c r="D303" s="68">
        <v>32</v>
      </c>
      <c r="E303" s="92">
        <v>3</v>
      </c>
      <c r="F303" s="68"/>
      <c r="G303" s="68"/>
      <c r="H303" s="68">
        <v>20</v>
      </c>
      <c r="I303" s="68"/>
      <c r="J303" s="68">
        <v>18</v>
      </c>
      <c r="K303" s="68"/>
      <c r="L303" s="68">
        <v>21</v>
      </c>
      <c r="M303" s="68"/>
      <c r="N303" s="68">
        <v>20</v>
      </c>
      <c r="O303" s="68"/>
      <c r="P303" s="68">
        <v>16</v>
      </c>
      <c r="Q303" s="68"/>
      <c r="R303" s="68">
        <v>19</v>
      </c>
      <c r="S303" s="68"/>
      <c r="T303" s="68"/>
      <c r="U303" s="68"/>
      <c r="V303" s="69">
        <f>IF(J303=0,0,VLOOKUP(能力数值!J303,装备拆分数值生成!$AK$165:$AV$214,5,0))+IF(P303=0,0,VLOOKUP(能力数值!P303,装备拆分数值生成!$AK$165:$AV$214,9,0))+IF(R303=0,0,VLOOKUP(能力数值!R303,装备拆分数值生成!$AK$165:$AV$214,11,0))</f>
        <v>1504</v>
      </c>
      <c r="W303" s="69">
        <f>IF(H303=0,0,VLOOKUP(能力数值!H303,装备拆分数值生成!$AK$165:$AV$214,3,0))</f>
        <v>343</v>
      </c>
      <c r="X303" s="69">
        <f>IF(H303=0,0,VLOOKUP(能力数值!H303,装备拆分数值生成!$AK$165:$AV$214,4,0))+IF(P303=0,0,VLOOKUP(能力数值!P303,装备拆分数值生成!$AK$165:$AV$214,10,0))</f>
        <v>437</v>
      </c>
      <c r="Y303" s="69">
        <f>IF(L303=0,0,VLOOKUP(能力数值!L303,装备拆分数值生成!$AK$165:$AV$214,6,0))+IF(N303=0,0,VLOOKUP(能力数值!N303,装备拆分数值生成!$AK$165:$AV$214,8,0))+IF(R303=0,0,VLOOKUP(能力数值!R303,装备拆分数值生成!$AK$165:$AV$214,12,0))</f>
        <v>515</v>
      </c>
      <c r="Z303" s="68"/>
      <c r="AA303" s="68"/>
      <c r="AB303" s="68"/>
      <c r="AC303" s="68"/>
      <c r="AD303" s="68">
        <f>VLOOKUP(D302,宠物成长生成表!$B$5:$J$103,3,0)*$AN$2*(VLOOKUP(E303,$AP$1:$AQ$17,2,0))</f>
        <v>3664.7999999999997</v>
      </c>
      <c r="AE303" s="68">
        <f>VLOOKUP(D302,宠物成长生成表!$B$5:$J$103,4,0)*$AN$3*(VLOOKUP(E303,$AP$1:$AQ$17,2,0))</f>
        <v>938.52</v>
      </c>
      <c r="AF303" s="68">
        <f>VLOOKUP(D302,宠物成长生成表!$B$5:$J$103,4,0)*$AN$4*(VLOOKUP(E303,$AP$1:$AQ$17,2,0))</f>
        <v>938.52</v>
      </c>
      <c r="AG303" s="68">
        <f>VLOOKUP(D302,宠物成长生成表!$B$5:$J$103,7,0)*$AN$5*(VLOOKUP(E303,$AP$1:$AQ$17,2,0))</f>
        <v>874.36799999999994</v>
      </c>
      <c r="AH303" s="68">
        <f>VLOOKUP(D303,宠物成长生成表!$B$5:$J$103,6,0)+VLOOKUP(E303,宠物升阶生成表!$B$6:$F$21,5,0)</f>
        <v>140</v>
      </c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9">
        <f t="shared" si="193"/>
        <v>5168.7999999999993</v>
      </c>
      <c r="AT303" s="69">
        <f t="shared" si="194"/>
        <v>1281.52</v>
      </c>
      <c r="AU303" s="69">
        <f t="shared" si="195"/>
        <v>1375.52</v>
      </c>
      <c r="AV303" s="71">
        <f t="shared" si="196"/>
        <v>1389.3679999999999</v>
      </c>
    </row>
    <row r="304" spans="2:48">
      <c r="B304" s="98"/>
      <c r="C304" s="68" t="s">
        <v>427</v>
      </c>
      <c r="D304" s="68">
        <v>30</v>
      </c>
      <c r="E304" s="92">
        <v>3</v>
      </c>
      <c r="F304" s="68"/>
      <c r="G304" s="68"/>
      <c r="H304" s="68">
        <v>16</v>
      </c>
      <c r="I304" s="68"/>
      <c r="J304" s="68">
        <v>15</v>
      </c>
      <c r="K304" s="68"/>
      <c r="L304" s="88">
        <v>28</v>
      </c>
      <c r="M304" s="68"/>
      <c r="N304" s="68">
        <v>12</v>
      </c>
      <c r="O304" s="68"/>
      <c r="P304" s="68">
        <v>11</v>
      </c>
      <c r="Q304" s="68"/>
      <c r="R304" s="68">
        <v>15</v>
      </c>
      <c r="S304" s="68"/>
      <c r="T304" s="68"/>
      <c r="U304" s="68"/>
      <c r="V304" s="69">
        <f>IF(J304=0,0,VLOOKUP(能力数值!J304,装备拆分数值生成!$AK$112:$AV$161,5,0))+IF(P304=0,0,VLOOKUP(能力数值!P304,装备拆分数值生成!$AK$112:$AV$161,5,0))+IF(R304=0,0,VLOOKUP(能力数值!R304,装备拆分数值生成!$AK$112:$AV$161,11,0))</f>
        <v>2006</v>
      </c>
      <c r="W304" s="69">
        <f>IF(H304=0,0,VLOOKUP(能力数值!H304,装备拆分数值生成!$AK$112:$AV$161,3,0))</f>
        <v>260</v>
      </c>
      <c r="X304" s="69">
        <f>IF(H304=0,0,VLOOKUP(能力数值!H304,装备拆分数值生成!$AK$112:$AV$161,4,0))</f>
        <v>260</v>
      </c>
      <c r="Y304" s="69">
        <f>IF(L304=0,0,VLOOKUP(能力数值!L304,装备拆分数值生成!$AK$112:$AV$161,6,0))+IF(N304=0,0,VLOOKUP(能力数值!N304,装备拆分数值生成!$AK$112:$AV$161,8,0))+IF(R304=0,0,VLOOKUP(能力数值!R304,装备拆分数值生成!$AK$112:$AV$161,12,0))</f>
        <v>855</v>
      </c>
      <c r="Z304" s="68"/>
      <c r="AA304" s="68"/>
      <c r="AB304" s="68"/>
      <c r="AC304" s="68"/>
      <c r="AD304" s="68">
        <f>VLOOKUP(D304,宠物成长生成表!$B$5:$J$103,3,0)*$AM$2*(VLOOKUP(E304,$AP$1:$AQ$17,2,0))</f>
        <v>3695.6400000000003</v>
      </c>
      <c r="AE304" s="68">
        <f>VLOOKUP(D304,宠物成长生成表!$B$5:$J$103,4,0)*$AM$3*(VLOOKUP(E304,$AP$1:$AQ$17,2,0))</f>
        <v>775.68000000000006</v>
      </c>
      <c r="AF304" s="68">
        <f>VLOOKUP(D304,宠物成长生成表!$B$5:$J$103,4,0)*$AM$4*(VLOOKUP(E304,$AP$1:$AQ$17,2,0))</f>
        <v>775.68000000000006</v>
      </c>
      <c r="AG304" s="68">
        <f>VLOOKUP(D304,宠物成长生成表!$B$5:$J$103,7,0)*$AM$5*(VLOOKUP(E304,$AP$1:$AQ$17,2,0))</f>
        <v>1221.2639999999999</v>
      </c>
      <c r="AH304" s="68">
        <f>VLOOKUP(D304,宠物成长生成表!$B$5:$J$103,6,0)+VLOOKUP(E304,宠物升阶生成表!$B$6:$F$21,5,0)</f>
        <v>138</v>
      </c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9">
        <f t="shared" si="193"/>
        <v>5701.64</v>
      </c>
      <c r="AT304" s="69">
        <f t="shared" si="194"/>
        <v>1035.68</v>
      </c>
      <c r="AU304" s="69">
        <f t="shared" si="195"/>
        <v>1035.68</v>
      </c>
      <c r="AV304" s="71">
        <f t="shared" si="196"/>
        <v>2076.2640000000001</v>
      </c>
    </row>
    <row r="305" spans="2:48" ht="17.25" thickBot="1">
      <c r="B305" s="99"/>
      <c r="C305" s="72" t="s">
        <v>425</v>
      </c>
      <c r="D305" s="72">
        <v>5</v>
      </c>
      <c r="E305" s="93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3"/>
      <c r="W305" s="73"/>
      <c r="X305" s="73"/>
      <c r="Y305" s="73"/>
      <c r="Z305" s="72"/>
      <c r="AA305" s="72"/>
      <c r="AB305" s="72"/>
      <c r="AC305" s="72"/>
      <c r="AD305" s="72">
        <f>VLOOKUP(D305,宠物成长生成表!$B$5:$J$103,3,0)*$AL$2*(VLOOKUP(E305,$AP$1:$AQ$17,2,0))</f>
        <v>1228.99</v>
      </c>
      <c r="AE305" s="72">
        <f>VLOOKUP(D305,宠物成长生成表!$B$5:$J$103,4,0)*$AL$3*(VLOOKUP(E305,$AP$1:$AQ$17,2,0))</f>
        <v>384.48</v>
      </c>
      <c r="AF305" s="72">
        <f>VLOOKUP(D305,宠物成长生成表!$B$5:$J$103,4,0)*$AL$4*(VLOOKUP(E305,$AP$1:$AQ$17,2,0))</f>
        <v>496.79999999999995</v>
      </c>
      <c r="AG305" s="72">
        <f>VLOOKUP(D305,宠物成长生成表!$B$5:$J$103,7,0)*$AL$5*(VLOOKUP(E305,$AP$1:$AQ$17,2,0))</f>
        <v>313.12</v>
      </c>
      <c r="AH305" s="81">
        <f>VLOOKUP(D305,宠物成长生成表!$B$5:$J$103,6,0)</f>
        <v>59</v>
      </c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8"/>
    </row>
  </sheetData>
  <mergeCells count="64">
    <mergeCell ref="B301:B305"/>
    <mergeCell ref="B276:B280"/>
    <mergeCell ref="B281:B285"/>
    <mergeCell ref="B286:B290"/>
    <mergeCell ref="B291:B295"/>
    <mergeCell ref="B296:B300"/>
    <mergeCell ref="B251:B255"/>
    <mergeCell ref="B256:B260"/>
    <mergeCell ref="B261:B265"/>
    <mergeCell ref="B266:B270"/>
    <mergeCell ref="B271:B275"/>
    <mergeCell ref="B226:B230"/>
    <mergeCell ref="B231:B235"/>
    <mergeCell ref="B236:B240"/>
    <mergeCell ref="B241:B245"/>
    <mergeCell ref="B246:B250"/>
    <mergeCell ref="B216:B220"/>
    <mergeCell ref="B221:B225"/>
    <mergeCell ref="B171:B175"/>
    <mergeCell ref="B176:B180"/>
    <mergeCell ref="B181:B185"/>
    <mergeCell ref="B186:B190"/>
    <mergeCell ref="B211:B215"/>
    <mergeCell ref="B161:B165"/>
    <mergeCell ref="B191:B195"/>
    <mergeCell ref="B196:B200"/>
    <mergeCell ref="B201:B205"/>
    <mergeCell ref="B206:B210"/>
    <mergeCell ref="B166:B170"/>
    <mergeCell ref="B136:B140"/>
    <mergeCell ref="B141:B145"/>
    <mergeCell ref="B146:B150"/>
    <mergeCell ref="B151:B155"/>
    <mergeCell ref="B156:B160"/>
    <mergeCell ref="B111:B115"/>
    <mergeCell ref="B116:B120"/>
    <mergeCell ref="B121:B125"/>
    <mergeCell ref="B126:B130"/>
    <mergeCell ref="B131:B135"/>
    <mergeCell ref="B91:B95"/>
    <mergeCell ref="B96:B100"/>
    <mergeCell ref="B101:B105"/>
    <mergeCell ref="B106:B110"/>
    <mergeCell ref="B81:B85"/>
    <mergeCell ref="B86:B90"/>
    <mergeCell ref="B76:B80"/>
    <mergeCell ref="B46:B50"/>
    <mergeCell ref="B51:B55"/>
    <mergeCell ref="B56:B60"/>
    <mergeCell ref="B61:B65"/>
    <mergeCell ref="B66:B70"/>
    <mergeCell ref="B71:B75"/>
    <mergeCell ref="B42:B45"/>
    <mergeCell ref="B3:B5"/>
    <mergeCell ref="B6:B8"/>
    <mergeCell ref="B9:B11"/>
    <mergeCell ref="B12:B14"/>
    <mergeCell ref="B15:B17"/>
    <mergeCell ref="B30:B33"/>
    <mergeCell ref="B34:B37"/>
    <mergeCell ref="B38:B41"/>
    <mergeCell ref="B18:B21"/>
    <mergeCell ref="B22:B25"/>
    <mergeCell ref="B26:B2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baseAttr</vt:lpstr>
      <vt:lpstr>自用草稿</vt:lpstr>
      <vt:lpstr>能力数值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2016-02-29T12:26:49Z</dcterms:modified>
</cp:coreProperties>
</file>