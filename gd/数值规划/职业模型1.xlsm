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635" yWindow="240" windowWidth="29235" windowHeight="12330" tabRatio="752" activeTab="12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能力数值" sheetId="16" r:id="rId13"/>
  </sheets>
  <externalReferences>
    <externalReference r:id="rId14"/>
    <externalReference r:id="rId15"/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AD29" i="16" l="1"/>
  <c r="AK5" i="16"/>
  <c r="AD26" i="16"/>
  <c r="AD27" i="16"/>
  <c r="AD28" i="16"/>
  <c r="AD25" i="16"/>
  <c r="AD20" i="16"/>
  <c r="AD19" i="16"/>
  <c r="AD18" i="16"/>
  <c r="AD21" i="16"/>
  <c r="AD17" i="16"/>
  <c r="AD16" i="16"/>
  <c r="AD15" i="16"/>
  <c r="AD14" i="16"/>
  <c r="AD13" i="16"/>
  <c r="AD12" i="16"/>
  <c r="AD11" i="16"/>
  <c r="AD10" i="16"/>
  <c r="AD9" i="16"/>
  <c r="AD7" i="16"/>
  <c r="AK4" i="16"/>
  <c r="AK3" i="16"/>
  <c r="AK2" i="16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F5" i="3" l="1"/>
  <c r="F6" i="3" s="1"/>
  <c r="P3" i="3"/>
  <c r="E5" i="3" s="1"/>
  <c r="H5" i="3" s="1"/>
  <c r="S14" i="1"/>
  <c r="T14" i="1"/>
  <c r="C81" i="1" s="1"/>
  <c r="C82" i="1" s="1"/>
  <c r="J20" i="3" s="1"/>
  <c r="S12" i="1"/>
  <c r="T12" i="1" s="1"/>
  <c r="S13" i="1"/>
  <c r="T13" i="1" s="1"/>
  <c r="M3" i="3"/>
  <c r="M16" i="7"/>
  <c r="M15" i="7"/>
  <c r="M14" i="7"/>
  <c r="M13" i="7"/>
  <c r="M12" i="7"/>
  <c r="M11" i="7"/>
  <c r="M10" i="7"/>
  <c r="M9" i="7"/>
  <c r="M8" i="7"/>
  <c r="M7" i="7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7" i="7"/>
  <c r="M18" i="7"/>
  <c r="M19" i="7"/>
  <c r="M20" i="7"/>
  <c r="M21" i="7"/>
  <c r="J71" i="14"/>
  <c r="J72" i="14"/>
  <c r="J73" i="14"/>
  <c r="J74" i="14"/>
  <c r="J75" i="14"/>
  <c r="J70" i="14"/>
  <c r="G65" i="14"/>
  <c r="G66" i="14"/>
  <c r="G67" i="14"/>
  <c r="G68" i="14"/>
  <c r="G69" i="14"/>
  <c r="G64" i="14"/>
  <c r="I59" i="14"/>
  <c r="I60" i="14"/>
  <c r="I61" i="14"/>
  <c r="I62" i="14"/>
  <c r="I63" i="14"/>
  <c r="I58" i="14"/>
  <c r="H53" i="14"/>
  <c r="H54" i="14"/>
  <c r="H55" i="14"/>
  <c r="H56" i="14"/>
  <c r="H57" i="14"/>
  <c r="H52" i="14"/>
  <c r="D47" i="14"/>
  <c r="D48" i="14"/>
  <c r="D49" i="14"/>
  <c r="D50" i="14"/>
  <c r="D51" i="14"/>
  <c r="D46" i="14"/>
  <c r="E41" i="14"/>
  <c r="E42" i="14"/>
  <c r="E43" i="14"/>
  <c r="E44" i="14"/>
  <c r="E45" i="14"/>
  <c r="E40" i="14"/>
  <c r="B35" i="14"/>
  <c r="B36" i="14"/>
  <c r="B37" i="14"/>
  <c r="B38" i="14"/>
  <c r="B39" i="14"/>
  <c r="B34" i="14"/>
  <c r="C29" i="14"/>
  <c r="C30" i="14"/>
  <c r="C31" i="14"/>
  <c r="C32" i="14"/>
  <c r="C33" i="14"/>
  <c r="C28" i="14"/>
  <c r="F23" i="14"/>
  <c r="F24" i="14"/>
  <c r="F25" i="14"/>
  <c r="F26" i="14"/>
  <c r="F27" i="14"/>
  <c r="F22" i="14"/>
  <c r="D23" i="12"/>
  <c r="D17" i="12"/>
  <c r="I12" i="12"/>
  <c r="AD6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D75" i="16"/>
  <c r="AD76" i="16"/>
  <c r="AD77" i="16"/>
  <c r="AD78" i="16"/>
  <c r="AD79" i="16"/>
  <c r="AD80" i="16"/>
  <c r="AD22" i="16"/>
  <c r="AD23" i="16"/>
  <c r="AD24" i="16"/>
  <c r="AD30" i="16"/>
  <c r="AD31" i="16"/>
  <c r="AD32" i="16"/>
  <c r="AD33" i="16"/>
  <c r="AD34" i="16"/>
  <c r="AD35" i="16"/>
  <c r="AD36" i="16"/>
  <c r="AD37" i="16"/>
  <c r="AD38" i="16"/>
  <c r="AD4" i="16"/>
  <c r="AD8" i="16"/>
  <c r="AD3" i="16"/>
  <c r="F24" i="12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/>
  <c r="O24" i="6"/>
  <c r="N23" i="6"/>
  <c r="N24" i="6"/>
  <c r="M23" i="6"/>
  <c r="M24" i="6"/>
  <c r="L23" i="6"/>
  <c r="L24" i="6"/>
  <c r="I11" i="12"/>
  <c r="I9" i="8"/>
  <c r="D10" i="12"/>
  <c r="I8" i="12"/>
  <c r="K6" i="12"/>
  <c r="D15" i="12"/>
  <c r="D16" i="12"/>
  <c r="D5" i="12"/>
  <c r="D6" i="12"/>
  <c r="D7" i="12"/>
  <c r="D9" i="12"/>
  <c r="D8" i="12"/>
  <c r="D11" i="12"/>
  <c r="I9" i="12"/>
  <c r="D12" i="12"/>
  <c r="I10" i="12"/>
  <c r="D13" i="12"/>
  <c r="D14" i="12"/>
  <c r="D4" i="12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/>
  <c r="C76" i="1"/>
  <c r="M2" i="3"/>
  <c r="K13" i="1"/>
  <c r="L13" i="1" s="1"/>
  <c r="C14" i="1"/>
  <c r="D14" i="1" s="1"/>
  <c r="C39" i="1" s="1"/>
  <c r="C40" i="1" s="1"/>
  <c r="C12" i="1"/>
  <c r="D12" i="1" s="1"/>
  <c r="C18" i="1" s="1"/>
  <c r="C13" i="1"/>
  <c r="D13" i="1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/>
  <c r="C8" i="12" s="1"/>
  <c r="C6" i="8"/>
  <c r="H6" i="8"/>
  <c r="C5" i="8"/>
  <c r="H5" i="8"/>
  <c r="C4" i="8"/>
  <c r="H4" i="8"/>
  <c r="C8" i="8"/>
  <c r="C9" i="8"/>
  <c r="C10" i="8"/>
  <c r="H13" i="8"/>
  <c r="C14" i="12" s="1"/>
  <c r="H16" i="8"/>
  <c r="C17" i="12" s="1"/>
  <c r="C3" i="8"/>
  <c r="H3" i="8"/>
  <c r="C4" i="12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7" i="7"/>
  <c r="H3" i="3"/>
  <c r="D3" i="8"/>
  <c r="O14" i="1"/>
  <c r="P14" i="1" s="1"/>
  <c r="K14" i="1"/>
  <c r="L14" i="1" s="1"/>
  <c r="G14" i="1"/>
  <c r="H14" i="1" s="1"/>
  <c r="H39" i="1" s="1"/>
  <c r="H40" i="1" s="1"/>
  <c r="O13" i="1"/>
  <c r="P13" i="1" s="1"/>
  <c r="M67" i="1" s="1"/>
  <c r="O12" i="1"/>
  <c r="P12" i="1" s="1"/>
  <c r="R60" i="1" s="1"/>
  <c r="K12" i="1"/>
  <c r="L12" i="1" s="1"/>
  <c r="D60" i="1" s="1"/>
  <c r="G13" i="1"/>
  <c r="H13" i="1" s="1"/>
  <c r="H43" i="1" s="1"/>
  <c r="G12" i="1"/>
  <c r="H12" i="1" s="1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D34" i="1" s="1"/>
  <c r="E29" i="1"/>
  <c r="R57" i="1"/>
  <c r="R58" i="1" s="1"/>
  <c r="Q57" i="1"/>
  <c r="Q58" i="1" s="1"/>
  <c r="N57" i="1"/>
  <c r="N58" i="1" s="1"/>
  <c r="M57" i="1"/>
  <c r="M58" i="1" s="1"/>
  <c r="E51" i="1"/>
  <c r="I57" i="1"/>
  <c r="I58" i="1" s="1"/>
  <c r="H57" i="1"/>
  <c r="H58" i="1" s="1"/>
  <c r="D57" i="1"/>
  <c r="D58" i="1" s="1"/>
  <c r="C57" i="1"/>
  <c r="C58" i="1" s="1"/>
  <c r="C26" i="1"/>
  <c r="C34" i="1"/>
  <c r="I34" i="1"/>
  <c r="H34" i="1"/>
  <c r="D76" i="1"/>
  <c r="H9" i="8"/>
  <c r="Q12" i="8"/>
  <c r="H8" i="8"/>
  <c r="C9" i="12" s="1"/>
  <c r="Q11" i="8"/>
  <c r="H11" i="8"/>
  <c r="C12" i="12" s="1"/>
  <c r="Q14" i="8"/>
  <c r="H10" i="8"/>
  <c r="Q13" i="8"/>
  <c r="H12" i="8"/>
  <c r="C13" i="12" s="1"/>
  <c r="Q15" i="8"/>
  <c r="H15" i="8"/>
  <c r="C16" i="12" s="1"/>
  <c r="H14" i="8"/>
  <c r="C15" i="12" s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I16" i="8"/>
  <c r="H23" i="9"/>
  <c r="H32" i="9"/>
  <c r="H14" i="9"/>
  <c r="H5" i="9"/>
  <c r="F4" i="8"/>
  <c r="F5" i="8" s="1"/>
  <c r="E4" i="3"/>
  <c r="H4" i="3" s="1"/>
  <c r="D4" i="8" s="1"/>
  <c r="E3" i="8" l="1"/>
  <c r="Q67" i="1"/>
  <c r="F6" i="8"/>
  <c r="E6" i="8" s="1"/>
  <c r="D5" i="8"/>
  <c r="C85" i="1"/>
  <c r="J23" i="3" s="1"/>
  <c r="S19" i="1"/>
  <c r="G19" i="1"/>
  <c r="G5" i="8"/>
  <c r="G6" i="8" s="1"/>
  <c r="C19" i="1"/>
  <c r="P4" i="3"/>
  <c r="J7" i="7"/>
  <c r="J8" i="7"/>
  <c r="C6" i="12"/>
  <c r="C78" i="1"/>
  <c r="C83" i="1" s="1"/>
  <c r="J21" i="3" s="1"/>
  <c r="S18" i="1"/>
  <c r="E5" i="8"/>
  <c r="C43" i="1"/>
  <c r="G18" i="1"/>
  <c r="H36" i="1"/>
  <c r="I36" i="1"/>
  <c r="K19" i="1"/>
  <c r="C67" i="1"/>
  <c r="H67" i="1"/>
  <c r="C11" i="12"/>
  <c r="D61" i="1"/>
  <c r="C66" i="1"/>
  <c r="C63" i="1"/>
  <c r="C64" i="1" s="1"/>
  <c r="H63" i="1"/>
  <c r="H64" i="1" s="1"/>
  <c r="H60" i="1"/>
  <c r="K18" i="1"/>
  <c r="I60" i="1"/>
  <c r="C60" i="1"/>
  <c r="M64" i="1"/>
  <c r="M63" i="1" s="1"/>
  <c r="Q64" i="1"/>
  <c r="Q63" i="1" s="1"/>
  <c r="O19" i="1"/>
  <c r="Q66" i="1"/>
  <c r="R61" i="1"/>
  <c r="C10" i="12"/>
  <c r="G7" i="8"/>
  <c r="G8" i="8" s="1"/>
  <c r="G9" i="8" s="1"/>
  <c r="G10" i="8" s="1"/>
  <c r="G11" i="8" s="1"/>
  <c r="G12" i="8" s="1"/>
  <c r="G13" i="8" s="1"/>
  <c r="G14" i="8" s="1"/>
  <c r="G15" i="8" s="1"/>
  <c r="G16" i="8" s="1"/>
  <c r="C7" i="12"/>
  <c r="M60" i="1"/>
  <c r="Q60" i="1"/>
  <c r="O18" i="1"/>
  <c r="N60" i="1"/>
  <c r="C79" i="1"/>
  <c r="E6" i="3"/>
  <c r="H6" i="3" s="1"/>
  <c r="E4" i="8"/>
  <c r="C5" i="12"/>
  <c r="D36" i="1"/>
  <c r="C36" i="1"/>
  <c r="D78" i="1"/>
  <c r="F7" i="3"/>
  <c r="F7" i="8" l="1"/>
  <c r="F8" i="8" s="1"/>
  <c r="J11" i="7"/>
  <c r="J10" i="7"/>
  <c r="J9" i="7"/>
  <c r="P5" i="3"/>
  <c r="E7" i="3" s="1"/>
  <c r="H7" i="3" s="1"/>
  <c r="C61" i="1"/>
  <c r="E61" i="1" s="1"/>
  <c r="C65" i="1"/>
  <c r="I61" i="1"/>
  <c r="H66" i="1"/>
  <c r="H42" i="1"/>
  <c r="H37" i="1"/>
  <c r="J37" i="1" s="1"/>
  <c r="C37" i="1"/>
  <c r="C41" i="1"/>
  <c r="Q65" i="1"/>
  <c r="Q61" i="1"/>
  <c r="S61" i="1" s="1"/>
  <c r="H41" i="1"/>
  <c r="I37" i="1"/>
  <c r="N61" i="1"/>
  <c r="M66" i="1"/>
  <c r="F8" i="3"/>
  <c r="C84" i="1"/>
  <c r="J22" i="3" s="1"/>
  <c r="D79" i="1"/>
  <c r="E79" i="1" s="1"/>
  <c r="C42" i="1"/>
  <c r="D37" i="1"/>
  <c r="D6" i="8"/>
  <c r="D7" i="8"/>
  <c r="M65" i="1"/>
  <c r="M61" i="1"/>
  <c r="H65" i="1"/>
  <c r="H61" i="1"/>
  <c r="E7" i="8" l="1"/>
  <c r="J15" i="7"/>
  <c r="J14" i="7"/>
  <c r="J13" i="7"/>
  <c r="J12" i="7"/>
  <c r="E10" i="3"/>
  <c r="P6" i="3"/>
  <c r="E14" i="3" s="1"/>
  <c r="E12" i="3"/>
  <c r="E9" i="3"/>
  <c r="H9" i="3" s="1"/>
  <c r="E8" i="3"/>
  <c r="E11" i="3"/>
  <c r="E37" i="1"/>
  <c r="H8" i="3"/>
  <c r="D8" i="8" s="1"/>
  <c r="E8" i="8"/>
  <c r="F9" i="8"/>
  <c r="J61" i="1"/>
  <c r="E17" i="3"/>
  <c r="F9" i="3"/>
  <c r="F10" i="3"/>
  <c r="O61" i="1"/>
  <c r="E15" i="3" l="1"/>
  <c r="E16" i="3"/>
  <c r="J19" i="7"/>
  <c r="J18" i="7"/>
  <c r="J17" i="7"/>
  <c r="J20" i="7"/>
  <c r="J16" i="7"/>
  <c r="E13" i="3"/>
  <c r="P7" i="3"/>
  <c r="J21" i="7" s="1"/>
  <c r="F11" i="3"/>
  <c r="H10" i="3"/>
  <c r="D9" i="8" s="1"/>
  <c r="E21" i="3"/>
  <c r="H21" i="3" s="1"/>
  <c r="E18" i="3"/>
  <c r="E20" i="3"/>
  <c r="H20" i="3" s="1"/>
  <c r="F10" i="8"/>
  <c r="E9" i="8"/>
  <c r="E19" i="3" l="1"/>
  <c r="H19" i="3" s="1"/>
  <c r="E22" i="3"/>
  <c r="H22" i="3" s="1"/>
  <c r="F127" i="3" s="1"/>
  <c r="E10" i="8"/>
  <c r="F11" i="8"/>
  <c r="E13" i="1"/>
  <c r="K20" i="3"/>
  <c r="E127" i="3"/>
  <c r="E14" i="1"/>
  <c r="F12" i="3"/>
  <c r="H11" i="3"/>
  <c r="I14" i="1" l="1"/>
  <c r="D127" i="3"/>
  <c r="K22" i="3"/>
  <c r="K23" i="3"/>
  <c r="F20" i="8" s="1"/>
  <c r="F61" i="8" s="1"/>
  <c r="F60" i="8" s="1"/>
  <c r="F62" i="8" s="1"/>
  <c r="C127" i="3"/>
  <c r="C25" i="3" s="1"/>
  <c r="E12" i="1"/>
  <c r="I12" i="1"/>
  <c r="I13" i="1"/>
  <c r="K21" i="3"/>
  <c r="D28" i="3" s="1"/>
  <c r="R35" i="3" s="1"/>
  <c r="D15" i="7" s="1"/>
  <c r="C28" i="3"/>
  <c r="C20" i="8"/>
  <c r="E20" i="8"/>
  <c r="E61" i="8" s="1"/>
  <c r="E60" i="8" s="1"/>
  <c r="E62" i="8" s="1"/>
  <c r="E28" i="3"/>
  <c r="F14" i="3"/>
  <c r="F13" i="3"/>
  <c r="H12" i="3"/>
  <c r="D10" i="8" s="1"/>
  <c r="F12" i="8"/>
  <c r="E11" i="8"/>
  <c r="F28" i="3" l="1"/>
  <c r="D20" i="8"/>
  <c r="F13" i="8"/>
  <c r="E12" i="8"/>
  <c r="S28" i="3"/>
  <c r="E8" i="7" s="1"/>
  <c r="S27" i="3"/>
  <c r="E7" i="7" s="1"/>
  <c r="F5" i="5"/>
  <c r="S29" i="3"/>
  <c r="E9" i="7" s="1"/>
  <c r="S30" i="3"/>
  <c r="E10" i="7" s="1"/>
  <c r="S31" i="3"/>
  <c r="E11" i="7" s="1"/>
  <c r="S32" i="3"/>
  <c r="E12" i="7" s="1"/>
  <c r="S33" i="3"/>
  <c r="E13" i="7" s="1"/>
  <c r="S34" i="3"/>
  <c r="E14" i="7" s="1"/>
  <c r="Y50" i="9"/>
  <c r="F193" i="10" s="1"/>
  <c r="Y66" i="9"/>
  <c r="F209" i="10" s="1"/>
  <c r="K70" i="9"/>
  <c r="AF52" i="9"/>
  <c r="K50" i="9"/>
  <c r="F133" i="10" s="1"/>
  <c r="R67" i="9"/>
  <c r="K69" i="9"/>
  <c r="F152" i="10" s="1"/>
  <c r="AF49" i="9"/>
  <c r="R48" i="9"/>
  <c r="F161" i="10" s="1"/>
  <c r="Y48" i="9"/>
  <c r="F191" i="10" s="1"/>
  <c r="AF51" i="9"/>
  <c r="F224" i="10" s="1"/>
  <c r="R59" i="9"/>
  <c r="K58" i="9"/>
  <c r="AF58" i="9"/>
  <c r="Y59" i="9"/>
  <c r="Y56" i="9"/>
  <c r="AF69" i="9"/>
  <c r="F242" i="10" s="1"/>
  <c r="R71" i="9"/>
  <c r="R53" i="9"/>
  <c r="AF71" i="9"/>
  <c r="K71" i="9"/>
  <c r="Y69" i="9"/>
  <c r="F212" i="10" s="1"/>
  <c r="K67" i="9"/>
  <c r="R50" i="9"/>
  <c r="F163" i="10" s="1"/>
  <c r="AF50" i="9"/>
  <c r="F223" i="10" s="1"/>
  <c r="C21" i="8"/>
  <c r="AF66" i="9"/>
  <c r="F239" i="10" s="1"/>
  <c r="C25" i="8"/>
  <c r="C24" i="8" s="1"/>
  <c r="C26" i="8" s="1"/>
  <c r="AF68" i="9"/>
  <c r="F241" i="10" s="1"/>
  <c r="R51" i="9"/>
  <c r="F164" i="10" s="1"/>
  <c r="K48" i="9"/>
  <c r="F131" i="10" s="1"/>
  <c r="Y57" i="9"/>
  <c r="AF54" i="9"/>
  <c r="F227" i="10" s="1"/>
  <c r="K59" i="9"/>
  <c r="K57" i="9"/>
  <c r="F140" i="10" s="1"/>
  <c r="R57" i="9"/>
  <c r="F170" i="10" s="1"/>
  <c r="Y68" i="9"/>
  <c r="F211" i="10" s="1"/>
  <c r="Y67" i="9"/>
  <c r="Y53" i="9"/>
  <c r="Y52" i="9"/>
  <c r="Y49" i="9"/>
  <c r="K52" i="9"/>
  <c r="AF70" i="9"/>
  <c r="R58" i="9"/>
  <c r="K54" i="9"/>
  <c r="F137" i="10" s="1"/>
  <c r="K56" i="9"/>
  <c r="F139" i="10" s="1"/>
  <c r="R61" i="9"/>
  <c r="R70" i="9"/>
  <c r="Y51" i="9"/>
  <c r="F194" i="10" s="1"/>
  <c r="R60" i="9"/>
  <c r="F173" i="10" s="1"/>
  <c r="AF67" i="9"/>
  <c r="K68" i="9"/>
  <c r="F151" i="10" s="1"/>
  <c r="Y70" i="9"/>
  <c r="Y63" i="9"/>
  <c r="AF59" i="9"/>
  <c r="Y65" i="9"/>
  <c r="F253" i="14" s="1"/>
  <c r="AF56" i="9"/>
  <c r="F229" i="10" s="1"/>
  <c r="R55" i="9"/>
  <c r="R54" i="9"/>
  <c r="F167" i="10" s="1"/>
  <c r="K49" i="9"/>
  <c r="Y71" i="9"/>
  <c r="K51" i="9"/>
  <c r="F134" i="10" s="1"/>
  <c r="R68" i="9"/>
  <c r="F181" i="10" s="1"/>
  <c r="K55" i="9"/>
  <c r="Y54" i="9"/>
  <c r="R52" i="9"/>
  <c r="R64" i="9"/>
  <c r="AF48" i="9"/>
  <c r="F221" i="10" s="1"/>
  <c r="AF64" i="9"/>
  <c r="K65" i="9"/>
  <c r="Y58" i="9"/>
  <c r="K62" i="9"/>
  <c r="F145" i="10" s="1"/>
  <c r="R66" i="9"/>
  <c r="F179" i="10" s="1"/>
  <c r="AF57" i="9"/>
  <c r="F230" i="10" s="1"/>
  <c r="R49" i="9"/>
  <c r="K66" i="9"/>
  <c r="F149" i="10" s="1"/>
  <c r="K61" i="9"/>
  <c r="R56" i="9"/>
  <c r="F169" i="10" s="1"/>
  <c r="AF53" i="9"/>
  <c r="AF55" i="9"/>
  <c r="R69" i="9"/>
  <c r="F182" i="10" s="1"/>
  <c r="Y55" i="9"/>
  <c r="K53" i="9"/>
  <c r="Y62" i="9"/>
  <c r="K60" i="9"/>
  <c r="F143" i="10" s="1"/>
  <c r="R65" i="9"/>
  <c r="K64" i="9"/>
  <c r="AF62" i="9"/>
  <c r="F235" i="10" s="1"/>
  <c r="R62" i="9"/>
  <c r="F175" i="10" s="1"/>
  <c r="AF63" i="9"/>
  <c r="F236" i="10" s="1"/>
  <c r="Y61" i="9"/>
  <c r="F229" i="14" s="1"/>
  <c r="Y64" i="9"/>
  <c r="F247" i="14" s="1"/>
  <c r="AF61" i="9"/>
  <c r="AF65" i="9"/>
  <c r="K63" i="9"/>
  <c r="F146" i="10" s="1"/>
  <c r="C37" i="8"/>
  <c r="C36" i="8" s="1"/>
  <c r="C38" i="8" s="1"/>
  <c r="AF60" i="9"/>
  <c r="F233" i="10" s="1"/>
  <c r="Y60" i="9"/>
  <c r="R63" i="9"/>
  <c r="F176" i="10" s="1"/>
  <c r="C49" i="8"/>
  <c r="C48" i="8" s="1"/>
  <c r="C50" i="8" s="1"/>
  <c r="AG51" i="9"/>
  <c r="B224" i="10" s="1"/>
  <c r="AG55" i="9"/>
  <c r="B228" i="10" s="1"/>
  <c r="L56" i="9"/>
  <c r="B139" i="10" s="1"/>
  <c r="AG70" i="9"/>
  <c r="B243" i="10" s="1"/>
  <c r="S58" i="9"/>
  <c r="Z65" i="9"/>
  <c r="B208" i="10" s="1"/>
  <c r="Z62" i="9"/>
  <c r="B205" i="10" s="1"/>
  <c r="L48" i="9"/>
  <c r="Z56" i="9"/>
  <c r="B199" i="10" s="1"/>
  <c r="Z64" i="9"/>
  <c r="B207" i="10" s="1"/>
  <c r="L53" i="9"/>
  <c r="L71" i="9"/>
  <c r="Z67" i="9"/>
  <c r="B210" i="10" s="1"/>
  <c r="Z59" i="9"/>
  <c r="B202" i="10" s="1"/>
  <c r="S61" i="9"/>
  <c r="B174" i="10" s="1"/>
  <c r="Z71" i="9"/>
  <c r="B214" i="10" s="1"/>
  <c r="S56" i="9"/>
  <c r="B169" i="10" s="1"/>
  <c r="L60" i="9"/>
  <c r="L59" i="9"/>
  <c r="S66" i="9"/>
  <c r="Z55" i="9"/>
  <c r="B198" i="10" s="1"/>
  <c r="S55" i="9"/>
  <c r="B168" i="10" s="1"/>
  <c r="L66" i="9"/>
  <c r="L69" i="9"/>
  <c r="L50" i="9"/>
  <c r="B133" i="10" s="1"/>
  <c r="Z48" i="9"/>
  <c r="S57" i="9"/>
  <c r="B170" i="10" s="1"/>
  <c r="S59" i="9"/>
  <c r="B172" i="10" s="1"/>
  <c r="AG68" i="9"/>
  <c r="B241" i="10" s="1"/>
  <c r="Z66" i="9"/>
  <c r="AG63" i="9"/>
  <c r="B236" i="10" s="1"/>
  <c r="AG71" i="9"/>
  <c r="B244" i="10" s="1"/>
  <c r="Z60" i="9"/>
  <c r="AG57" i="9"/>
  <c r="B230" i="10" s="1"/>
  <c r="AG48" i="9"/>
  <c r="S70" i="9"/>
  <c r="S69" i="9"/>
  <c r="B182" i="10" s="1"/>
  <c r="Z58" i="9"/>
  <c r="B201" i="10" s="1"/>
  <c r="AG61" i="9"/>
  <c r="B234" i="10" s="1"/>
  <c r="S51" i="9"/>
  <c r="B164" i="10" s="1"/>
  <c r="S62" i="9"/>
  <c r="B175" i="10" s="1"/>
  <c r="L63" i="9"/>
  <c r="L51" i="9"/>
  <c r="Z54" i="9"/>
  <c r="L49" i="9"/>
  <c r="B132" i="10" s="1"/>
  <c r="L70" i="9"/>
  <c r="B153" i="10" s="1"/>
  <c r="S68" i="9"/>
  <c r="B181" i="10" s="1"/>
  <c r="S63" i="9"/>
  <c r="B176" i="10" s="1"/>
  <c r="AG64" i="9"/>
  <c r="B237" i="10" s="1"/>
  <c r="Z52" i="9"/>
  <c r="B195" i="10" s="1"/>
  <c r="S54" i="9"/>
  <c r="S71" i="9"/>
  <c r="B184" i="10" s="1"/>
  <c r="L68" i="9"/>
  <c r="B151" i="10" s="1"/>
  <c r="D25" i="8"/>
  <c r="D24" i="8" s="1"/>
  <c r="D26" i="8" s="1"/>
  <c r="L62" i="9"/>
  <c r="B145" i="10" s="1"/>
  <c r="S50" i="9"/>
  <c r="B163" i="10" s="1"/>
  <c r="Z57" i="9"/>
  <c r="B200" i="10" s="1"/>
  <c r="L58" i="9"/>
  <c r="B141" i="10" s="1"/>
  <c r="AG69" i="9"/>
  <c r="B242" i="10" s="1"/>
  <c r="Z69" i="9"/>
  <c r="B212" i="10" s="1"/>
  <c r="S48" i="9"/>
  <c r="D21" i="8"/>
  <c r="AG59" i="9"/>
  <c r="B232" i="10" s="1"/>
  <c r="L65" i="9"/>
  <c r="S53" i="9"/>
  <c r="B166" i="10" s="1"/>
  <c r="AG50" i="9"/>
  <c r="B223" i="10" s="1"/>
  <c r="S67" i="9"/>
  <c r="B180" i="10" s="1"/>
  <c r="Z68" i="9"/>
  <c r="B211" i="10" s="1"/>
  <c r="AG58" i="9"/>
  <c r="B231" i="10" s="1"/>
  <c r="Z70" i="9"/>
  <c r="B213" i="10" s="1"/>
  <c r="AG49" i="9"/>
  <c r="B222" i="10" s="1"/>
  <c r="S49" i="9"/>
  <c r="B162" i="10" s="1"/>
  <c r="L54" i="9"/>
  <c r="AG62" i="9"/>
  <c r="B235" i="10" s="1"/>
  <c r="AG67" i="9"/>
  <c r="B240" i="10" s="1"/>
  <c r="S60" i="9"/>
  <c r="Z53" i="9"/>
  <c r="B196" i="10" s="1"/>
  <c r="S52" i="9"/>
  <c r="AG66" i="9"/>
  <c r="Z50" i="9"/>
  <c r="B193" i="10" s="1"/>
  <c r="L52" i="9"/>
  <c r="B135" i="10" s="1"/>
  <c r="Z63" i="9"/>
  <c r="B206" i="10" s="1"/>
  <c r="L57" i="9"/>
  <c r="AG52" i="9"/>
  <c r="B225" i="10" s="1"/>
  <c r="S64" i="9"/>
  <c r="AG53" i="9"/>
  <c r="B226" i="10" s="1"/>
  <c r="AG56" i="9"/>
  <c r="B229" i="10" s="1"/>
  <c r="Z51" i="9"/>
  <c r="B194" i="10" s="1"/>
  <c r="L55" i="9"/>
  <c r="B138" i="10" s="1"/>
  <c r="S65" i="9"/>
  <c r="B178" i="10" s="1"/>
  <c r="L67" i="9"/>
  <c r="B150" i="10" s="1"/>
  <c r="AG65" i="9"/>
  <c r="B238" i="10" s="1"/>
  <c r="D37" i="8"/>
  <c r="D36" i="8" s="1"/>
  <c r="D38" i="8" s="1"/>
  <c r="AG54" i="9"/>
  <c r="AG60" i="9"/>
  <c r="Z49" i="9"/>
  <c r="B192" i="10" s="1"/>
  <c r="Z61" i="9"/>
  <c r="B204" i="10" s="1"/>
  <c r="L64" i="9"/>
  <c r="B147" i="10" s="1"/>
  <c r="L61" i="9"/>
  <c r="B144" i="10" s="1"/>
  <c r="D49" i="8"/>
  <c r="D48" i="8" s="1"/>
  <c r="D50" i="8" s="1"/>
  <c r="S35" i="3"/>
  <c r="E15" i="7" s="1"/>
  <c r="M60" i="9"/>
  <c r="AH60" i="9"/>
  <c r="E21" i="8"/>
  <c r="AH48" i="9"/>
  <c r="T65" i="9"/>
  <c r="AA64" i="9"/>
  <c r="C207" i="10" s="1"/>
  <c r="AA66" i="9"/>
  <c r="M65" i="9"/>
  <c r="C148" i="10" s="1"/>
  <c r="AH63" i="9"/>
  <c r="C236" i="10" s="1"/>
  <c r="M59" i="9"/>
  <c r="C142" i="10" s="1"/>
  <c r="AA57" i="9"/>
  <c r="C200" i="10" s="1"/>
  <c r="AH58" i="9"/>
  <c r="T57" i="9"/>
  <c r="AH57" i="9"/>
  <c r="C230" i="10" s="1"/>
  <c r="M58" i="9"/>
  <c r="AH53" i="9"/>
  <c r="C226" i="10" s="1"/>
  <c r="AA67" i="9"/>
  <c r="C210" i="10" s="1"/>
  <c r="M66" i="9"/>
  <c r="AH51" i="9"/>
  <c r="C224" i="10" s="1"/>
  <c r="AA59" i="9"/>
  <c r="C202" i="10" s="1"/>
  <c r="T71" i="9"/>
  <c r="T49" i="9"/>
  <c r="C162" i="10" s="1"/>
  <c r="AH62" i="9"/>
  <c r="C235" i="10" s="1"/>
  <c r="AA61" i="9"/>
  <c r="C204" i="10" s="1"/>
  <c r="AA53" i="9"/>
  <c r="C196" i="10" s="1"/>
  <c r="AH67" i="9"/>
  <c r="C240" i="10" s="1"/>
  <c r="T52" i="9"/>
  <c r="C165" i="10" s="1"/>
  <c r="AH69" i="9"/>
  <c r="C242" i="10" s="1"/>
  <c r="AH66" i="9"/>
  <c r="M49" i="9"/>
  <c r="C132" i="10" s="1"/>
  <c r="AH50" i="9"/>
  <c r="C223" i="10" s="1"/>
  <c r="E25" i="8"/>
  <c r="E24" i="8" s="1"/>
  <c r="E26" i="8" s="1"/>
  <c r="AA50" i="9"/>
  <c r="C193" i="10" s="1"/>
  <c r="M68" i="9"/>
  <c r="C151" i="10" s="1"/>
  <c r="M57" i="9"/>
  <c r="C140" i="10" s="1"/>
  <c r="T58" i="9"/>
  <c r="C171" i="10" s="1"/>
  <c r="AH56" i="9"/>
  <c r="C229" i="10" s="1"/>
  <c r="M56" i="9"/>
  <c r="C139" i="10" s="1"/>
  <c r="AA70" i="9"/>
  <c r="C213" i="10" s="1"/>
  <c r="T48" i="9"/>
  <c r="AA62" i="9"/>
  <c r="C205" i="10" s="1"/>
  <c r="AA60" i="9"/>
  <c r="AH70" i="9"/>
  <c r="M61" i="9"/>
  <c r="C144" i="10" s="1"/>
  <c r="AH71" i="9"/>
  <c r="C244" i="10" s="1"/>
  <c r="T64" i="9"/>
  <c r="C177" i="10" s="1"/>
  <c r="AA54" i="9"/>
  <c r="AH55" i="9"/>
  <c r="C228" i="10" s="1"/>
  <c r="M55" i="9"/>
  <c r="C138" i="10" s="1"/>
  <c r="AA68" i="9"/>
  <c r="C211" i="10" s="1"/>
  <c r="T60" i="9"/>
  <c r="T70" i="9"/>
  <c r="C183" i="10" s="1"/>
  <c r="AA58" i="9"/>
  <c r="C201" i="10" s="1"/>
  <c r="AH65" i="9"/>
  <c r="C238" i="10" s="1"/>
  <c r="M48" i="9"/>
  <c r="M69" i="9"/>
  <c r="C152" i="10" s="1"/>
  <c r="T50" i="9"/>
  <c r="C163" i="10" s="1"/>
  <c r="M53" i="9"/>
  <c r="C136" i="10" s="1"/>
  <c r="T61" i="9"/>
  <c r="C174" i="10" s="1"/>
  <c r="AA49" i="9"/>
  <c r="C192" i="10" s="1"/>
  <c r="AA63" i="9"/>
  <c r="C206" i="10" s="1"/>
  <c r="T62" i="9"/>
  <c r="C175" i="10" s="1"/>
  <c r="T56" i="9"/>
  <c r="C169" i="10" s="1"/>
  <c r="AH59" i="9"/>
  <c r="C232" i="10" s="1"/>
  <c r="T66" i="9"/>
  <c r="AH61" i="9"/>
  <c r="C234" i="10" s="1"/>
  <c r="T69" i="9"/>
  <c r="AA55" i="9"/>
  <c r="C198" i="10" s="1"/>
  <c r="T67" i="9"/>
  <c r="C180" i="10" s="1"/>
  <c r="M62" i="9"/>
  <c r="C145" i="10" s="1"/>
  <c r="AA69" i="9"/>
  <c r="C212" i="10" s="1"/>
  <c r="T59" i="9"/>
  <c r="E37" i="8"/>
  <c r="E36" i="8" s="1"/>
  <c r="E38" i="8" s="1"/>
  <c r="AA51" i="9"/>
  <c r="C194" i="10" s="1"/>
  <c r="AA48" i="9"/>
  <c r="T53" i="9"/>
  <c r="M71" i="9"/>
  <c r="C154" i="10" s="1"/>
  <c r="AA71" i="9"/>
  <c r="C214" i="10" s="1"/>
  <c r="AH68" i="9"/>
  <c r="C241" i="10" s="1"/>
  <c r="T63" i="9"/>
  <c r="AH49" i="9"/>
  <c r="C222" i="10" s="1"/>
  <c r="AH52" i="9"/>
  <c r="AH54" i="9"/>
  <c r="AH64" i="9"/>
  <c r="T68" i="9"/>
  <c r="C181" i="10" s="1"/>
  <c r="M64" i="9"/>
  <c r="T55" i="9"/>
  <c r="C168" i="10" s="1"/>
  <c r="M50" i="9"/>
  <c r="C133" i="10" s="1"/>
  <c r="M54" i="9"/>
  <c r="M70" i="9"/>
  <c r="M67" i="9"/>
  <c r="C150" i="10" s="1"/>
  <c r="AA65" i="9"/>
  <c r="C208" i="10" s="1"/>
  <c r="M52" i="9"/>
  <c r="M63" i="9"/>
  <c r="C146" i="10" s="1"/>
  <c r="M51" i="9"/>
  <c r="C134" i="10" s="1"/>
  <c r="AA56" i="9"/>
  <c r="C199" i="10" s="1"/>
  <c r="AA52" i="9"/>
  <c r="C195" i="10" s="1"/>
  <c r="T54" i="9"/>
  <c r="T51" i="9"/>
  <c r="E49" i="8"/>
  <c r="E48" i="8" s="1"/>
  <c r="E50" i="8" s="1"/>
  <c r="Q28" i="3"/>
  <c r="C8" i="7" s="1"/>
  <c r="Q27" i="3"/>
  <c r="C7" i="7" s="1"/>
  <c r="C98" i="3"/>
  <c r="D5" i="5"/>
  <c r="C113" i="3"/>
  <c r="C39" i="3"/>
  <c r="D16" i="5" s="1"/>
  <c r="J16" i="5" s="1"/>
  <c r="C83" i="3"/>
  <c r="C64" i="3"/>
  <c r="D41" i="5" s="1"/>
  <c r="J41" i="5" s="1"/>
  <c r="C81" i="3"/>
  <c r="C36" i="3"/>
  <c r="D13" i="5" s="1"/>
  <c r="J13" i="5" s="1"/>
  <c r="C72" i="3"/>
  <c r="D49" i="5" s="1"/>
  <c r="J49" i="5" s="1"/>
  <c r="C122" i="3"/>
  <c r="C112" i="3"/>
  <c r="C93" i="3"/>
  <c r="C31" i="3"/>
  <c r="D8" i="5" s="1"/>
  <c r="C74" i="3"/>
  <c r="D51" i="5" s="1"/>
  <c r="J51" i="5" s="1"/>
  <c r="C87" i="3"/>
  <c r="C80" i="3"/>
  <c r="C49" i="3"/>
  <c r="D26" i="5" s="1"/>
  <c r="J26" i="5" s="1"/>
  <c r="C108" i="3"/>
  <c r="C43" i="3"/>
  <c r="D20" i="5" s="1"/>
  <c r="J20" i="5" s="1"/>
  <c r="C97" i="3"/>
  <c r="C66" i="3"/>
  <c r="D43" i="5" s="1"/>
  <c r="J43" i="5" s="1"/>
  <c r="C124" i="3"/>
  <c r="C75" i="3"/>
  <c r="D52" i="5" s="1"/>
  <c r="J52" i="5" s="1"/>
  <c r="C30" i="3"/>
  <c r="D7" i="5" s="1"/>
  <c r="C120" i="3"/>
  <c r="C50" i="3"/>
  <c r="D27" i="5" s="1"/>
  <c r="J27" i="5" s="1"/>
  <c r="C102" i="3"/>
  <c r="C68" i="3"/>
  <c r="D45" i="5" s="1"/>
  <c r="J45" i="5" s="1"/>
  <c r="C101" i="3"/>
  <c r="C119" i="3"/>
  <c r="C121" i="3"/>
  <c r="C106" i="3"/>
  <c r="C70" i="3"/>
  <c r="D47" i="5" s="1"/>
  <c r="J47" i="5" s="1"/>
  <c r="C45" i="3"/>
  <c r="D22" i="5" s="1"/>
  <c r="J22" i="5" s="1"/>
  <c r="C79" i="3"/>
  <c r="C63" i="3"/>
  <c r="D40" i="5" s="1"/>
  <c r="J40" i="5" s="1"/>
  <c r="C105" i="3"/>
  <c r="C118" i="3"/>
  <c r="C52" i="3"/>
  <c r="D29" i="5" s="1"/>
  <c r="J29" i="5" s="1"/>
  <c r="C57" i="3"/>
  <c r="D34" i="5" s="1"/>
  <c r="J34" i="5" s="1"/>
  <c r="C59" i="3"/>
  <c r="D36" i="5" s="1"/>
  <c r="J36" i="5" s="1"/>
  <c r="C117" i="3"/>
  <c r="C100" i="3"/>
  <c r="C89" i="3"/>
  <c r="C32" i="3"/>
  <c r="D9" i="5" s="1"/>
  <c r="J9" i="5" s="1"/>
  <c r="C62" i="3"/>
  <c r="D39" i="5" s="1"/>
  <c r="J39" i="5" s="1"/>
  <c r="C48" i="3"/>
  <c r="D25" i="5" s="1"/>
  <c r="J25" i="5" s="1"/>
  <c r="C90" i="3"/>
  <c r="C126" i="3"/>
  <c r="C73" i="3"/>
  <c r="D50" i="5" s="1"/>
  <c r="J50" i="5" s="1"/>
  <c r="C41" i="3"/>
  <c r="D18" i="5" s="1"/>
  <c r="J18" i="5" s="1"/>
  <c r="C47" i="3"/>
  <c r="D24" i="5" s="1"/>
  <c r="J24" i="5" s="1"/>
  <c r="C51" i="3"/>
  <c r="D28" i="5" s="1"/>
  <c r="J28" i="5" s="1"/>
  <c r="C78" i="3"/>
  <c r="C110" i="3"/>
  <c r="C88" i="3"/>
  <c r="C96" i="3"/>
  <c r="C95" i="3"/>
  <c r="C114" i="3"/>
  <c r="C29" i="3"/>
  <c r="D6" i="5" s="1"/>
  <c r="C77" i="3"/>
  <c r="D54" i="5" s="1"/>
  <c r="J54" i="5" s="1"/>
  <c r="C55" i="3"/>
  <c r="D32" i="5" s="1"/>
  <c r="J32" i="5" s="1"/>
  <c r="C125" i="3"/>
  <c r="C92" i="3"/>
  <c r="C38" i="3"/>
  <c r="D15" i="5" s="1"/>
  <c r="J15" i="5" s="1"/>
  <c r="C116" i="3"/>
  <c r="C67" i="3"/>
  <c r="D44" i="5" s="1"/>
  <c r="J44" i="5" s="1"/>
  <c r="C82" i="3"/>
  <c r="C40" i="3"/>
  <c r="D17" i="5" s="1"/>
  <c r="J17" i="5" s="1"/>
  <c r="C69" i="3"/>
  <c r="D46" i="5" s="1"/>
  <c r="J46" i="5" s="1"/>
  <c r="C91" i="3"/>
  <c r="C33" i="3"/>
  <c r="D10" i="5" s="1"/>
  <c r="J10" i="5" s="1"/>
  <c r="C115" i="3"/>
  <c r="C53" i="3"/>
  <c r="D30" i="5" s="1"/>
  <c r="J30" i="5" s="1"/>
  <c r="C44" i="3"/>
  <c r="D21" i="5" s="1"/>
  <c r="J21" i="5" s="1"/>
  <c r="C123" i="3"/>
  <c r="C35" i="3"/>
  <c r="D12" i="5" s="1"/>
  <c r="J12" i="5" s="1"/>
  <c r="C86" i="3"/>
  <c r="C54" i="3"/>
  <c r="D31" i="5" s="1"/>
  <c r="J31" i="5" s="1"/>
  <c r="C103" i="3"/>
  <c r="C76" i="3"/>
  <c r="D53" i="5" s="1"/>
  <c r="J53" i="5" s="1"/>
  <c r="C60" i="3"/>
  <c r="D37" i="5" s="1"/>
  <c r="J37" i="5" s="1"/>
  <c r="C104" i="3"/>
  <c r="C34" i="3"/>
  <c r="D11" i="5" s="1"/>
  <c r="J11" i="5" s="1"/>
  <c r="C65" i="3"/>
  <c r="D42" i="5" s="1"/>
  <c r="J42" i="5" s="1"/>
  <c r="C71" i="3"/>
  <c r="D48" i="5" s="1"/>
  <c r="J48" i="5" s="1"/>
  <c r="C56" i="3"/>
  <c r="D33" i="5" s="1"/>
  <c r="J33" i="5" s="1"/>
  <c r="C61" i="3"/>
  <c r="D38" i="5" s="1"/>
  <c r="J38" i="5" s="1"/>
  <c r="C84" i="3"/>
  <c r="C99" i="3"/>
  <c r="C94" i="3"/>
  <c r="C107" i="3"/>
  <c r="C109" i="3"/>
  <c r="C42" i="3"/>
  <c r="D19" i="5" s="1"/>
  <c r="J19" i="5" s="1"/>
  <c r="C58" i="3"/>
  <c r="D35" i="5" s="1"/>
  <c r="J35" i="5" s="1"/>
  <c r="C85" i="3"/>
  <c r="C46" i="3"/>
  <c r="D23" i="5" s="1"/>
  <c r="J23" i="5" s="1"/>
  <c r="C111" i="3"/>
  <c r="C37" i="3"/>
  <c r="D14" i="5" s="1"/>
  <c r="J14" i="5" s="1"/>
  <c r="Q29" i="3"/>
  <c r="C9" i="7" s="1"/>
  <c r="Q30" i="3"/>
  <c r="C10" i="7" s="1"/>
  <c r="Q31" i="3"/>
  <c r="C11" i="7" s="1"/>
  <c r="Q33" i="3"/>
  <c r="C13" i="7" s="1"/>
  <c r="Q32" i="3"/>
  <c r="C12" i="7" s="1"/>
  <c r="Q34" i="3"/>
  <c r="C14" i="7" s="1"/>
  <c r="R28" i="3"/>
  <c r="D8" i="7" s="1"/>
  <c r="R27" i="3"/>
  <c r="D7" i="7" s="1"/>
  <c r="E5" i="5"/>
  <c r="R29" i="3"/>
  <c r="D9" i="7" s="1"/>
  <c r="R30" i="3"/>
  <c r="D10" i="7" s="1"/>
  <c r="R31" i="3"/>
  <c r="D11" i="7" s="1"/>
  <c r="R33" i="3"/>
  <c r="D13" i="7" s="1"/>
  <c r="R32" i="3"/>
  <c r="D12" i="7" s="1"/>
  <c r="R34" i="3"/>
  <c r="D14" i="7" s="1"/>
  <c r="F63" i="8"/>
  <c r="F64" i="8" s="1"/>
  <c r="F65" i="8" s="1"/>
  <c r="F66" i="8" s="1"/>
  <c r="F67" i="8" s="1"/>
  <c r="F68" i="8" s="1"/>
  <c r="F69" i="8" s="1"/>
  <c r="F70" i="8" s="1"/>
  <c r="AI31" i="9"/>
  <c r="E117" i="10" s="1"/>
  <c r="AB28" i="9"/>
  <c r="E84" i="10" s="1"/>
  <c r="N30" i="9"/>
  <c r="U30" i="9"/>
  <c r="N27" i="9"/>
  <c r="E23" i="10" s="1"/>
  <c r="AB31" i="9"/>
  <c r="E87" i="10" s="1"/>
  <c r="U29" i="9"/>
  <c r="AB30" i="9"/>
  <c r="U28" i="9"/>
  <c r="E54" i="10" s="1"/>
  <c r="AI29" i="9"/>
  <c r="N29" i="9"/>
  <c r="U31" i="9"/>
  <c r="E57" i="10" s="1"/>
  <c r="AI28" i="9"/>
  <c r="E114" i="10" s="1"/>
  <c r="N31" i="9"/>
  <c r="E27" i="10" s="1"/>
  <c r="AI30" i="9"/>
  <c r="U27" i="9"/>
  <c r="E53" i="10" s="1"/>
  <c r="N28" i="9"/>
  <c r="E24" i="10" s="1"/>
  <c r="AB32" i="9"/>
  <c r="N32" i="9"/>
  <c r="E28" i="10" s="1"/>
  <c r="AB29" i="9"/>
  <c r="AI27" i="9"/>
  <c r="E113" i="10" s="1"/>
  <c r="AI32" i="9"/>
  <c r="AB27" i="9"/>
  <c r="E83" i="10" s="1"/>
  <c r="U32" i="9"/>
  <c r="E58" i="10" s="1"/>
  <c r="J127" i="3"/>
  <c r="Q35" i="3"/>
  <c r="C15" i="7" s="1"/>
  <c r="N66" i="9"/>
  <c r="E149" i="10" s="1"/>
  <c r="N69" i="9"/>
  <c r="U51" i="9"/>
  <c r="U68" i="9"/>
  <c r="N48" i="9"/>
  <c r="E131" i="10" s="1"/>
  <c r="N52" i="9"/>
  <c r="E135" i="10" s="1"/>
  <c r="U66" i="9"/>
  <c r="E179" i="10" s="1"/>
  <c r="AB53" i="9"/>
  <c r="AI51" i="9"/>
  <c r="U70" i="9"/>
  <c r="E183" i="10" s="1"/>
  <c r="AB68" i="9"/>
  <c r="AI66" i="9"/>
  <c r="E239" i="10" s="1"/>
  <c r="AB48" i="9"/>
  <c r="E191" i="10" s="1"/>
  <c r="N55" i="9"/>
  <c r="E138" i="10" s="1"/>
  <c r="N59" i="9"/>
  <c r="E142" i="10" s="1"/>
  <c r="U59" i="9"/>
  <c r="E172" i="10" s="1"/>
  <c r="AI71" i="9"/>
  <c r="N70" i="9"/>
  <c r="E153" i="10" s="1"/>
  <c r="AB67" i="9"/>
  <c r="E210" i="10" s="1"/>
  <c r="AB52" i="9"/>
  <c r="E195" i="10" s="1"/>
  <c r="AB51" i="9"/>
  <c r="F21" i="8"/>
  <c r="U48" i="9"/>
  <c r="E161" i="10" s="1"/>
  <c r="AI49" i="9"/>
  <c r="E222" i="10" s="1"/>
  <c r="AI70" i="9"/>
  <c r="E243" i="10" s="1"/>
  <c r="N68" i="9"/>
  <c r="AI55" i="9"/>
  <c r="E228" i="10" s="1"/>
  <c r="U58" i="9"/>
  <c r="E171" i="10" s="1"/>
  <c r="AB69" i="9"/>
  <c r="N53" i="9"/>
  <c r="E136" i="10" s="1"/>
  <c r="AB50" i="9"/>
  <c r="N51" i="9"/>
  <c r="AB70" i="9"/>
  <c r="E213" i="10" s="1"/>
  <c r="U50" i="9"/>
  <c r="N67" i="9"/>
  <c r="E150" i="10" s="1"/>
  <c r="U67" i="9"/>
  <c r="E180" i="10" s="1"/>
  <c r="AB65" i="9"/>
  <c r="E253" i="14" s="1"/>
  <c r="AB58" i="9"/>
  <c r="AB59" i="9"/>
  <c r="AB56" i="9"/>
  <c r="AI58" i="9"/>
  <c r="E231" i="10" s="1"/>
  <c r="N56" i="9"/>
  <c r="N49" i="9"/>
  <c r="E132" i="10" s="1"/>
  <c r="U69" i="9"/>
  <c r="AB71" i="9"/>
  <c r="AI52" i="9"/>
  <c r="E225" i="10" s="1"/>
  <c r="U52" i="9"/>
  <c r="E165" i="10" s="1"/>
  <c r="AI50" i="9"/>
  <c r="N61" i="9"/>
  <c r="E144" i="10" s="1"/>
  <c r="AB49" i="9"/>
  <c r="E192" i="10" s="1"/>
  <c r="N58" i="9"/>
  <c r="E141" i="10" s="1"/>
  <c r="AB57" i="9"/>
  <c r="AB55" i="9"/>
  <c r="U57" i="9"/>
  <c r="U56" i="9"/>
  <c r="AI56" i="9"/>
  <c r="AB60" i="9"/>
  <c r="AI48" i="9"/>
  <c r="E221" i="10" s="1"/>
  <c r="AI67" i="9"/>
  <c r="E240" i="10" s="1"/>
  <c r="AI64" i="9"/>
  <c r="E237" i="10" s="1"/>
  <c r="N57" i="9"/>
  <c r="N54" i="9"/>
  <c r="E137" i="10" s="1"/>
  <c r="U63" i="9"/>
  <c r="U62" i="9"/>
  <c r="N71" i="9"/>
  <c r="E154" i="10" s="1"/>
  <c r="AI68" i="9"/>
  <c r="N50" i="9"/>
  <c r="U55" i="9"/>
  <c r="E168" i="10" s="1"/>
  <c r="AI54" i="9"/>
  <c r="E227" i="10" s="1"/>
  <c r="U53" i="9"/>
  <c r="E166" i="10" s="1"/>
  <c r="U71" i="9"/>
  <c r="E184" i="10" s="1"/>
  <c r="U49" i="9"/>
  <c r="E162" i="10" s="1"/>
  <c r="AI57" i="9"/>
  <c r="AB66" i="9"/>
  <c r="E209" i="10" s="1"/>
  <c r="N63" i="9"/>
  <c r="U54" i="9"/>
  <c r="E167" i="10" s="1"/>
  <c r="F25" i="8"/>
  <c r="F24" i="8" s="1"/>
  <c r="F26" i="8" s="1"/>
  <c r="AB54" i="9"/>
  <c r="AI53" i="9"/>
  <c r="F37" i="8"/>
  <c r="F36" i="8" s="1"/>
  <c r="F38" i="8" s="1"/>
  <c r="AI59" i="9"/>
  <c r="AI69" i="9"/>
  <c r="AB61" i="9"/>
  <c r="U61" i="9"/>
  <c r="E174" i="10" s="1"/>
  <c r="AI61" i="9"/>
  <c r="E234" i="10" s="1"/>
  <c r="AB64" i="9"/>
  <c r="AI60" i="9"/>
  <c r="E233" i="10" s="1"/>
  <c r="U64" i="9"/>
  <c r="E177" i="10" s="1"/>
  <c r="AB62" i="9"/>
  <c r="E235" i="14" s="1"/>
  <c r="U65" i="9"/>
  <c r="E178" i="10" s="1"/>
  <c r="N65" i="9"/>
  <c r="E148" i="10" s="1"/>
  <c r="U60" i="9"/>
  <c r="E173" i="10" s="1"/>
  <c r="N64" i="9"/>
  <c r="E147" i="10" s="1"/>
  <c r="AI62" i="9"/>
  <c r="N62" i="9"/>
  <c r="AI63" i="9"/>
  <c r="AB63" i="9"/>
  <c r="E241" i="14" s="1"/>
  <c r="N60" i="9"/>
  <c r="E143" i="10" s="1"/>
  <c r="AI65" i="9"/>
  <c r="F49" i="8"/>
  <c r="F48" i="8" s="1"/>
  <c r="F50" i="8" s="1"/>
  <c r="K127" i="3"/>
  <c r="E25" i="3"/>
  <c r="E96" i="3" s="1"/>
  <c r="AH29" i="9"/>
  <c r="C115" i="10" s="1"/>
  <c r="AA29" i="9"/>
  <c r="C85" i="10" s="1"/>
  <c r="AH30" i="9"/>
  <c r="C116" i="10" s="1"/>
  <c r="T30" i="9"/>
  <c r="M28" i="9"/>
  <c r="C24" i="10" s="1"/>
  <c r="AA30" i="9"/>
  <c r="C86" i="10" s="1"/>
  <c r="T29" i="9"/>
  <c r="C55" i="10" s="1"/>
  <c r="AA32" i="9"/>
  <c r="C88" i="10" s="1"/>
  <c r="AA28" i="9"/>
  <c r="C84" i="10" s="1"/>
  <c r="AH32" i="9"/>
  <c r="C118" i="10" s="1"/>
  <c r="T28" i="9"/>
  <c r="C54" i="10" s="1"/>
  <c r="M30" i="9"/>
  <c r="C26" i="10" s="1"/>
  <c r="AH31" i="9"/>
  <c r="M31" i="9"/>
  <c r="M32" i="9"/>
  <c r="C28" i="10" s="1"/>
  <c r="AH28" i="9"/>
  <c r="C114" i="10" s="1"/>
  <c r="AH27" i="9"/>
  <c r="M27" i="9"/>
  <c r="T32" i="9"/>
  <c r="T27" i="9"/>
  <c r="T31" i="9"/>
  <c r="C57" i="10" s="1"/>
  <c r="M29" i="9"/>
  <c r="C25" i="10" s="1"/>
  <c r="AA27" i="9"/>
  <c r="AA31" i="9"/>
  <c r="C87" i="10" s="1"/>
  <c r="E63" i="8"/>
  <c r="E64" i="8" s="1"/>
  <c r="E65" i="8" s="1"/>
  <c r="E66" i="8" s="1"/>
  <c r="E67" i="8" s="1"/>
  <c r="E68" i="8" s="1"/>
  <c r="E69" i="8" s="1"/>
  <c r="E70" i="8" s="1"/>
  <c r="F15" i="3"/>
  <c r="H13" i="3"/>
  <c r="C61" i="8"/>
  <c r="C60" i="8" s="1"/>
  <c r="C62" i="8" s="1"/>
  <c r="D61" i="8"/>
  <c r="D60" i="8" s="1"/>
  <c r="D62" i="8" s="1"/>
  <c r="F16" i="3"/>
  <c r="H14" i="3"/>
  <c r="T27" i="3"/>
  <c r="G7" i="7" s="1"/>
  <c r="T28" i="3"/>
  <c r="G8" i="7" s="1"/>
  <c r="T29" i="3"/>
  <c r="G9" i="7" s="1"/>
  <c r="H5" i="5"/>
  <c r="T30" i="3"/>
  <c r="G10" i="7" s="1"/>
  <c r="T31" i="3"/>
  <c r="G11" i="7" s="1"/>
  <c r="T33" i="3"/>
  <c r="G13" i="7" s="1"/>
  <c r="T32" i="3"/>
  <c r="G12" i="7" s="1"/>
  <c r="T34" i="3"/>
  <c r="G14" i="7" s="1"/>
  <c r="D25" i="3"/>
  <c r="D123" i="3" s="1"/>
  <c r="L127" i="3"/>
  <c r="AC4" i="16" l="1"/>
  <c r="AC7" i="16"/>
  <c r="AA7" i="16"/>
  <c r="AP8" i="16" s="1"/>
  <c r="AA4" i="16"/>
  <c r="AB7" i="16"/>
  <c r="AB4" i="16"/>
  <c r="J5" i="5"/>
  <c r="Z4" i="16"/>
  <c r="Z7" i="16"/>
  <c r="Z25" i="16"/>
  <c r="Z21" i="16"/>
  <c r="Z18" i="16"/>
  <c r="Z12" i="16"/>
  <c r="Z9" i="16"/>
  <c r="Z11" i="16"/>
  <c r="J6" i="5"/>
  <c r="Z14" i="16"/>
  <c r="Z13" i="16"/>
  <c r="Z10" i="16"/>
  <c r="AO10" i="16" s="1"/>
  <c r="J7" i="5"/>
  <c r="Z29" i="16"/>
  <c r="Z15" i="16"/>
  <c r="Z17" i="16"/>
  <c r="Z16" i="16"/>
  <c r="J8" i="5"/>
  <c r="Z20" i="16"/>
  <c r="Z19" i="16"/>
  <c r="T35" i="3"/>
  <c r="G15" i="7" s="1"/>
  <c r="F25" i="3"/>
  <c r="D49" i="3"/>
  <c r="E26" i="5" s="1"/>
  <c r="D34" i="3"/>
  <c r="E11" i="5" s="1"/>
  <c r="AB63" i="16" s="1"/>
  <c r="D48" i="3"/>
  <c r="E25" i="5" s="1"/>
  <c r="D116" i="3"/>
  <c r="D68" i="3"/>
  <c r="E45" i="5" s="1"/>
  <c r="D95" i="3"/>
  <c r="D63" i="3"/>
  <c r="E40" i="5" s="1"/>
  <c r="D75" i="3"/>
  <c r="E52" i="5" s="1"/>
  <c r="D86" i="3"/>
  <c r="D42" i="3"/>
  <c r="E19" i="5" s="1"/>
  <c r="D59" i="3"/>
  <c r="E36" i="5" s="1"/>
  <c r="D32" i="3"/>
  <c r="E9" i="5" s="1"/>
  <c r="AB28" i="16" s="1"/>
  <c r="D82" i="3"/>
  <c r="D100" i="3"/>
  <c r="D94" i="3"/>
  <c r="D101" i="3"/>
  <c r="D90" i="3"/>
  <c r="D84" i="3"/>
  <c r="D50" i="3"/>
  <c r="E27" i="5" s="1"/>
  <c r="D121" i="3"/>
  <c r="D67" i="3"/>
  <c r="E44" i="5" s="1"/>
  <c r="D70" i="3"/>
  <c r="E47" i="5" s="1"/>
  <c r="D78" i="3"/>
  <c r="D52" i="3"/>
  <c r="E29" i="5" s="1"/>
  <c r="D114" i="3"/>
  <c r="D69" i="3"/>
  <c r="E46" i="5" s="1"/>
  <c r="D64" i="3"/>
  <c r="E41" i="5" s="1"/>
  <c r="D110" i="3"/>
  <c r="D76" i="3"/>
  <c r="E53" i="5" s="1"/>
  <c r="D107" i="3"/>
  <c r="D113" i="3"/>
  <c r="D31" i="3"/>
  <c r="E8" i="5" s="1"/>
  <c r="D44" i="3"/>
  <c r="E21" i="5" s="1"/>
  <c r="D120" i="3"/>
  <c r="D73" i="3"/>
  <c r="E50" i="5" s="1"/>
  <c r="D83" i="3"/>
  <c r="D99" i="3"/>
  <c r="F162" i="10"/>
  <c r="F299" i="14"/>
  <c r="F174" i="10"/>
  <c r="F301" i="14"/>
  <c r="D126" i="3"/>
  <c r="D92" i="3"/>
  <c r="D98" i="3"/>
  <c r="D61" i="3"/>
  <c r="E38" i="5" s="1"/>
  <c r="D102" i="3"/>
  <c r="D36" i="3"/>
  <c r="E13" i="5" s="1"/>
  <c r="D91" i="3"/>
  <c r="D79" i="3"/>
  <c r="D80" i="3"/>
  <c r="D47" i="3"/>
  <c r="E24" i="5" s="1"/>
  <c r="D115" i="3"/>
  <c r="D111" i="3"/>
  <c r="F168" i="10"/>
  <c r="F300" i="14"/>
  <c r="F180" i="10"/>
  <c r="F302" i="14"/>
  <c r="S30" i="9"/>
  <c r="B56" i="10" s="1"/>
  <c r="Z28" i="9"/>
  <c r="B84" i="10" s="1"/>
  <c r="L30" i="9"/>
  <c r="Z27" i="9"/>
  <c r="Z30" i="9"/>
  <c r="B86" i="10" s="1"/>
  <c r="D63" i="8"/>
  <c r="D64" i="8" s="1"/>
  <c r="D65" i="8" s="1"/>
  <c r="D66" i="8" s="1"/>
  <c r="D67" i="8" s="1"/>
  <c r="D68" i="8" s="1"/>
  <c r="D69" i="8" s="1"/>
  <c r="D70" i="8" s="1"/>
  <c r="AG32" i="9"/>
  <c r="B118" i="10" s="1"/>
  <c r="AG29" i="9"/>
  <c r="B115" i="10" s="1"/>
  <c r="AG27" i="9"/>
  <c r="L32" i="9"/>
  <c r="AG31" i="9"/>
  <c r="B117" i="10" s="1"/>
  <c r="S29" i="9"/>
  <c r="B55" i="10" s="1"/>
  <c r="S32" i="9"/>
  <c r="B58" i="10" s="1"/>
  <c r="L29" i="9"/>
  <c r="B25" i="10" s="1"/>
  <c r="AG28" i="9"/>
  <c r="B114" i="10" s="1"/>
  <c r="L28" i="9"/>
  <c r="B24" i="10" s="1"/>
  <c r="Z29" i="9"/>
  <c r="B85" i="10" s="1"/>
  <c r="Z31" i="9"/>
  <c r="B87" i="10" s="1"/>
  <c r="AG30" i="9"/>
  <c r="B116" i="10" s="1"/>
  <c r="S28" i="9"/>
  <c r="B54" i="10" s="1"/>
  <c r="S31" i="9"/>
  <c r="Z32" i="9"/>
  <c r="B88" i="10" s="1"/>
  <c r="L31" i="9"/>
  <c r="B27" i="10" s="1"/>
  <c r="S27" i="9"/>
  <c r="L27" i="9"/>
  <c r="C23" i="10"/>
  <c r="C115" i="14"/>
  <c r="E350" i="14"/>
  <c r="E242" i="10"/>
  <c r="E197" i="10"/>
  <c r="E203" i="10"/>
  <c r="E170" i="10"/>
  <c r="E312" i="14"/>
  <c r="E270" i="14"/>
  <c r="E139" i="10"/>
  <c r="E163" i="10"/>
  <c r="E305" i="14"/>
  <c r="E151" i="10"/>
  <c r="E272" i="14"/>
  <c r="E152" i="10"/>
  <c r="E278" i="14"/>
  <c r="E85" i="10"/>
  <c r="E91" i="14"/>
  <c r="E205" i="14"/>
  <c r="E116" i="10"/>
  <c r="E25" i="10"/>
  <c r="E127" i="14"/>
  <c r="Z54" i="16"/>
  <c r="Z40" i="16"/>
  <c r="Z64" i="16"/>
  <c r="Z69" i="16"/>
  <c r="Z44" i="16"/>
  <c r="Z53" i="16"/>
  <c r="Z63" i="16"/>
  <c r="Z39" i="16"/>
  <c r="Z49" i="16"/>
  <c r="Z38" i="16"/>
  <c r="Z48" i="16"/>
  <c r="Z71" i="16"/>
  <c r="Z80" i="16"/>
  <c r="C294" i="14"/>
  <c r="C167" i="10"/>
  <c r="C284" i="14"/>
  <c r="C153" i="10"/>
  <c r="C225" i="10"/>
  <c r="C353" i="14"/>
  <c r="C149" i="10"/>
  <c r="C260" i="14"/>
  <c r="C233" i="10"/>
  <c r="C331" i="14"/>
  <c r="B331" i="14"/>
  <c r="B233" i="10"/>
  <c r="B140" i="10"/>
  <c r="B276" i="14"/>
  <c r="B329" i="14"/>
  <c r="B221" i="10"/>
  <c r="B288" i="14"/>
  <c r="B142" i="10"/>
  <c r="F147" i="10"/>
  <c r="E283" i="14"/>
  <c r="F226" i="10"/>
  <c r="F359" i="14"/>
  <c r="F246" i="14"/>
  <c r="F201" i="10"/>
  <c r="F207" i="10"/>
  <c r="F177" i="10"/>
  <c r="F319" i="14"/>
  <c r="F338" i="14"/>
  <c r="F240" i="10"/>
  <c r="F243" i="10"/>
  <c r="F356" i="14"/>
  <c r="F196" i="10"/>
  <c r="F251" i="14"/>
  <c r="F266" i="14"/>
  <c r="F150" i="10"/>
  <c r="F153" i="10"/>
  <c r="E284" i="14"/>
  <c r="E36" i="3"/>
  <c r="F13" i="5" s="1"/>
  <c r="E115" i="3"/>
  <c r="E78" i="3"/>
  <c r="E88" i="3"/>
  <c r="E42" i="3"/>
  <c r="F19" i="5" s="1"/>
  <c r="E122" i="3"/>
  <c r="E91" i="3"/>
  <c r="E101" i="3"/>
  <c r="L31" i="3"/>
  <c r="L37" i="3"/>
  <c r="L42" i="3"/>
  <c r="L47" i="3"/>
  <c r="L53" i="3"/>
  <c r="L58" i="3"/>
  <c r="L63" i="3"/>
  <c r="L69" i="3"/>
  <c r="L74" i="3"/>
  <c r="L32" i="3"/>
  <c r="L30" i="3"/>
  <c r="L35" i="3"/>
  <c r="L41" i="3"/>
  <c r="L46" i="3"/>
  <c r="L51" i="3"/>
  <c r="L38" i="3"/>
  <c r="L49" i="3"/>
  <c r="L57" i="3"/>
  <c r="L65" i="3"/>
  <c r="L71" i="3"/>
  <c r="L78" i="3"/>
  <c r="L83" i="3"/>
  <c r="L89" i="3"/>
  <c r="L94" i="3"/>
  <c r="L99" i="3"/>
  <c r="L105" i="3"/>
  <c r="L110" i="3"/>
  <c r="L115" i="3"/>
  <c r="L121" i="3"/>
  <c r="L126" i="3"/>
  <c r="L29" i="3"/>
  <c r="L39" i="3"/>
  <c r="L50" i="3"/>
  <c r="L59" i="3"/>
  <c r="L66" i="3"/>
  <c r="L73" i="3"/>
  <c r="L79" i="3"/>
  <c r="L85" i="3"/>
  <c r="L90" i="3"/>
  <c r="L95" i="3"/>
  <c r="L101" i="3"/>
  <c r="L106" i="3"/>
  <c r="L111" i="3"/>
  <c r="L117" i="3"/>
  <c r="L122" i="3"/>
  <c r="L33" i="3"/>
  <c r="L54" i="3"/>
  <c r="L67" i="3"/>
  <c r="L81" i="3"/>
  <c r="L91" i="3"/>
  <c r="L102" i="3"/>
  <c r="L113" i="3"/>
  <c r="L123" i="3"/>
  <c r="L45" i="3"/>
  <c r="L62" i="3"/>
  <c r="L77" i="3"/>
  <c r="L87" i="3"/>
  <c r="L98" i="3"/>
  <c r="L109" i="3"/>
  <c r="L119" i="3"/>
  <c r="L55" i="3"/>
  <c r="L82" i="3"/>
  <c r="L103" i="3"/>
  <c r="L125" i="3"/>
  <c r="L61" i="3"/>
  <c r="L86" i="3"/>
  <c r="L107" i="3"/>
  <c r="L112" i="3"/>
  <c r="L96" i="3"/>
  <c r="L80" i="3"/>
  <c r="L64" i="3"/>
  <c r="L48" i="3"/>
  <c r="L70" i="3"/>
  <c r="L114" i="3"/>
  <c r="L116" i="3"/>
  <c r="L92" i="3"/>
  <c r="L72" i="3"/>
  <c r="L52" i="3"/>
  <c r="L43" i="3"/>
  <c r="L97" i="3"/>
  <c r="L120" i="3"/>
  <c r="L100" i="3"/>
  <c r="L76" i="3"/>
  <c r="L56" i="3"/>
  <c r="L36" i="3"/>
  <c r="L75" i="3"/>
  <c r="L108" i="3"/>
  <c r="L68" i="3"/>
  <c r="L93" i="3"/>
  <c r="L104" i="3"/>
  <c r="L60" i="3"/>
  <c r="L34" i="3"/>
  <c r="L84" i="3"/>
  <c r="L118" i="3"/>
  <c r="L44" i="3"/>
  <c r="L124" i="3"/>
  <c r="L88" i="3"/>
  <c r="L40" i="3"/>
  <c r="AC6" i="16"/>
  <c r="AR6" i="16" s="1"/>
  <c r="AR8" i="16"/>
  <c r="AC3" i="16"/>
  <c r="AR3" i="16" s="1"/>
  <c r="AC8" i="16"/>
  <c r="AR7" i="16" s="1"/>
  <c r="AR4" i="16"/>
  <c r="C187" i="14"/>
  <c r="C113" i="10"/>
  <c r="AB7" i="9"/>
  <c r="E69" i="10" s="1"/>
  <c r="AI7" i="9"/>
  <c r="E99" i="10" s="1"/>
  <c r="N8" i="9"/>
  <c r="E10" i="10" s="1"/>
  <c r="U3" i="9"/>
  <c r="E35" i="10" s="1"/>
  <c r="AI6" i="9"/>
  <c r="AB6" i="9"/>
  <c r="F27" i="8"/>
  <c r="F28" i="8" s="1"/>
  <c r="F29" i="8" s="1"/>
  <c r="F30" i="8" s="1"/>
  <c r="F31" i="8" s="1"/>
  <c r="F32" i="8" s="1"/>
  <c r="F33" i="8" s="1"/>
  <c r="F34" i="8" s="1"/>
  <c r="AB3" i="9"/>
  <c r="E65" i="10" s="1"/>
  <c r="AI8" i="9"/>
  <c r="N4" i="9"/>
  <c r="E6" i="10" s="1"/>
  <c r="AB8" i="9"/>
  <c r="N3" i="9"/>
  <c r="E5" i="10" s="1"/>
  <c r="U5" i="9"/>
  <c r="U8" i="9"/>
  <c r="E40" i="10" s="1"/>
  <c r="N6" i="9"/>
  <c r="AI3" i="9"/>
  <c r="E95" i="10" s="1"/>
  <c r="AB4" i="9"/>
  <c r="E66" i="10" s="1"/>
  <c r="U4" i="9"/>
  <c r="E36" i="10" s="1"/>
  <c r="U7" i="9"/>
  <c r="E39" i="10" s="1"/>
  <c r="AI5" i="9"/>
  <c r="N7" i="9"/>
  <c r="E9" i="10" s="1"/>
  <c r="N5" i="9"/>
  <c r="U6" i="9"/>
  <c r="AB5" i="9"/>
  <c r="AI4" i="9"/>
  <c r="E96" i="10" s="1"/>
  <c r="E276" i="14"/>
  <c r="E140" i="10"/>
  <c r="E199" i="14"/>
  <c r="E115" i="10"/>
  <c r="AB41" i="16"/>
  <c r="AA41" i="16"/>
  <c r="AB32" i="16"/>
  <c r="AB64" i="16"/>
  <c r="AA69" i="16"/>
  <c r="AB54" i="16"/>
  <c r="AB38" i="16"/>
  <c r="AA39" i="16"/>
  <c r="AA64" i="16"/>
  <c r="AA54" i="16"/>
  <c r="C137" i="10"/>
  <c r="C258" i="14"/>
  <c r="AA11" i="9"/>
  <c r="T12" i="9"/>
  <c r="C42" i="10" s="1"/>
  <c r="AA15" i="9"/>
  <c r="C75" i="10" s="1"/>
  <c r="M15" i="9"/>
  <c r="AA16" i="9"/>
  <c r="C76" i="10" s="1"/>
  <c r="AH12" i="9"/>
  <c r="C102" i="10" s="1"/>
  <c r="M11" i="9"/>
  <c r="T14" i="9"/>
  <c r="AA12" i="9"/>
  <c r="C72" i="10" s="1"/>
  <c r="AH16" i="9"/>
  <c r="C106" i="10" s="1"/>
  <c r="M13" i="9"/>
  <c r="C13" i="10" s="1"/>
  <c r="T11" i="9"/>
  <c r="AH14" i="9"/>
  <c r="C104" i="10" s="1"/>
  <c r="AH15" i="9"/>
  <c r="T15" i="9"/>
  <c r="C45" i="10" s="1"/>
  <c r="AA13" i="9"/>
  <c r="C73" i="10" s="1"/>
  <c r="AA14" i="9"/>
  <c r="C74" i="10" s="1"/>
  <c r="AH11" i="9"/>
  <c r="E39" i="8"/>
  <c r="E40" i="8" s="1"/>
  <c r="E41" i="8" s="1"/>
  <c r="E42" i="8" s="1"/>
  <c r="E43" i="8" s="1"/>
  <c r="E44" i="8" s="1"/>
  <c r="E45" i="8" s="1"/>
  <c r="E46" i="8" s="1"/>
  <c r="T13" i="9"/>
  <c r="C43" i="10" s="1"/>
  <c r="M14" i="9"/>
  <c r="C14" i="10" s="1"/>
  <c r="M12" i="9"/>
  <c r="C12" i="10" s="1"/>
  <c r="T16" i="9"/>
  <c r="AH13" i="9"/>
  <c r="C103" i="10" s="1"/>
  <c r="M16" i="9"/>
  <c r="C16" i="10" s="1"/>
  <c r="C296" i="14"/>
  <c r="C179" i="10"/>
  <c r="C239" i="10"/>
  <c r="C332" i="14"/>
  <c r="B227" i="10"/>
  <c r="B330" i="14"/>
  <c r="S3" i="9"/>
  <c r="Z6" i="9"/>
  <c r="B68" i="10" s="1"/>
  <c r="Z7" i="9"/>
  <c r="B69" i="10" s="1"/>
  <c r="S6" i="9"/>
  <c r="B38" i="10" s="1"/>
  <c r="D27" i="8"/>
  <c r="D28" i="8" s="1"/>
  <c r="D29" i="8" s="1"/>
  <c r="D30" i="8" s="1"/>
  <c r="D31" i="8" s="1"/>
  <c r="D32" i="8" s="1"/>
  <c r="D33" i="8" s="1"/>
  <c r="D34" i="8" s="1"/>
  <c r="S4" i="9"/>
  <c r="B36" i="10" s="1"/>
  <c r="S7" i="9"/>
  <c r="L4" i="9"/>
  <c r="B6" i="10" s="1"/>
  <c r="L5" i="9"/>
  <c r="B7" i="10" s="1"/>
  <c r="AG8" i="9"/>
  <c r="B100" i="10" s="1"/>
  <c r="L3" i="9"/>
  <c r="AG5" i="9"/>
  <c r="B97" i="10" s="1"/>
  <c r="L7" i="9"/>
  <c r="B9" i="10" s="1"/>
  <c r="L6" i="9"/>
  <c r="Z4" i="9"/>
  <c r="B66" i="10" s="1"/>
  <c r="S8" i="9"/>
  <c r="B40" i="10" s="1"/>
  <c r="Z5" i="9"/>
  <c r="B67" i="10" s="1"/>
  <c r="AG4" i="9"/>
  <c r="B96" i="10" s="1"/>
  <c r="AG6" i="9"/>
  <c r="B98" i="10" s="1"/>
  <c r="Z3" i="9"/>
  <c r="AG7" i="9"/>
  <c r="B99" i="10" s="1"/>
  <c r="S5" i="9"/>
  <c r="B37" i="10" s="1"/>
  <c r="Z8" i="9"/>
  <c r="B70" i="10" s="1"/>
  <c r="L8" i="9"/>
  <c r="AG3" i="9"/>
  <c r="B209" i="10"/>
  <c r="B224" i="14"/>
  <c r="F198" i="10"/>
  <c r="F204" i="10"/>
  <c r="F228" i="14"/>
  <c r="F317" i="14"/>
  <c r="F165" i="10"/>
  <c r="F135" i="10"/>
  <c r="E281" i="14"/>
  <c r="F230" i="14"/>
  <c r="F210" i="10"/>
  <c r="F142" i="10"/>
  <c r="F288" i="14"/>
  <c r="R45" i="9"/>
  <c r="F158" i="10" s="1"/>
  <c r="R43" i="9"/>
  <c r="F298" i="14" s="1"/>
  <c r="R47" i="9"/>
  <c r="Y46" i="9"/>
  <c r="AF44" i="9"/>
  <c r="F217" i="10" s="1"/>
  <c r="R46" i="9"/>
  <c r="K46" i="9"/>
  <c r="K47" i="9"/>
  <c r="K44" i="9"/>
  <c r="F127" i="10" s="1"/>
  <c r="R42" i="9"/>
  <c r="F155" i="10" s="1"/>
  <c r="Y45" i="9"/>
  <c r="F188" i="10" s="1"/>
  <c r="AF43" i="9"/>
  <c r="AF47" i="9"/>
  <c r="AF45" i="9"/>
  <c r="F218" i="10" s="1"/>
  <c r="Y42" i="9"/>
  <c r="F185" i="10" s="1"/>
  <c r="AF42" i="9"/>
  <c r="F215" i="10" s="1"/>
  <c r="K43" i="9"/>
  <c r="Y43" i="9"/>
  <c r="K45" i="9"/>
  <c r="F128" i="10" s="1"/>
  <c r="AF46" i="9"/>
  <c r="R44" i="9"/>
  <c r="F157" i="10" s="1"/>
  <c r="K42" i="9"/>
  <c r="F125" i="10" s="1"/>
  <c r="Y47" i="9"/>
  <c r="Y44" i="9"/>
  <c r="F187" i="10" s="1"/>
  <c r="F184" i="10"/>
  <c r="F326" i="14"/>
  <c r="F354" i="14"/>
  <c r="F231" i="10"/>
  <c r="E119" i="3"/>
  <c r="E74" i="3"/>
  <c r="F51" i="5" s="1"/>
  <c r="E71" i="3"/>
  <c r="F48" i="5" s="1"/>
  <c r="E117" i="3"/>
  <c r="E89" i="3"/>
  <c r="E57" i="3"/>
  <c r="F34" i="5" s="1"/>
  <c r="E113" i="3"/>
  <c r="E60" i="3"/>
  <c r="F37" i="5" s="1"/>
  <c r="E86" i="3"/>
  <c r="E59" i="3"/>
  <c r="F36" i="5" s="1"/>
  <c r="E58" i="3"/>
  <c r="F35" i="5" s="1"/>
  <c r="E111" i="3"/>
  <c r="E124" i="3"/>
  <c r="E82" i="3"/>
  <c r="E94" i="3"/>
  <c r="E37" i="3"/>
  <c r="F14" i="5" s="1"/>
  <c r="E34" i="3"/>
  <c r="F11" i="5" s="1"/>
  <c r="E110" i="3"/>
  <c r="E83" i="3"/>
  <c r="E76" i="3"/>
  <c r="F53" i="5" s="1"/>
  <c r="E67" i="3"/>
  <c r="F44" i="5" s="1"/>
  <c r="E79" i="3"/>
  <c r="E49" i="3"/>
  <c r="F26" i="5" s="1"/>
  <c r="E51" i="3"/>
  <c r="F28" i="5" s="1"/>
  <c r="E118" i="3"/>
  <c r="D12" i="8"/>
  <c r="D11" i="8"/>
  <c r="C83" i="10"/>
  <c r="C79" i="14"/>
  <c r="C151" i="14"/>
  <c r="C53" i="10"/>
  <c r="C211" i="14"/>
  <c r="C117" i="10"/>
  <c r="C169" i="14"/>
  <c r="C56" i="10"/>
  <c r="AB21" i="9"/>
  <c r="AI23" i="9"/>
  <c r="E111" i="10" s="1"/>
  <c r="U24" i="9"/>
  <c r="E52" i="10" s="1"/>
  <c r="AI22" i="9"/>
  <c r="AI21" i="9"/>
  <c r="AI19" i="9"/>
  <c r="E107" i="10" s="1"/>
  <c r="N19" i="9"/>
  <c r="E17" i="10" s="1"/>
  <c r="AI24" i="9"/>
  <c r="U20" i="9"/>
  <c r="E48" i="10" s="1"/>
  <c r="N21" i="9"/>
  <c r="AB20" i="9"/>
  <c r="E78" i="10" s="1"/>
  <c r="U23" i="9"/>
  <c r="E51" i="10" s="1"/>
  <c r="AI20" i="9"/>
  <c r="E108" i="10" s="1"/>
  <c r="AB19" i="9"/>
  <c r="E77" i="10" s="1"/>
  <c r="AB24" i="9"/>
  <c r="F51" i="8"/>
  <c r="F52" i="8" s="1"/>
  <c r="F53" i="8" s="1"/>
  <c r="F54" i="8" s="1"/>
  <c r="F55" i="8" s="1"/>
  <c r="F56" i="8" s="1"/>
  <c r="F57" i="8" s="1"/>
  <c r="F58" i="8" s="1"/>
  <c r="AB22" i="9"/>
  <c r="N24" i="9"/>
  <c r="E22" i="10" s="1"/>
  <c r="U19" i="9"/>
  <c r="E47" i="10" s="1"/>
  <c r="N20" i="9"/>
  <c r="E18" i="10" s="1"/>
  <c r="U22" i="9"/>
  <c r="AB23" i="9"/>
  <c r="E81" i="10" s="1"/>
  <c r="N22" i="9"/>
  <c r="N23" i="9"/>
  <c r="E21" i="10" s="1"/>
  <c r="U21" i="9"/>
  <c r="E236" i="10"/>
  <c r="E349" i="14"/>
  <c r="N14" i="9"/>
  <c r="AB15" i="9"/>
  <c r="E75" i="10" s="1"/>
  <c r="AI14" i="9"/>
  <c r="AB12" i="9"/>
  <c r="E72" i="10" s="1"/>
  <c r="U13" i="9"/>
  <c r="AB11" i="9"/>
  <c r="E71" i="10" s="1"/>
  <c r="AI13" i="9"/>
  <c r="U14" i="9"/>
  <c r="N11" i="9"/>
  <c r="E11" i="10" s="1"/>
  <c r="U15" i="9"/>
  <c r="E45" i="10" s="1"/>
  <c r="AI15" i="9"/>
  <c r="E105" i="10" s="1"/>
  <c r="AB14" i="9"/>
  <c r="AB16" i="9"/>
  <c r="N13" i="9"/>
  <c r="AI16" i="9"/>
  <c r="U16" i="9"/>
  <c r="E46" i="10" s="1"/>
  <c r="AI11" i="9"/>
  <c r="E101" i="10" s="1"/>
  <c r="N15" i="9"/>
  <c r="E15" i="10" s="1"/>
  <c r="N12" i="9"/>
  <c r="E12" i="10" s="1"/>
  <c r="AB13" i="9"/>
  <c r="AI12" i="9"/>
  <c r="E102" i="10" s="1"/>
  <c r="N16" i="9"/>
  <c r="E16" i="10" s="1"/>
  <c r="F39" i="8"/>
  <c r="F40" i="8" s="1"/>
  <c r="F41" i="8" s="1"/>
  <c r="F42" i="8" s="1"/>
  <c r="F43" i="8" s="1"/>
  <c r="F44" i="8" s="1"/>
  <c r="F45" i="8" s="1"/>
  <c r="F46" i="8" s="1"/>
  <c r="U11" i="9"/>
  <c r="E41" i="10" s="1"/>
  <c r="U12" i="9"/>
  <c r="E42" i="10" s="1"/>
  <c r="E175" i="10"/>
  <c r="E307" i="14"/>
  <c r="E229" i="10"/>
  <c r="E342" i="14"/>
  <c r="E240" i="14"/>
  <c r="E206" i="10"/>
  <c r="E200" i="10"/>
  <c r="E223" i="10"/>
  <c r="E341" i="14"/>
  <c r="E182" i="10"/>
  <c r="E314" i="14"/>
  <c r="E234" i="14"/>
  <c r="E199" i="10"/>
  <c r="E205" i="10"/>
  <c r="E275" i="14"/>
  <c r="E134" i="10"/>
  <c r="E251" i="14"/>
  <c r="E196" i="10"/>
  <c r="E181" i="10"/>
  <c r="E308" i="14"/>
  <c r="E217" i="14"/>
  <c r="E118" i="10"/>
  <c r="E163" i="14"/>
  <c r="E55" i="10"/>
  <c r="E56" i="10"/>
  <c r="E169" i="14"/>
  <c r="D54" i="3"/>
  <c r="E31" i="5" s="1"/>
  <c r="D40" i="3"/>
  <c r="E17" i="5" s="1"/>
  <c r="D29" i="3"/>
  <c r="E6" i="5" s="1"/>
  <c r="D65" i="3"/>
  <c r="E42" i="5" s="1"/>
  <c r="D104" i="3"/>
  <c r="D122" i="3"/>
  <c r="D62" i="3"/>
  <c r="E39" i="5" s="1"/>
  <c r="D118" i="3"/>
  <c r="D46" i="3"/>
  <c r="E23" i="5" s="1"/>
  <c r="D74" i="3"/>
  <c r="E51" i="5" s="1"/>
  <c r="D77" i="3"/>
  <c r="E54" i="5" s="1"/>
  <c r="D66" i="3"/>
  <c r="E43" i="5" s="1"/>
  <c r="D71" i="3"/>
  <c r="E48" i="5" s="1"/>
  <c r="D108" i="3"/>
  <c r="D87" i="3"/>
  <c r="D55" i="3"/>
  <c r="E32" i="5" s="1"/>
  <c r="D56" i="3"/>
  <c r="E33" i="5" s="1"/>
  <c r="D41" i="3"/>
  <c r="E18" i="5" s="1"/>
  <c r="D72" i="3"/>
  <c r="E49" i="5" s="1"/>
  <c r="D109" i="3"/>
  <c r="D57" i="3"/>
  <c r="E34" i="5" s="1"/>
  <c r="D53" i="3"/>
  <c r="E30" i="5" s="1"/>
  <c r="D81" i="3"/>
  <c r="D88" i="3"/>
  <c r="D117" i="3"/>
  <c r="Z33" i="16"/>
  <c r="Z50" i="16"/>
  <c r="AO50" i="16" s="1"/>
  <c r="Z8" i="16"/>
  <c r="AO7" i="16" s="1"/>
  <c r="AO8" i="16"/>
  <c r="AO11" i="16"/>
  <c r="AO4" i="16"/>
  <c r="Z6" i="16"/>
  <c r="AO6" i="16" s="1"/>
  <c r="Z3" i="16"/>
  <c r="AO3" i="16" s="1"/>
  <c r="AH22" i="9"/>
  <c r="C110" i="10" s="1"/>
  <c r="AA24" i="9"/>
  <c r="C82" i="10" s="1"/>
  <c r="T21" i="9"/>
  <c r="C49" i="10" s="1"/>
  <c r="M22" i="9"/>
  <c r="C20" i="10" s="1"/>
  <c r="M20" i="9"/>
  <c r="C18" i="10" s="1"/>
  <c r="T23" i="9"/>
  <c r="C51" i="10" s="1"/>
  <c r="AH23" i="9"/>
  <c r="AH20" i="9"/>
  <c r="C108" i="10" s="1"/>
  <c r="E51" i="8"/>
  <c r="E52" i="8" s="1"/>
  <c r="E53" i="8" s="1"/>
  <c r="E54" i="8" s="1"/>
  <c r="E55" i="8" s="1"/>
  <c r="E56" i="8" s="1"/>
  <c r="E57" i="8" s="1"/>
  <c r="E58" i="8" s="1"/>
  <c r="T24" i="9"/>
  <c r="T20" i="9"/>
  <c r="C48" i="10" s="1"/>
  <c r="AA21" i="9"/>
  <c r="C79" i="10" s="1"/>
  <c r="AA22" i="9"/>
  <c r="C80" i="10" s="1"/>
  <c r="AA20" i="9"/>
  <c r="C78" i="10" s="1"/>
  <c r="M24" i="9"/>
  <c r="C22" i="10" s="1"/>
  <c r="AH24" i="9"/>
  <c r="C112" i="10" s="1"/>
  <c r="M19" i="9"/>
  <c r="T19" i="9"/>
  <c r="AA23" i="9"/>
  <c r="C81" i="10" s="1"/>
  <c r="AH21" i="9"/>
  <c r="C109" i="10" s="1"/>
  <c r="M21" i="9"/>
  <c r="C19" i="10" s="1"/>
  <c r="AA19" i="9"/>
  <c r="T22" i="9"/>
  <c r="AH19" i="9"/>
  <c r="M23" i="9"/>
  <c r="C237" i="10"/>
  <c r="C355" i="14"/>
  <c r="C176" i="10"/>
  <c r="C313" i="14"/>
  <c r="C166" i="10"/>
  <c r="C323" i="14"/>
  <c r="C172" i="10"/>
  <c r="C324" i="14"/>
  <c r="C293" i="14"/>
  <c r="C161" i="10"/>
  <c r="T4" i="9"/>
  <c r="C36" i="10" s="1"/>
  <c r="AA4" i="9"/>
  <c r="C66" i="10" s="1"/>
  <c r="AA7" i="9"/>
  <c r="C69" i="10" s="1"/>
  <c r="T7" i="9"/>
  <c r="C39" i="10" s="1"/>
  <c r="AA3" i="9"/>
  <c r="AA6" i="9"/>
  <c r="C68" i="10" s="1"/>
  <c r="AH8" i="9"/>
  <c r="C100" i="10" s="1"/>
  <c r="M5" i="9"/>
  <c r="C7" i="10" s="1"/>
  <c r="M6" i="9"/>
  <c r="C8" i="10" s="1"/>
  <c r="AH7" i="9"/>
  <c r="AH3" i="9"/>
  <c r="AH4" i="9"/>
  <c r="C96" i="10" s="1"/>
  <c r="T3" i="9"/>
  <c r="M7" i="9"/>
  <c r="AA5" i="9"/>
  <c r="C67" i="10" s="1"/>
  <c r="AH6" i="9"/>
  <c r="C98" i="10" s="1"/>
  <c r="AH5" i="9"/>
  <c r="C97" i="10" s="1"/>
  <c r="T5" i="9"/>
  <c r="C37" i="10" s="1"/>
  <c r="E27" i="8"/>
  <c r="E28" i="8" s="1"/>
  <c r="E29" i="8" s="1"/>
  <c r="E30" i="8" s="1"/>
  <c r="E31" i="8" s="1"/>
  <c r="E32" i="8" s="1"/>
  <c r="E33" i="8" s="1"/>
  <c r="E34" i="8" s="1"/>
  <c r="AA8" i="9"/>
  <c r="C70" i="10" s="1"/>
  <c r="T6" i="9"/>
  <c r="T8" i="9"/>
  <c r="M3" i="9"/>
  <c r="M8" i="9"/>
  <c r="C10" i="10" s="1"/>
  <c r="M4" i="9"/>
  <c r="C6" i="10" s="1"/>
  <c r="C231" i="10"/>
  <c r="C354" i="14"/>
  <c r="C329" i="14"/>
  <c r="C221" i="10"/>
  <c r="Z14" i="9"/>
  <c r="B74" i="10" s="1"/>
  <c r="S13" i="9"/>
  <c r="B43" i="10" s="1"/>
  <c r="S12" i="9"/>
  <c r="B42" i="10" s="1"/>
  <c r="S14" i="9"/>
  <c r="B44" i="10" s="1"/>
  <c r="AG14" i="9"/>
  <c r="B104" i="10" s="1"/>
  <c r="Z13" i="9"/>
  <c r="B73" i="10" s="1"/>
  <c r="D39" i="8"/>
  <c r="D40" i="8" s="1"/>
  <c r="D41" i="8" s="1"/>
  <c r="D42" i="8" s="1"/>
  <c r="D43" i="8" s="1"/>
  <c r="D44" i="8" s="1"/>
  <c r="D45" i="8" s="1"/>
  <c r="D46" i="8" s="1"/>
  <c r="L15" i="9"/>
  <c r="B15" i="10" s="1"/>
  <c r="AG11" i="9"/>
  <c r="S15" i="9"/>
  <c r="AG16" i="9"/>
  <c r="B106" i="10" s="1"/>
  <c r="Z11" i="9"/>
  <c r="AG13" i="9"/>
  <c r="B103" i="10" s="1"/>
  <c r="L13" i="9"/>
  <c r="B13" i="10" s="1"/>
  <c r="AG15" i="9"/>
  <c r="B105" i="10" s="1"/>
  <c r="Z15" i="9"/>
  <c r="B75" i="10" s="1"/>
  <c r="S16" i="9"/>
  <c r="B46" i="10" s="1"/>
  <c r="S11" i="9"/>
  <c r="L12" i="9"/>
  <c r="B12" i="10" s="1"/>
  <c r="AG12" i="9"/>
  <c r="B102" i="10" s="1"/>
  <c r="Z12" i="9"/>
  <c r="B72" i="10" s="1"/>
  <c r="L14" i="9"/>
  <c r="L16" i="9"/>
  <c r="Z16" i="9"/>
  <c r="B76" i="10" s="1"/>
  <c r="L11" i="9"/>
  <c r="B319" i="14"/>
  <c r="B177" i="10"/>
  <c r="B258" i="14"/>
  <c r="B137" i="10"/>
  <c r="B293" i="14"/>
  <c r="B161" i="10"/>
  <c r="B203" i="10"/>
  <c r="B223" i="14"/>
  <c r="B171" i="10"/>
  <c r="B318" i="14"/>
  <c r="F337" i="14"/>
  <c r="F234" i="10"/>
  <c r="F265" i="14"/>
  <c r="F144" i="10"/>
  <c r="F237" i="10"/>
  <c r="F355" i="14"/>
  <c r="F203" i="10"/>
  <c r="F197" i="10"/>
  <c r="F214" i="10"/>
  <c r="F254" i="14"/>
  <c r="F213" i="10"/>
  <c r="F248" i="14"/>
  <c r="F192" i="10"/>
  <c r="F227" i="14"/>
  <c r="F154" i="10"/>
  <c r="F290" i="14"/>
  <c r="E282" i="14"/>
  <c r="F141" i="10"/>
  <c r="E99" i="3"/>
  <c r="E72" i="3"/>
  <c r="F49" i="5" s="1"/>
  <c r="E114" i="3"/>
  <c r="E35" i="3"/>
  <c r="F12" i="5" s="1"/>
  <c r="E55" i="3"/>
  <c r="F32" i="5" s="1"/>
  <c r="E81" i="3"/>
  <c r="E126" i="3"/>
  <c r="E107" i="3"/>
  <c r="E64" i="3"/>
  <c r="F41" i="5" s="1"/>
  <c r="E66" i="3"/>
  <c r="F43" i="5" s="1"/>
  <c r="E109" i="3"/>
  <c r="E85" i="3"/>
  <c r="E38" i="3"/>
  <c r="F15" i="5" s="1"/>
  <c r="E77" i="3"/>
  <c r="F54" i="5" s="1"/>
  <c r="E53" i="3"/>
  <c r="F30" i="5" s="1"/>
  <c r="E120" i="3"/>
  <c r="E90" i="3"/>
  <c r="E62" i="3"/>
  <c r="F39" i="5" s="1"/>
  <c r="E69" i="3"/>
  <c r="F46" i="5" s="1"/>
  <c r="E61" i="3"/>
  <c r="F38" i="5" s="1"/>
  <c r="E29" i="3"/>
  <c r="F6" i="5" s="1"/>
  <c r="E65" i="3"/>
  <c r="F42" i="5" s="1"/>
  <c r="E32" i="3"/>
  <c r="F9" i="5" s="1"/>
  <c r="E50" i="3"/>
  <c r="F27" i="5" s="1"/>
  <c r="E93" i="3"/>
  <c r="E343" i="14"/>
  <c r="E235" i="10"/>
  <c r="E241" i="10"/>
  <c r="E344" i="14"/>
  <c r="E201" i="10"/>
  <c r="E207" i="10"/>
  <c r="U43" i="9"/>
  <c r="E156" i="10" s="1"/>
  <c r="U44" i="9"/>
  <c r="AI46" i="9"/>
  <c r="E219" i="10" s="1"/>
  <c r="U47" i="9"/>
  <c r="E160" i="10" s="1"/>
  <c r="AB46" i="9"/>
  <c r="E189" i="10" s="1"/>
  <c r="AB42" i="9"/>
  <c r="E185" i="10" s="1"/>
  <c r="AB45" i="9"/>
  <c r="U46" i="9"/>
  <c r="E159" i="10" s="1"/>
  <c r="AB44" i="9"/>
  <c r="N43" i="9"/>
  <c r="E126" i="10" s="1"/>
  <c r="N44" i="9"/>
  <c r="U45" i="9"/>
  <c r="AI43" i="9"/>
  <c r="E216" i="10" s="1"/>
  <c r="AI47" i="9"/>
  <c r="N42" i="9"/>
  <c r="E125" i="10" s="1"/>
  <c r="AI44" i="9"/>
  <c r="AB43" i="9"/>
  <c r="E186" i="10" s="1"/>
  <c r="AI45" i="9"/>
  <c r="N45" i="9"/>
  <c r="N47" i="9"/>
  <c r="E130" i="10" s="1"/>
  <c r="AB47" i="9"/>
  <c r="AI42" i="9"/>
  <c r="E215" i="10" s="1"/>
  <c r="U42" i="9"/>
  <c r="E155" i="10" s="1"/>
  <c r="N46" i="9"/>
  <c r="E129" i="10" s="1"/>
  <c r="E88" i="10"/>
  <c r="E109" i="14"/>
  <c r="AB68" i="16"/>
  <c r="AB52" i="16"/>
  <c r="AA68" i="16"/>
  <c r="AB70" i="16"/>
  <c r="AQ70" i="16" s="1"/>
  <c r="AA70" i="16"/>
  <c r="AP70" i="16" s="1"/>
  <c r="AB51" i="16"/>
  <c r="Z31" i="16"/>
  <c r="Z58" i="16"/>
  <c r="Z36" i="16"/>
  <c r="Z30" i="16"/>
  <c r="Z59" i="16"/>
  <c r="Z27" i="16"/>
  <c r="Z26" i="16"/>
  <c r="Z45" i="16"/>
  <c r="Z35" i="16"/>
  <c r="Z34" i="16"/>
  <c r="AO13" i="16"/>
  <c r="AO14" i="16"/>
  <c r="Z37" i="16"/>
  <c r="AO12" i="16"/>
  <c r="AO9" i="16"/>
  <c r="Z55" i="16"/>
  <c r="AO55" i="16" s="1"/>
  <c r="Z60" i="16"/>
  <c r="AO60" i="16" s="1"/>
  <c r="Z70" i="16"/>
  <c r="AO70" i="16" s="1"/>
  <c r="Z51" i="16"/>
  <c r="Z62" i="16"/>
  <c r="Z67" i="16"/>
  <c r="Z61" i="16"/>
  <c r="Z68" i="16"/>
  <c r="Z52" i="16"/>
  <c r="C283" i="14"/>
  <c r="C147" i="10"/>
  <c r="C203" i="10"/>
  <c r="C223" i="14"/>
  <c r="B239" i="10"/>
  <c r="B332" i="14"/>
  <c r="B294" i="14"/>
  <c r="B167" i="10"/>
  <c r="B275" i="14"/>
  <c r="B134" i="10"/>
  <c r="B149" i="10"/>
  <c r="B260" i="14"/>
  <c r="B136" i="10"/>
  <c r="B287" i="14"/>
  <c r="F287" i="14"/>
  <c r="F136" i="10"/>
  <c r="F232" i="10"/>
  <c r="F360" i="14"/>
  <c r="F166" i="10"/>
  <c r="F323" i="14"/>
  <c r="F208" i="10"/>
  <c r="F202" i="10"/>
  <c r="F252" i="14"/>
  <c r="E33" i="3"/>
  <c r="F10" i="5" s="1"/>
  <c r="E105" i="3"/>
  <c r="E103" i="3"/>
  <c r="E30" i="3"/>
  <c r="F7" i="5" s="1"/>
  <c r="E98" i="3"/>
  <c r="E87" i="3"/>
  <c r="E45" i="3"/>
  <c r="F22" i="5" s="1"/>
  <c r="E104" i="3"/>
  <c r="E47" i="3"/>
  <c r="F24" i="5" s="1"/>
  <c r="E84" i="3"/>
  <c r="E68" i="3"/>
  <c r="F45" i="5" s="1"/>
  <c r="E106" i="3"/>
  <c r="E100" i="3"/>
  <c r="E116" i="3"/>
  <c r="E112" i="3"/>
  <c r="E95" i="3"/>
  <c r="AF29" i="9"/>
  <c r="F115" i="10" s="1"/>
  <c r="K27" i="9"/>
  <c r="F23" i="10" s="1"/>
  <c r="Y29" i="9"/>
  <c r="F85" i="10" s="1"/>
  <c r="Y27" i="9"/>
  <c r="F83" i="10" s="1"/>
  <c r="AF32" i="9"/>
  <c r="AF28" i="9"/>
  <c r="K31" i="9"/>
  <c r="R30" i="9"/>
  <c r="F56" i="10" s="1"/>
  <c r="AF31" i="9"/>
  <c r="Y31" i="9"/>
  <c r="K30" i="9"/>
  <c r="F26" i="10" s="1"/>
  <c r="C63" i="8"/>
  <c r="C64" i="8" s="1"/>
  <c r="C65" i="8" s="1"/>
  <c r="C66" i="8" s="1"/>
  <c r="C67" i="8" s="1"/>
  <c r="C68" i="8" s="1"/>
  <c r="C69" i="8" s="1"/>
  <c r="C70" i="8" s="1"/>
  <c r="R27" i="9"/>
  <c r="F53" i="10" s="1"/>
  <c r="R28" i="9"/>
  <c r="K29" i="9"/>
  <c r="F25" i="10" s="1"/>
  <c r="AF27" i="9"/>
  <c r="F113" i="10" s="1"/>
  <c r="AF30" i="9"/>
  <c r="F116" i="10" s="1"/>
  <c r="Y28" i="9"/>
  <c r="R29" i="9"/>
  <c r="F55" i="10" s="1"/>
  <c r="K32" i="9"/>
  <c r="R32" i="9"/>
  <c r="Y30" i="9"/>
  <c r="F86" i="10" s="1"/>
  <c r="K28" i="9"/>
  <c r="Y32" i="9"/>
  <c r="R31" i="9"/>
  <c r="C139" i="14"/>
  <c r="C27" i="10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1" i="3"/>
  <c r="K99" i="3"/>
  <c r="K114" i="3"/>
  <c r="K104" i="3"/>
  <c r="K113" i="3"/>
  <c r="K125" i="3"/>
  <c r="K96" i="3"/>
  <c r="K126" i="3"/>
  <c r="K115" i="3"/>
  <c r="K102" i="3"/>
  <c r="K29" i="3"/>
  <c r="K35" i="3"/>
  <c r="K40" i="3"/>
  <c r="K45" i="3"/>
  <c r="K51" i="3"/>
  <c r="K56" i="3"/>
  <c r="K61" i="3"/>
  <c r="K67" i="3"/>
  <c r="K72" i="3"/>
  <c r="K77" i="3"/>
  <c r="K83" i="3"/>
  <c r="K88" i="3"/>
  <c r="K97" i="3"/>
  <c r="K118" i="3"/>
  <c r="K100" i="3"/>
  <c r="K122" i="3"/>
  <c r="K98" i="3"/>
  <c r="K110" i="3"/>
  <c r="K123" i="3"/>
  <c r="K33" i="3"/>
  <c r="K39" i="3"/>
  <c r="K44" i="3"/>
  <c r="K49" i="3"/>
  <c r="K55" i="3"/>
  <c r="K60" i="3"/>
  <c r="K65" i="3"/>
  <c r="K71" i="3"/>
  <c r="K76" i="3"/>
  <c r="K81" i="3"/>
  <c r="K87" i="3"/>
  <c r="K95" i="3"/>
  <c r="K109" i="3"/>
  <c r="K108" i="3"/>
  <c r="K119" i="3"/>
  <c r="K94" i="3"/>
  <c r="K106" i="3"/>
  <c r="K120" i="3"/>
  <c r="K36" i="3"/>
  <c r="K47" i="3"/>
  <c r="K57" i="3"/>
  <c r="K68" i="3"/>
  <c r="K79" i="3"/>
  <c r="K89" i="3"/>
  <c r="K121" i="3"/>
  <c r="K90" i="3"/>
  <c r="K112" i="3"/>
  <c r="K37" i="3"/>
  <c r="K48" i="3"/>
  <c r="K59" i="3"/>
  <c r="K69" i="3"/>
  <c r="K80" i="3"/>
  <c r="K93" i="3"/>
  <c r="K124" i="3"/>
  <c r="K92" i="3"/>
  <c r="K117" i="3"/>
  <c r="K32" i="3"/>
  <c r="K53" i="3"/>
  <c r="K75" i="3"/>
  <c r="K105" i="3"/>
  <c r="K107" i="3"/>
  <c r="K41" i="3"/>
  <c r="K63" i="3"/>
  <c r="K84" i="3"/>
  <c r="K111" i="3"/>
  <c r="K64" i="3"/>
  <c r="K116" i="3"/>
  <c r="K31" i="3"/>
  <c r="K73" i="3"/>
  <c r="K103" i="3"/>
  <c r="K43" i="3"/>
  <c r="K52" i="3"/>
  <c r="K85" i="3"/>
  <c r="K101" i="3"/>
  <c r="E232" i="10"/>
  <c r="E360" i="14"/>
  <c r="E230" i="10"/>
  <c r="E348" i="14"/>
  <c r="E204" i="10"/>
  <c r="E198" i="10"/>
  <c r="E214" i="10"/>
  <c r="E254" i="14"/>
  <c r="E212" i="10"/>
  <c r="E242" i="14"/>
  <c r="E194" i="10"/>
  <c r="E239" i="14"/>
  <c r="E244" i="10"/>
  <c r="E362" i="14"/>
  <c r="E347" i="14"/>
  <c r="E224" i="10"/>
  <c r="E97" i="14"/>
  <c r="E86" i="10"/>
  <c r="Z75" i="16"/>
  <c r="AO75" i="16" s="1"/>
  <c r="Z66" i="16"/>
  <c r="C281" i="14"/>
  <c r="C135" i="10"/>
  <c r="C184" i="10"/>
  <c r="C326" i="14"/>
  <c r="C312" i="14"/>
  <c r="C170" i="10"/>
  <c r="C325" i="14"/>
  <c r="C178" i="10"/>
  <c r="C259" i="14"/>
  <c r="C143" i="10"/>
  <c r="B317" i="14"/>
  <c r="B165" i="10"/>
  <c r="S43" i="9"/>
  <c r="B156" i="10" s="1"/>
  <c r="S45" i="9"/>
  <c r="B158" i="10" s="1"/>
  <c r="AG45" i="9"/>
  <c r="B218" i="10" s="1"/>
  <c r="L46" i="9"/>
  <c r="B129" i="10" s="1"/>
  <c r="L47" i="9"/>
  <c r="Z46" i="9"/>
  <c r="B189" i="10" s="1"/>
  <c r="AG44" i="9"/>
  <c r="B217" i="10" s="1"/>
  <c r="L45" i="9"/>
  <c r="Z42" i="9"/>
  <c r="S47" i="9"/>
  <c r="B160" i="10" s="1"/>
  <c r="AG46" i="9"/>
  <c r="B219" i="10" s="1"/>
  <c r="AG43" i="9"/>
  <c r="B216" i="10" s="1"/>
  <c r="Z45" i="9"/>
  <c r="B188" i="10" s="1"/>
  <c r="S42" i="9"/>
  <c r="S46" i="9"/>
  <c r="Z47" i="9"/>
  <c r="B190" i="10" s="1"/>
  <c r="L43" i="9"/>
  <c r="B126" i="10" s="1"/>
  <c r="Z43" i="9"/>
  <c r="B186" i="10" s="1"/>
  <c r="AG42" i="9"/>
  <c r="AG47" i="9"/>
  <c r="B220" i="10" s="1"/>
  <c r="L42" i="9"/>
  <c r="Z44" i="9"/>
  <c r="B187" i="10" s="1"/>
  <c r="S44" i="9"/>
  <c r="B157" i="10" s="1"/>
  <c r="L44" i="9"/>
  <c r="B127" i="10" s="1"/>
  <c r="B277" i="14"/>
  <c r="B146" i="10"/>
  <c r="B191" i="10"/>
  <c r="B221" i="14"/>
  <c r="B259" i="14"/>
  <c r="B143" i="10"/>
  <c r="F361" i="14"/>
  <c r="F238" i="10"/>
  <c r="F178" i="10"/>
  <c r="F325" i="14"/>
  <c r="F289" i="14"/>
  <c r="F148" i="10"/>
  <c r="F18" i="3"/>
  <c r="H18" i="3" s="1"/>
  <c r="D16" i="8" s="1"/>
  <c r="H16" i="3"/>
  <c r="D14" i="8" s="1"/>
  <c r="F17" i="3"/>
  <c r="H17" i="3" s="1"/>
  <c r="D15" i="8" s="1"/>
  <c r="H15" i="3"/>
  <c r="D13" i="8" s="1"/>
  <c r="C181" i="14"/>
  <c r="C58" i="10"/>
  <c r="E361" i="14"/>
  <c r="E238" i="10"/>
  <c r="E271" i="14"/>
  <c r="E145" i="10"/>
  <c r="E226" i="10"/>
  <c r="E359" i="14"/>
  <c r="E146" i="10"/>
  <c r="E277" i="14"/>
  <c r="E269" i="14"/>
  <c r="E133" i="10"/>
  <c r="E176" i="10"/>
  <c r="E313" i="14"/>
  <c r="E306" i="14"/>
  <c r="E169" i="10"/>
  <c r="E252" i="14"/>
  <c r="E202" i="10"/>
  <c r="E208" i="10"/>
  <c r="E233" i="14"/>
  <c r="E193" i="10"/>
  <c r="E236" i="14"/>
  <c r="E211" i="10"/>
  <c r="E164" i="10"/>
  <c r="E311" i="14"/>
  <c r="J64" i="3"/>
  <c r="J70" i="3"/>
  <c r="J77" i="3"/>
  <c r="J84" i="3"/>
  <c r="J91" i="3"/>
  <c r="J98" i="3"/>
  <c r="J30" i="3"/>
  <c r="J34" i="3"/>
  <c r="J38" i="3"/>
  <c r="J42" i="3"/>
  <c r="J46" i="3"/>
  <c r="J50" i="3"/>
  <c r="J54" i="3"/>
  <c r="J59" i="3"/>
  <c r="J65" i="3"/>
  <c r="J76" i="3"/>
  <c r="J85" i="3"/>
  <c r="J95" i="3"/>
  <c r="J108" i="3"/>
  <c r="J110" i="3"/>
  <c r="J117" i="3"/>
  <c r="J125" i="3"/>
  <c r="J111" i="3"/>
  <c r="J120" i="3"/>
  <c r="J66" i="3"/>
  <c r="J74" i="3"/>
  <c r="J82" i="3"/>
  <c r="J92" i="3"/>
  <c r="J101" i="3"/>
  <c r="J33" i="3"/>
  <c r="J39" i="3"/>
  <c r="J44" i="3"/>
  <c r="J49" i="3"/>
  <c r="J55" i="3"/>
  <c r="J61" i="3"/>
  <c r="J73" i="3"/>
  <c r="J87" i="3"/>
  <c r="J100" i="3"/>
  <c r="J106" i="3"/>
  <c r="J119" i="3"/>
  <c r="J109" i="3"/>
  <c r="J118" i="3"/>
  <c r="J62" i="3"/>
  <c r="J72" i="3"/>
  <c r="J80" i="3"/>
  <c r="J89" i="3"/>
  <c r="J99" i="3"/>
  <c r="J32" i="3"/>
  <c r="J37" i="3"/>
  <c r="J43" i="3"/>
  <c r="J48" i="3"/>
  <c r="J53" i="3"/>
  <c r="J60" i="3"/>
  <c r="J71" i="3"/>
  <c r="J83" i="3"/>
  <c r="J97" i="3"/>
  <c r="J107" i="3"/>
  <c r="J116" i="3"/>
  <c r="J105" i="3"/>
  <c r="J115" i="3"/>
  <c r="J67" i="3"/>
  <c r="J86" i="3"/>
  <c r="J29" i="3"/>
  <c r="J40" i="3"/>
  <c r="J51" i="3"/>
  <c r="J63" i="3"/>
  <c r="J90" i="3"/>
  <c r="J112" i="3"/>
  <c r="J102" i="3"/>
  <c r="J69" i="3"/>
  <c r="J88" i="3"/>
  <c r="J31" i="3"/>
  <c r="J41" i="3"/>
  <c r="J52" i="3"/>
  <c r="J68" i="3"/>
  <c r="J93" i="3"/>
  <c r="J114" i="3"/>
  <c r="J113" i="3"/>
  <c r="J79" i="3"/>
  <c r="J36" i="3"/>
  <c r="J57" i="3"/>
  <c r="J103" i="3"/>
  <c r="J124" i="3"/>
  <c r="J126" i="3"/>
  <c r="J94" i="3"/>
  <c r="J45" i="3"/>
  <c r="J78" i="3"/>
  <c r="J121" i="3"/>
  <c r="J96" i="3"/>
  <c r="J81" i="3"/>
  <c r="J35" i="3"/>
  <c r="J104" i="3"/>
  <c r="J58" i="3"/>
  <c r="J123" i="3"/>
  <c r="J56" i="3"/>
  <c r="J75" i="3"/>
  <c r="J122" i="3"/>
  <c r="J47" i="3"/>
  <c r="E26" i="10"/>
  <c r="E133" i="14"/>
  <c r="D35" i="3"/>
  <c r="E12" i="5" s="1"/>
  <c r="D85" i="3"/>
  <c r="D124" i="3"/>
  <c r="D51" i="3"/>
  <c r="E28" i="5" s="1"/>
  <c r="D39" i="3"/>
  <c r="E16" i="5" s="1"/>
  <c r="D106" i="3"/>
  <c r="D93" i="3"/>
  <c r="D89" i="3"/>
  <c r="D45" i="3"/>
  <c r="E22" i="5" s="1"/>
  <c r="D125" i="3"/>
  <c r="D119" i="3"/>
  <c r="D105" i="3"/>
  <c r="D37" i="3"/>
  <c r="E14" i="5" s="1"/>
  <c r="AA52" i="16" s="1"/>
  <c r="D38" i="3"/>
  <c r="E15" i="5" s="1"/>
  <c r="AA67" i="16" s="1"/>
  <c r="D30" i="3"/>
  <c r="E7" i="5" s="1"/>
  <c r="AA50" i="16" s="1"/>
  <c r="AP50" i="16" s="1"/>
  <c r="D103" i="3"/>
  <c r="D33" i="3"/>
  <c r="E10" i="5" s="1"/>
  <c r="AB39" i="16" s="1"/>
  <c r="D112" i="3"/>
  <c r="D97" i="3"/>
  <c r="D43" i="3"/>
  <c r="E20" i="5" s="1"/>
  <c r="D58" i="3"/>
  <c r="E35" i="5" s="1"/>
  <c r="D96" i="3"/>
  <c r="D60" i="3"/>
  <c r="E37" i="5" s="1"/>
  <c r="AA33" i="16"/>
  <c r="AQ8" i="16"/>
  <c r="AQ4" i="16"/>
  <c r="AB33" i="16"/>
  <c r="AP4" i="16"/>
  <c r="AB3" i="16"/>
  <c r="AQ3" i="16" s="1"/>
  <c r="AA6" i="16"/>
  <c r="AP6" i="16" s="1"/>
  <c r="AB8" i="16"/>
  <c r="AQ7" i="16" s="1"/>
  <c r="AB6" i="16"/>
  <c r="AQ6" i="16" s="1"/>
  <c r="AA3" i="16"/>
  <c r="AP3" i="16" s="1"/>
  <c r="AA8" i="16"/>
  <c r="AP7" i="16" s="1"/>
  <c r="Z78" i="16"/>
  <c r="Z43" i="16"/>
  <c r="Z73" i="16"/>
  <c r="Z47" i="16"/>
  <c r="Z79" i="16"/>
  <c r="Z46" i="16"/>
  <c r="Z56" i="16"/>
  <c r="Z57" i="16"/>
  <c r="Z42" i="16"/>
  <c r="Z74" i="16"/>
  <c r="Z72" i="16"/>
  <c r="Z76" i="16"/>
  <c r="Z77" i="16"/>
  <c r="Z41" i="16"/>
  <c r="Z22" i="16"/>
  <c r="Z28" i="16"/>
  <c r="Z24" i="16"/>
  <c r="Z23" i="16"/>
  <c r="Z32" i="16"/>
  <c r="Z65" i="16"/>
  <c r="AO65" i="16" s="1"/>
  <c r="C164" i="10"/>
  <c r="C311" i="14"/>
  <c r="C227" i="10"/>
  <c r="C330" i="14"/>
  <c r="C191" i="10"/>
  <c r="C221" i="14"/>
  <c r="C182" i="10"/>
  <c r="C314" i="14"/>
  <c r="C257" i="14"/>
  <c r="C131" i="10"/>
  <c r="C295" i="14"/>
  <c r="C173" i="10"/>
  <c r="C222" i="14"/>
  <c r="C197" i="10"/>
  <c r="C356" i="14"/>
  <c r="C243" i="10"/>
  <c r="C141" i="10"/>
  <c r="C282" i="14"/>
  <c r="C224" i="14"/>
  <c r="C209" i="10"/>
  <c r="T44" i="9"/>
  <c r="C157" i="10" s="1"/>
  <c r="T45" i="9"/>
  <c r="T43" i="9"/>
  <c r="C156" i="10" s="1"/>
  <c r="M45" i="9"/>
  <c r="C128" i="10" s="1"/>
  <c r="M43" i="9"/>
  <c r="C126" i="10" s="1"/>
  <c r="M47" i="9"/>
  <c r="C130" i="10" s="1"/>
  <c r="AH43" i="9"/>
  <c r="C216" i="10" s="1"/>
  <c r="M42" i="9"/>
  <c r="AH46" i="9"/>
  <c r="AA46" i="9"/>
  <c r="C189" i="10" s="1"/>
  <c r="AH42" i="9"/>
  <c r="AH44" i="9"/>
  <c r="C217" i="10" s="1"/>
  <c r="AH47" i="9"/>
  <c r="C220" i="10" s="1"/>
  <c r="T46" i="9"/>
  <c r="C159" i="10" s="1"/>
  <c r="M44" i="9"/>
  <c r="C127" i="10" s="1"/>
  <c r="AA45" i="9"/>
  <c r="C188" i="10" s="1"/>
  <c r="AA44" i="9"/>
  <c r="C187" i="10" s="1"/>
  <c r="M46" i="9"/>
  <c r="AA43" i="9"/>
  <c r="C186" i="10" s="1"/>
  <c r="AH45" i="9"/>
  <c r="C218" i="10" s="1"/>
  <c r="T42" i="9"/>
  <c r="AA42" i="9"/>
  <c r="T47" i="9"/>
  <c r="AA47" i="9"/>
  <c r="C190" i="10" s="1"/>
  <c r="L24" i="9"/>
  <c r="D51" i="8"/>
  <c r="D52" i="8" s="1"/>
  <c r="D53" i="8" s="1"/>
  <c r="D54" i="8" s="1"/>
  <c r="D55" i="8" s="1"/>
  <c r="D56" i="8" s="1"/>
  <c r="D57" i="8" s="1"/>
  <c r="D58" i="8" s="1"/>
  <c r="S24" i="9"/>
  <c r="B52" i="10" s="1"/>
  <c r="S22" i="9"/>
  <c r="B50" i="10" s="1"/>
  <c r="Z19" i="9"/>
  <c r="S23" i="9"/>
  <c r="L20" i="9"/>
  <c r="B18" i="10" s="1"/>
  <c r="Z20" i="9"/>
  <c r="B78" i="10" s="1"/>
  <c r="AG24" i="9"/>
  <c r="B112" i="10" s="1"/>
  <c r="L22" i="9"/>
  <c r="AG22" i="9"/>
  <c r="B110" i="10" s="1"/>
  <c r="S20" i="9"/>
  <c r="B48" i="10" s="1"/>
  <c r="L19" i="9"/>
  <c r="L21" i="9"/>
  <c r="B19" i="10" s="1"/>
  <c r="AG21" i="9"/>
  <c r="B109" i="10" s="1"/>
  <c r="AG19" i="9"/>
  <c r="Z22" i="9"/>
  <c r="B80" i="10" s="1"/>
  <c r="S19" i="9"/>
  <c r="AG20" i="9"/>
  <c r="B108" i="10" s="1"/>
  <c r="AG23" i="9"/>
  <c r="B111" i="10" s="1"/>
  <c r="Z21" i="9"/>
  <c r="B79" i="10" s="1"/>
  <c r="S21" i="9"/>
  <c r="B49" i="10" s="1"/>
  <c r="L23" i="9"/>
  <c r="B21" i="10" s="1"/>
  <c r="Z24" i="9"/>
  <c r="B82" i="10" s="1"/>
  <c r="Z23" i="9"/>
  <c r="B81" i="10" s="1"/>
  <c r="B295" i="14"/>
  <c r="B173" i="10"/>
  <c r="B148" i="10"/>
  <c r="B289" i="14"/>
  <c r="B197" i="10"/>
  <c r="B222" i="14"/>
  <c r="B320" i="14"/>
  <c r="B183" i="10"/>
  <c r="B152" i="10"/>
  <c r="B278" i="14"/>
  <c r="B296" i="14"/>
  <c r="B179" i="10"/>
  <c r="B154" i="10"/>
  <c r="B290" i="14"/>
  <c r="B257" i="14"/>
  <c r="B131" i="10"/>
  <c r="AF20" i="9"/>
  <c r="Y21" i="9"/>
  <c r="F79" i="10" s="1"/>
  <c r="AF22" i="9"/>
  <c r="F110" i="10" s="1"/>
  <c r="Y23" i="9"/>
  <c r="R21" i="9"/>
  <c r="F49" i="10" s="1"/>
  <c r="R22" i="9"/>
  <c r="F50" i="10" s="1"/>
  <c r="R23" i="9"/>
  <c r="K21" i="9"/>
  <c r="F19" i="10" s="1"/>
  <c r="K23" i="9"/>
  <c r="Y20" i="9"/>
  <c r="K20" i="9"/>
  <c r="R24" i="9"/>
  <c r="R20" i="9"/>
  <c r="R19" i="9"/>
  <c r="F47" i="10" s="1"/>
  <c r="K19" i="9"/>
  <c r="F17" i="10" s="1"/>
  <c r="C51" i="8"/>
  <c r="C52" i="8" s="1"/>
  <c r="C53" i="8" s="1"/>
  <c r="C54" i="8" s="1"/>
  <c r="C55" i="8" s="1"/>
  <c r="C56" i="8" s="1"/>
  <c r="C57" i="8" s="1"/>
  <c r="C58" i="8" s="1"/>
  <c r="Y24" i="9"/>
  <c r="AF21" i="9"/>
  <c r="F109" i="10" s="1"/>
  <c r="AF24" i="9"/>
  <c r="AF23" i="9"/>
  <c r="K22" i="9"/>
  <c r="F20" i="10" s="1"/>
  <c r="Y19" i="9"/>
  <c r="F77" i="10" s="1"/>
  <c r="AF19" i="9"/>
  <c r="F107" i="10" s="1"/>
  <c r="Y22" i="9"/>
  <c r="F80" i="10" s="1"/>
  <c r="K24" i="9"/>
  <c r="R16" i="9"/>
  <c r="R14" i="9"/>
  <c r="F44" i="10" s="1"/>
  <c r="K12" i="9"/>
  <c r="R11" i="9"/>
  <c r="F41" i="10" s="1"/>
  <c r="AF13" i="9"/>
  <c r="F103" i="10" s="1"/>
  <c r="Y14" i="9"/>
  <c r="F74" i="10" s="1"/>
  <c r="K11" i="9"/>
  <c r="F11" i="10" s="1"/>
  <c r="AF11" i="9"/>
  <c r="F101" i="10" s="1"/>
  <c r="R13" i="9"/>
  <c r="F43" i="10" s="1"/>
  <c r="Y13" i="9"/>
  <c r="F73" i="10" s="1"/>
  <c r="K14" i="9"/>
  <c r="F14" i="10" s="1"/>
  <c r="K15" i="9"/>
  <c r="K13" i="9"/>
  <c r="F13" i="10" s="1"/>
  <c r="R15" i="9"/>
  <c r="AF16" i="9"/>
  <c r="AF14" i="9"/>
  <c r="F104" i="10" s="1"/>
  <c r="R12" i="9"/>
  <c r="Y15" i="9"/>
  <c r="AF15" i="9"/>
  <c r="Y12" i="9"/>
  <c r="Y11" i="9"/>
  <c r="F71" i="10" s="1"/>
  <c r="C39" i="8"/>
  <c r="C40" i="8" s="1"/>
  <c r="C41" i="8" s="1"/>
  <c r="C42" i="8" s="1"/>
  <c r="C43" i="8" s="1"/>
  <c r="C44" i="8" s="1"/>
  <c r="C45" i="8" s="1"/>
  <c r="C46" i="8" s="1"/>
  <c r="K16" i="9"/>
  <c r="AF12" i="9"/>
  <c r="Y16" i="9"/>
  <c r="F228" i="10"/>
  <c r="F336" i="14"/>
  <c r="F264" i="14"/>
  <c r="F138" i="10"/>
  <c r="F132" i="10"/>
  <c r="F263" i="14"/>
  <c r="F320" i="14"/>
  <c r="F183" i="10"/>
  <c r="F318" i="14"/>
  <c r="F171" i="10"/>
  <c r="F245" i="14"/>
  <c r="F195" i="10"/>
  <c r="F200" i="10"/>
  <c r="F206" i="10"/>
  <c r="Y5" i="9"/>
  <c r="F67" i="10" s="1"/>
  <c r="R6" i="9"/>
  <c r="F38" i="10" s="1"/>
  <c r="Y4" i="9"/>
  <c r="R7" i="9"/>
  <c r="AF6" i="9"/>
  <c r="F98" i="10" s="1"/>
  <c r="K6" i="9"/>
  <c r="F8" i="10" s="1"/>
  <c r="Y7" i="9"/>
  <c r="K5" i="9"/>
  <c r="F7" i="10" s="1"/>
  <c r="R8" i="9"/>
  <c r="K7" i="9"/>
  <c r="C27" i="8"/>
  <c r="C28" i="8" s="1"/>
  <c r="C29" i="8" s="1"/>
  <c r="C30" i="8" s="1"/>
  <c r="C31" i="8" s="1"/>
  <c r="C32" i="8" s="1"/>
  <c r="C33" i="8" s="1"/>
  <c r="C34" i="8" s="1"/>
  <c r="R3" i="9"/>
  <c r="F35" i="10" s="1"/>
  <c r="AF4" i="9"/>
  <c r="Y8" i="9"/>
  <c r="K8" i="9"/>
  <c r="Y3" i="9"/>
  <c r="F65" i="10" s="1"/>
  <c r="AF3" i="9"/>
  <c r="F95" i="10" s="1"/>
  <c r="AF8" i="9"/>
  <c r="K3" i="9"/>
  <c r="F5" i="10" s="1"/>
  <c r="R4" i="9"/>
  <c r="R5" i="9"/>
  <c r="F37" i="10" s="1"/>
  <c r="K4" i="9"/>
  <c r="AF7" i="9"/>
  <c r="AF5" i="9"/>
  <c r="F97" i="10" s="1"/>
  <c r="Y6" i="9"/>
  <c r="F68" i="10" s="1"/>
  <c r="F362" i="14"/>
  <c r="F244" i="10"/>
  <c r="F199" i="10"/>
  <c r="F205" i="10"/>
  <c r="F172" i="10"/>
  <c r="F324" i="14"/>
  <c r="F335" i="14"/>
  <c r="F222" i="10"/>
  <c r="F353" i="14"/>
  <c r="F225" i="10"/>
  <c r="E39" i="3"/>
  <c r="F16" i="5" s="1"/>
  <c r="E70" i="3"/>
  <c r="F47" i="5" s="1"/>
  <c r="E92" i="3"/>
  <c r="E31" i="3"/>
  <c r="F8" i="5" s="1"/>
  <c r="E40" i="3"/>
  <c r="F17" i="5" s="1"/>
  <c r="E43" i="3"/>
  <c r="F20" i="5" s="1"/>
  <c r="E102" i="3"/>
  <c r="E108" i="3"/>
  <c r="E63" i="3"/>
  <c r="F40" i="5" s="1"/>
  <c r="E73" i="3"/>
  <c r="F50" i="5" s="1"/>
  <c r="E52" i="3"/>
  <c r="F29" i="5" s="1"/>
  <c r="E48" i="3"/>
  <c r="F25" i="5" s="1"/>
  <c r="E54" i="3"/>
  <c r="F31" i="5" s="1"/>
  <c r="E41" i="3"/>
  <c r="F18" i="5" s="1"/>
  <c r="E56" i="3"/>
  <c r="F33" i="5" s="1"/>
  <c r="E97" i="3"/>
  <c r="E80" i="3"/>
  <c r="E46" i="3"/>
  <c r="F23" i="5" s="1"/>
  <c r="E44" i="3"/>
  <c r="F21" i="5" s="1"/>
  <c r="E75" i="3"/>
  <c r="F52" i="5" s="1"/>
  <c r="E125" i="3"/>
  <c r="E121" i="3"/>
  <c r="E123" i="3"/>
  <c r="E13" i="8"/>
  <c r="F14" i="8"/>
  <c r="AO79" i="16" l="1"/>
  <c r="AA62" i="16"/>
  <c r="AB67" i="16"/>
  <c r="AB61" i="16"/>
  <c r="T77" i="16"/>
  <c r="T72" i="16"/>
  <c r="T67" i="16"/>
  <c r="T62" i="16"/>
  <c r="AQ62" i="16" s="1"/>
  <c r="T57" i="16"/>
  <c r="T52" i="16"/>
  <c r="T47" i="16"/>
  <c r="T43" i="16"/>
  <c r="T39" i="16"/>
  <c r="T35" i="16"/>
  <c r="T31" i="16"/>
  <c r="T27" i="16"/>
  <c r="T23" i="16"/>
  <c r="T19" i="16"/>
  <c r="T16" i="16"/>
  <c r="T78" i="16"/>
  <c r="T73" i="16"/>
  <c r="T68" i="16"/>
  <c r="T63" i="16"/>
  <c r="T58" i="16"/>
  <c r="AQ58" i="16" s="1"/>
  <c r="T53" i="16"/>
  <c r="T48" i="16"/>
  <c r="T44" i="16"/>
  <c r="T40" i="16"/>
  <c r="T36" i="16"/>
  <c r="T32" i="16"/>
  <c r="T28" i="16"/>
  <c r="T24" i="16"/>
  <c r="T20" i="16"/>
  <c r="T17" i="16"/>
  <c r="AA25" i="16"/>
  <c r="AB18" i="16"/>
  <c r="AQ18" i="16" s="1"/>
  <c r="AB12" i="16"/>
  <c r="AB9" i="16"/>
  <c r="AA18" i="16"/>
  <c r="AB21" i="16"/>
  <c r="AB14" i="16"/>
  <c r="AA12" i="16"/>
  <c r="AB11" i="16"/>
  <c r="AQ11" i="16" s="1"/>
  <c r="AA9" i="16"/>
  <c r="AA21" i="16"/>
  <c r="AA14" i="16"/>
  <c r="AA11" i="16"/>
  <c r="AP11" i="16" s="1"/>
  <c r="AB25" i="16"/>
  <c r="AQ25" i="16" s="1"/>
  <c r="AB13" i="16"/>
  <c r="AB10" i="16"/>
  <c r="AA10" i="16"/>
  <c r="AA13" i="16"/>
  <c r="AP13" i="16" s="1"/>
  <c r="S79" i="16"/>
  <c r="S74" i="16"/>
  <c r="S69" i="16"/>
  <c r="S64" i="16"/>
  <c r="S59" i="16"/>
  <c r="S54" i="16"/>
  <c r="S49" i="16"/>
  <c r="S45" i="16"/>
  <c r="S41" i="16"/>
  <c r="AP41" i="16" s="1"/>
  <c r="S37" i="16"/>
  <c r="S33" i="16"/>
  <c r="AP33" i="16" s="1"/>
  <c r="S29" i="16"/>
  <c r="S25" i="16"/>
  <c r="AP25" i="16" s="1"/>
  <c r="S21" i="16"/>
  <c r="AP21" i="16" s="1"/>
  <c r="AB48" i="16"/>
  <c r="AQ54" i="16"/>
  <c r="S16" i="16"/>
  <c r="S77" i="16"/>
  <c r="S72" i="16"/>
  <c r="S67" i="16"/>
  <c r="S62" i="16"/>
  <c r="S57" i="16"/>
  <c r="S52" i="16"/>
  <c r="AP52" i="16" s="1"/>
  <c r="S47" i="16"/>
  <c r="S43" i="16"/>
  <c r="S39" i="16"/>
  <c r="S35" i="16"/>
  <c r="S31" i="16"/>
  <c r="S27" i="16"/>
  <c r="S23" i="16"/>
  <c r="S19" i="16"/>
  <c r="AP19" i="16" s="1"/>
  <c r="AB62" i="16"/>
  <c r="T15" i="16"/>
  <c r="T76" i="16"/>
  <c r="T71" i="16"/>
  <c r="T66" i="16"/>
  <c r="T61" i="16"/>
  <c r="T56" i="16"/>
  <c r="T51" i="16"/>
  <c r="T46" i="16"/>
  <c r="T42" i="16"/>
  <c r="T38" i="16"/>
  <c r="AQ38" i="16" s="1"/>
  <c r="T34" i="16"/>
  <c r="T30" i="16"/>
  <c r="T26" i="16"/>
  <c r="T22" i="16"/>
  <c r="T18" i="16"/>
  <c r="T79" i="16"/>
  <c r="T74" i="16"/>
  <c r="T69" i="16"/>
  <c r="T64" i="16"/>
  <c r="T59" i="16"/>
  <c r="T54" i="16"/>
  <c r="T49" i="16"/>
  <c r="T45" i="16"/>
  <c r="T41" i="16"/>
  <c r="T37" i="16"/>
  <c r="T33" i="16"/>
  <c r="AQ33" i="16" s="1"/>
  <c r="T29" i="16"/>
  <c r="T25" i="16"/>
  <c r="T21" i="16"/>
  <c r="AP64" i="16"/>
  <c r="AQ64" i="16"/>
  <c r="AQ41" i="16"/>
  <c r="AO54" i="16"/>
  <c r="R17" i="16"/>
  <c r="AO17" i="16" s="1"/>
  <c r="R78" i="16"/>
  <c r="R73" i="16"/>
  <c r="R68" i="16"/>
  <c r="AO68" i="16" s="1"/>
  <c r="R63" i="16"/>
  <c r="R58" i="16"/>
  <c r="R53" i="16"/>
  <c r="R48" i="16"/>
  <c r="AO48" i="16" s="1"/>
  <c r="R44" i="16"/>
  <c r="R40" i="16"/>
  <c r="R36" i="16"/>
  <c r="R32" i="16"/>
  <c r="AO32" i="16" s="1"/>
  <c r="R28" i="16"/>
  <c r="R24" i="16"/>
  <c r="AO24" i="16" s="1"/>
  <c r="R20" i="16"/>
  <c r="AO28" i="16"/>
  <c r="AA29" i="16"/>
  <c r="AB15" i="16"/>
  <c r="AB17" i="16"/>
  <c r="AQ17" i="16" s="1"/>
  <c r="AA15" i="16"/>
  <c r="AA17" i="16"/>
  <c r="AB29" i="16"/>
  <c r="AQ29" i="16" s="1"/>
  <c r="AB16" i="16"/>
  <c r="AQ16" i="16" s="1"/>
  <c r="AA16" i="16"/>
  <c r="AP54" i="16"/>
  <c r="AP69" i="16"/>
  <c r="U79" i="16"/>
  <c r="U74" i="16"/>
  <c r="U69" i="16"/>
  <c r="U64" i="16"/>
  <c r="U59" i="16"/>
  <c r="U54" i="16"/>
  <c r="U49" i="16"/>
  <c r="U45" i="16"/>
  <c r="U41" i="16"/>
  <c r="U37" i="16"/>
  <c r="U33" i="16"/>
  <c r="U29" i="16"/>
  <c r="U25" i="16"/>
  <c r="U21" i="16"/>
  <c r="U78" i="16"/>
  <c r="U73" i="16"/>
  <c r="U68" i="16"/>
  <c r="U63" i="16"/>
  <c r="U58" i="16"/>
  <c r="U53" i="16"/>
  <c r="U48" i="16"/>
  <c r="U44" i="16"/>
  <c r="U40" i="16"/>
  <c r="U36" i="16"/>
  <c r="U32" i="16"/>
  <c r="U28" i="16"/>
  <c r="U24" i="16"/>
  <c r="U20" i="16"/>
  <c r="U17" i="16"/>
  <c r="U76" i="16"/>
  <c r="U71" i="16"/>
  <c r="U66" i="16"/>
  <c r="U61" i="16"/>
  <c r="U56" i="16"/>
  <c r="U51" i="16"/>
  <c r="U46" i="16"/>
  <c r="U42" i="16"/>
  <c r="U38" i="16"/>
  <c r="U34" i="16"/>
  <c r="U30" i="16"/>
  <c r="U26" i="16"/>
  <c r="U22" i="16"/>
  <c r="U18" i="16"/>
  <c r="U15" i="16"/>
  <c r="R18" i="16"/>
  <c r="AO18" i="16" s="1"/>
  <c r="R15" i="16"/>
  <c r="AO15" i="16" s="1"/>
  <c r="R76" i="16"/>
  <c r="AO76" i="16" s="1"/>
  <c r="R71" i="16"/>
  <c r="R66" i="16"/>
  <c r="R61" i="16"/>
  <c r="R56" i="16"/>
  <c r="R51" i="16"/>
  <c r="R46" i="16"/>
  <c r="R42" i="16"/>
  <c r="R38" i="16"/>
  <c r="AO38" i="16" s="1"/>
  <c r="R34" i="16"/>
  <c r="R30" i="16"/>
  <c r="R26" i="16"/>
  <c r="R22" i="16"/>
  <c r="AO22" i="16" s="1"/>
  <c r="R79" i="16"/>
  <c r="R74" i="16"/>
  <c r="R69" i="16"/>
  <c r="AO69" i="16" s="1"/>
  <c r="R64" i="16"/>
  <c r="AO64" i="16" s="1"/>
  <c r="R59" i="16"/>
  <c r="AO59" i="16" s="1"/>
  <c r="R54" i="16"/>
  <c r="R49" i="16"/>
  <c r="AO49" i="16" s="1"/>
  <c r="R45" i="16"/>
  <c r="R41" i="16"/>
  <c r="AO41" i="16" s="1"/>
  <c r="R37" i="16"/>
  <c r="AO37" i="16" s="1"/>
  <c r="R33" i="16"/>
  <c r="AO33" i="16" s="1"/>
  <c r="R29" i="16"/>
  <c r="AO29" i="16" s="1"/>
  <c r="R25" i="16"/>
  <c r="AO25" i="16" s="1"/>
  <c r="R21" i="16"/>
  <c r="AO21" i="16" s="1"/>
  <c r="AO23" i="16"/>
  <c r="AO74" i="16"/>
  <c r="AB50" i="16"/>
  <c r="AQ50" i="16" s="1"/>
  <c r="AO45" i="16"/>
  <c r="AA51" i="16"/>
  <c r="AA61" i="16"/>
  <c r="S78" i="16"/>
  <c r="S73" i="16"/>
  <c r="S68" i="16"/>
  <c r="S63" i="16"/>
  <c r="S58" i="16"/>
  <c r="S53" i="16"/>
  <c r="AP53" i="16" s="1"/>
  <c r="S48" i="16"/>
  <c r="S44" i="16"/>
  <c r="S40" i="16"/>
  <c r="S36" i="16"/>
  <c r="S32" i="16"/>
  <c r="S28" i="16"/>
  <c r="S24" i="16"/>
  <c r="S20" i="16"/>
  <c r="S17" i="16"/>
  <c r="S15" i="16"/>
  <c r="S76" i="16"/>
  <c r="S71" i="16"/>
  <c r="S66" i="16"/>
  <c r="S61" i="16"/>
  <c r="S56" i="16"/>
  <c r="S51" i="16"/>
  <c r="S46" i="16"/>
  <c r="S42" i="16"/>
  <c r="S38" i="16"/>
  <c r="S34" i="16"/>
  <c r="S30" i="16"/>
  <c r="S26" i="16"/>
  <c r="S22" i="16"/>
  <c r="S18" i="16"/>
  <c r="AP18" i="16" s="1"/>
  <c r="AB69" i="16"/>
  <c r="AA40" i="16"/>
  <c r="U77" i="16"/>
  <c r="U72" i="16"/>
  <c r="U67" i="16"/>
  <c r="U62" i="16"/>
  <c r="U57" i="16"/>
  <c r="U52" i="16"/>
  <c r="U47" i="16"/>
  <c r="U43" i="16"/>
  <c r="U39" i="16"/>
  <c r="U35" i="16"/>
  <c r="U31" i="16"/>
  <c r="U27" i="16"/>
  <c r="U23" i="16"/>
  <c r="U19" i="16"/>
  <c r="R16" i="16"/>
  <c r="U16" i="16"/>
  <c r="R77" i="16"/>
  <c r="R72" i="16"/>
  <c r="AO72" i="16" s="1"/>
  <c r="R67" i="16"/>
  <c r="R62" i="16"/>
  <c r="R57" i="16"/>
  <c r="R52" i="16"/>
  <c r="R47" i="16"/>
  <c r="R43" i="16"/>
  <c r="R39" i="16"/>
  <c r="R35" i="16"/>
  <c r="AO35" i="16" s="1"/>
  <c r="R31" i="16"/>
  <c r="R27" i="16"/>
  <c r="AO27" i="16" s="1"/>
  <c r="R23" i="16"/>
  <c r="R19" i="16"/>
  <c r="AO19" i="16" s="1"/>
  <c r="AQ19" i="16"/>
  <c r="AB20" i="16"/>
  <c r="AA20" i="16"/>
  <c r="AB19" i="16"/>
  <c r="AA19" i="16"/>
  <c r="AQ28" i="16"/>
  <c r="F65" i="3"/>
  <c r="H42" i="5" s="1"/>
  <c r="F111" i="3"/>
  <c r="F85" i="3"/>
  <c r="F120" i="3"/>
  <c r="F125" i="3"/>
  <c r="F124" i="3"/>
  <c r="F69" i="3"/>
  <c r="H46" i="5" s="1"/>
  <c r="F81" i="3"/>
  <c r="F52" i="3"/>
  <c r="H29" i="5" s="1"/>
  <c r="F98" i="3"/>
  <c r="F83" i="3"/>
  <c r="F49" i="3"/>
  <c r="H26" i="5" s="1"/>
  <c r="F31" i="3"/>
  <c r="H8" i="5" s="1"/>
  <c r="F112" i="3"/>
  <c r="F89" i="3"/>
  <c r="F78" i="3"/>
  <c r="F109" i="3"/>
  <c r="F45" i="3"/>
  <c r="H22" i="5" s="1"/>
  <c r="F53" i="3"/>
  <c r="H30" i="5" s="1"/>
  <c r="F82" i="3"/>
  <c r="F73" i="3"/>
  <c r="H50" i="5" s="1"/>
  <c r="F94" i="3"/>
  <c r="F61" i="3"/>
  <c r="H38" i="5" s="1"/>
  <c r="F41" i="3"/>
  <c r="H18" i="5" s="1"/>
  <c r="F34" i="3"/>
  <c r="H11" i="5" s="1"/>
  <c r="F90" i="3"/>
  <c r="F63" i="3"/>
  <c r="H40" i="5" s="1"/>
  <c r="F29" i="3"/>
  <c r="H6" i="5" s="1"/>
  <c r="F62" i="3"/>
  <c r="H39" i="5" s="1"/>
  <c r="F107" i="3"/>
  <c r="F95" i="3"/>
  <c r="F104" i="3"/>
  <c r="F122" i="3"/>
  <c r="F38" i="3"/>
  <c r="H15" i="5" s="1"/>
  <c r="F32" i="3"/>
  <c r="H9" i="5" s="1"/>
  <c r="F99" i="3"/>
  <c r="F121" i="3"/>
  <c r="F113" i="3"/>
  <c r="F37" i="3"/>
  <c r="H14" i="5" s="1"/>
  <c r="F87" i="3"/>
  <c r="F70" i="3"/>
  <c r="H47" i="5" s="1"/>
  <c r="F56" i="3"/>
  <c r="H33" i="5" s="1"/>
  <c r="F92" i="3"/>
  <c r="F91" i="3"/>
  <c r="F102" i="3"/>
  <c r="F117" i="3"/>
  <c r="F33" i="3"/>
  <c r="H10" i="5" s="1"/>
  <c r="F44" i="3"/>
  <c r="H21" i="5" s="1"/>
  <c r="F88" i="3"/>
  <c r="F84" i="3"/>
  <c r="F93" i="3"/>
  <c r="F66" i="3"/>
  <c r="H43" i="5" s="1"/>
  <c r="F77" i="3"/>
  <c r="H54" i="5" s="1"/>
  <c r="F74" i="3"/>
  <c r="H51" i="5" s="1"/>
  <c r="F42" i="3"/>
  <c r="H19" i="5" s="1"/>
  <c r="F115" i="3"/>
  <c r="F51" i="3"/>
  <c r="H28" i="5" s="1"/>
  <c r="F36" i="3"/>
  <c r="H13" i="5" s="1"/>
  <c r="F48" i="3"/>
  <c r="H25" i="5" s="1"/>
  <c r="F39" i="3"/>
  <c r="H16" i="5" s="1"/>
  <c r="F108" i="3"/>
  <c r="F46" i="3"/>
  <c r="H23" i="5" s="1"/>
  <c r="F68" i="3"/>
  <c r="H45" i="5" s="1"/>
  <c r="F126" i="3"/>
  <c r="F55" i="3"/>
  <c r="H32" i="5" s="1"/>
  <c r="F72" i="3"/>
  <c r="H49" i="5" s="1"/>
  <c r="F119" i="3"/>
  <c r="F118" i="3"/>
  <c r="F123" i="3"/>
  <c r="F116" i="3"/>
  <c r="F75" i="3"/>
  <c r="H52" i="5" s="1"/>
  <c r="F57" i="3"/>
  <c r="H34" i="5" s="1"/>
  <c r="F106" i="3"/>
  <c r="F86" i="3"/>
  <c r="F47" i="3"/>
  <c r="H24" i="5" s="1"/>
  <c r="F110" i="3"/>
  <c r="F59" i="3"/>
  <c r="H36" i="5" s="1"/>
  <c r="F103" i="3"/>
  <c r="F114" i="3"/>
  <c r="F79" i="3"/>
  <c r="F97" i="3"/>
  <c r="F50" i="3"/>
  <c r="H27" i="5" s="1"/>
  <c r="F105" i="3"/>
  <c r="F100" i="3"/>
  <c r="F60" i="3"/>
  <c r="H37" i="5" s="1"/>
  <c r="F30" i="3"/>
  <c r="H7" i="5" s="1"/>
  <c r="F76" i="3"/>
  <c r="H53" i="5" s="1"/>
  <c r="F35" i="3"/>
  <c r="H12" i="5" s="1"/>
  <c r="F96" i="3"/>
  <c r="F80" i="3"/>
  <c r="F54" i="3"/>
  <c r="H31" i="5" s="1"/>
  <c r="F43" i="3"/>
  <c r="H20" i="5" s="1"/>
  <c r="F64" i="3"/>
  <c r="H41" i="5" s="1"/>
  <c r="F71" i="3"/>
  <c r="H48" i="5" s="1"/>
  <c r="F58" i="3"/>
  <c r="H35" i="5" s="1"/>
  <c r="F40" i="3"/>
  <c r="H17" i="5" s="1"/>
  <c r="F67" i="3"/>
  <c r="H44" i="5" s="1"/>
  <c r="F101" i="3"/>
  <c r="AA44" i="16"/>
  <c r="AB40" i="16"/>
  <c r="AB53" i="16"/>
  <c r="AQ53" i="16" s="1"/>
  <c r="AA48" i="16"/>
  <c r="AA53" i="16"/>
  <c r="AA22" i="16"/>
  <c r="AP22" i="16" s="1"/>
  <c r="AB23" i="16"/>
  <c r="AB44" i="16"/>
  <c r="AA49" i="16"/>
  <c r="AP49" i="16" s="1"/>
  <c r="AA38" i="16"/>
  <c r="AP38" i="16" s="1"/>
  <c r="AA63" i="16"/>
  <c r="AP63" i="16" s="1"/>
  <c r="AB49" i="16"/>
  <c r="AA32" i="16"/>
  <c r="AB24" i="16"/>
  <c r="AA23" i="16"/>
  <c r="AA24" i="16"/>
  <c r="AP24" i="16" s="1"/>
  <c r="AA28" i="16"/>
  <c r="AP28" i="16" s="1"/>
  <c r="AB22" i="16"/>
  <c r="AA65" i="16"/>
  <c r="AP65" i="16" s="1"/>
  <c r="AB65" i="16"/>
  <c r="AQ65" i="16" s="1"/>
  <c r="F99" i="10"/>
  <c r="F208" i="14"/>
  <c r="F9" i="10"/>
  <c r="F136" i="14"/>
  <c r="F172" i="14"/>
  <c r="F39" i="10"/>
  <c r="F102" i="10"/>
  <c r="F191" i="14"/>
  <c r="F42" i="10"/>
  <c r="F155" i="14"/>
  <c r="B78" i="14"/>
  <c r="B77" i="10"/>
  <c r="C185" i="10"/>
  <c r="C220" i="14"/>
  <c r="C158" i="10"/>
  <c r="C310" i="14"/>
  <c r="B316" i="14"/>
  <c r="B159" i="10"/>
  <c r="F87" i="10"/>
  <c r="F103" i="14"/>
  <c r="F27" i="10"/>
  <c r="F139" i="14"/>
  <c r="B16" i="10"/>
  <c r="B143" i="14"/>
  <c r="B173" i="14"/>
  <c r="B45" i="10"/>
  <c r="C112" i="14"/>
  <c r="C5" i="10"/>
  <c r="AQ61" i="16"/>
  <c r="C35" i="10"/>
  <c r="C148" i="14"/>
  <c r="AQ51" i="16"/>
  <c r="C78" i="14"/>
  <c r="C77" i="10"/>
  <c r="E107" i="14"/>
  <c r="E76" i="10"/>
  <c r="E44" i="10"/>
  <c r="E167" i="14"/>
  <c r="E20" i="10"/>
  <c r="E132" i="14"/>
  <c r="E204" i="14"/>
  <c r="E110" i="10"/>
  <c r="F220" i="10"/>
  <c r="F358" i="14"/>
  <c r="C41" i="10"/>
  <c r="C149" i="14"/>
  <c r="C15" i="10"/>
  <c r="C137" i="14"/>
  <c r="E37" i="10"/>
  <c r="E160" i="14"/>
  <c r="B57" i="10"/>
  <c r="B175" i="14"/>
  <c r="B187" i="14"/>
  <c r="B113" i="10"/>
  <c r="F15" i="8"/>
  <c r="E14" i="8"/>
  <c r="B118" i="14"/>
  <c r="F6" i="10"/>
  <c r="F40" i="10"/>
  <c r="F178" i="14"/>
  <c r="B132" i="14"/>
  <c r="B20" i="10"/>
  <c r="B144" i="14"/>
  <c r="B22" i="10"/>
  <c r="C219" i="10"/>
  <c r="C352" i="14"/>
  <c r="B292" i="14"/>
  <c r="B155" i="10"/>
  <c r="F193" i="14"/>
  <c r="F114" i="10"/>
  <c r="E220" i="10"/>
  <c r="E358" i="14"/>
  <c r="C178" i="14"/>
  <c r="C40" i="10"/>
  <c r="C114" i="14"/>
  <c r="C17" i="10"/>
  <c r="E131" i="14"/>
  <c r="E14" i="10"/>
  <c r="F286" i="14"/>
  <c r="F130" i="10"/>
  <c r="AP68" i="16"/>
  <c r="AP32" i="16"/>
  <c r="AP40" i="16"/>
  <c r="AP44" i="16"/>
  <c r="B65" i="10"/>
  <c r="B76" i="14"/>
  <c r="AP51" i="16"/>
  <c r="B148" i="14"/>
  <c r="B35" i="10"/>
  <c r="AP61" i="16"/>
  <c r="C101" i="10"/>
  <c r="C185" i="14"/>
  <c r="F10" i="10"/>
  <c r="F142" i="14"/>
  <c r="F107" i="14"/>
  <c r="F76" i="10"/>
  <c r="F143" i="14"/>
  <c r="F16" i="10"/>
  <c r="F105" i="10"/>
  <c r="F209" i="14"/>
  <c r="F106" i="10"/>
  <c r="F215" i="14"/>
  <c r="F137" i="14"/>
  <c r="F15" i="10"/>
  <c r="F144" i="14"/>
  <c r="F22" i="10"/>
  <c r="F112" i="10"/>
  <c r="F216" i="14"/>
  <c r="F48" i="10"/>
  <c r="F156" i="14"/>
  <c r="F84" i="14"/>
  <c r="F78" i="10"/>
  <c r="F102" i="14"/>
  <c r="F81" i="10"/>
  <c r="B107" i="10"/>
  <c r="B186" i="14"/>
  <c r="C256" i="14"/>
  <c r="C76" i="9"/>
  <c r="C77" i="9" s="1"/>
  <c r="C78" i="9" s="1"/>
  <c r="C79" i="9" s="1"/>
  <c r="C80" i="9" s="1"/>
  <c r="C81" i="9" s="1"/>
  <c r="C82" i="9" s="1"/>
  <c r="C83" i="9" s="1"/>
  <c r="C84" i="9" s="1"/>
  <c r="C85" i="9" s="1"/>
  <c r="C125" i="10"/>
  <c r="AB59" i="16"/>
  <c r="AQ59" i="16" s="1"/>
  <c r="AB31" i="16"/>
  <c r="AB26" i="16"/>
  <c r="AQ26" i="16" s="1"/>
  <c r="AA58" i="16"/>
  <c r="AA35" i="16"/>
  <c r="AA27" i="16"/>
  <c r="AP27" i="16" s="1"/>
  <c r="AB36" i="16"/>
  <c r="AB30" i="16"/>
  <c r="AA45" i="16"/>
  <c r="AA34" i="16"/>
  <c r="AB45" i="16"/>
  <c r="AQ45" i="16" s="1"/>
  <c r="AA36" i="16"/>
  <c r="AB35" i="16"/>
  <c r="AA59" i="16"/>
  <c r="AP59" i="16" s="1"/>
  <c r="AA31" i="16"/>
  <c r="AB58" i="16"/>
  <c r="AB34" i="16"/>
  <c r="AB27" i="16"/>
  <c r="AA30" i="16"/>
  <c r="AA26" i="16"/>
  <c r="AP26" i="16" s="1"/>
  <c r="AB75" i="16"/>
  <c r="AQ75" i="16" s="1"/>
  <c r="AA66" i="16"/>
  <c r="AA75" i="16"/>
  <c r="AP75" i="16" s="1"/>
  <c r="AB66" i="16"/>
  <c r="AA71" i="16"/>
  <c r="AB80" i="16"/>
  <c r="AA80" i="16"/>
  <c r="AB71" i="16"/>
  <c r="AB74" i="16"/>
  <c r="AQ74" i="16" s="1"/>
  <c r="AB56" i="16"/>
  <c r="AB42" i="16"/>
  <c r="AA74" i="16"/>
  <c r="AP74" i="16" s="1"/>
  <c r="AA56" i="16"/>
  <c r="AA42" i="16"/>
  <c r="AB79" i="16"/>
  <c r="AQ79" i="16" s="1"/>
  <c r="AB47" i="16"/>
  <c r="AQ47" i="16" s="1"/>
  <c r="AA79" i="16"/>
  <c r="AP79" i="16" s="1"/>
  <c r="AA47" i="16"/>
  <c r="AB57" i="16"/>
  <c r="AA78" i="16"/>
  <c r="AA43" i="16"/>
  <c r="AB46" i="16"/>
  <c r="AA73" i="16"/>
  <c r="AB78" i="16"/>
  <c r="AA57" i="16"/>
  <c r="AP57" i="16" s="1"/>
  <c r="AB73" i="16"/>
  <c r="AA46" i="16"/>
  <c r="AB43" i="16"/>
  <c r="AQ43" i="16" s="1"/>
  <c r="B256" i="14"/>
  <c r="B125" i="10"/>
  <c r="B76" i="9"/>
  <c r="B185" i="10"/>
  <c r="B220" i="14"/>
  <c r="B130" i="10"/>
  <c r="B286" i="14"/>
  <c r="F145" i="14"/>
  <c r="F28" i="10"/>
  <c r="F54" i="10"/>
  <c r="F157" i="14"/>
  <c r="F217" i="14"/>
  <c r="F118" i="10"/>
  <c r="E190" i="10"/>
  <c r="E250" i="14"/>
  <c r="E187" i="10"/>
  <c r="E232" i="14"/>
  <c r="B14" i="10"/>
  <c r="B131" i="14"/>
  <c r="B41" i="10"/>
  <c r="B149" i="14"/>
  <c r="AQ32" i="16"/>
  <c r="AQ78" i="16"/>
  <c r="AQ48" i="16"/>
  <c r="C76" i="14"/>
  <c r="AQ68" i="16"/>
  <c r="AQ63" i="16"/>
  <c r="C65" i="10"/>
  <c r="C52" i="10"/>
  <c r="C180" i="14"/>
  <c r="C111" i="10"/>
  <c r="C210" i="14"/>
  <c r="AB72" i="16"/>
  <c r="AB76" i="16"/>
  <c r="AA77" i="16"/>
  <c r="AA76" i="16"/>
  <c r="AB77" i="16"/>
  <c r="AA72" i="16"/>
  <c r="E106" i="10"/>
  <c r="E215" i="14"/>
  <c r="E95" i="14"/>
  <c r="E74" i="10"/>
  <c r="E50" i="10"/>
  <c r="E168" i="14"/>
  <c r="E80" i="10"/>
  <c r="E96" i="14"/>
  <c r="E108" i="14"/>
  <c r="E82" i="10"/>
  <c r="F190" i="10"/>
  <c r="F250" i="14"/>
  <c r="E280" i="14"/>
  <c r="F129" i="10"/>
  <c r="F160" i="10"/>
  <c r="F322" i="14"/>
  <c r="AP62" i="16"/>
  <c r="B95" i="10"/>
  <c r="AP67" i="16"/>
  <c r="B184" i="14"/>
  <c r="AP39" i="16"/>
  <c r="B8" i="10"/>
  <c r="B130" i="14"/>
  <c r="B5" i="10"/>
  <c r="B77" i="9"/>
  <c r="B78" i="9" s="1"/>
  <c r="B79" i="9" s="1"/>
  <c r="B80" i="9" s="1"/>
  <c r="B81" i="9" s="1"/>
  <c r="B82" i="9" s="1"/>
  <c r="B83" i="9" s="1"/>
  <c r="B84" i="9" s="1"/>
  <c r="B85" i="9" s="1"/>
  <c r="B112" i="14"/>
  <c r="B39" i="10"/>
  <c r="B172" i="14"/>
  <c r="C44" i="10"/>
  <c r="C167" i="14"/>
  <c r="E8" i="10"/>
  <c r="E130" i="14"/>
  <c r="E100" i="10"/>
  <c r="E214" i="14"/>
  <c r="E94" i="14"/>
  <c r="E68" i="10"/>
  <c r="B23" i="10"/>
  <c r="B115" i="14"/>
  <c r="B83" i="10"/>
  <c r="B79" i="14"/>
  <c r="F190" i="14"/>
  <c r="F96" i="10"/>
  <c r="C129" i="10"/>
  <c r="C280" i="14"/>
  <c r="AP17" i="16"/>
  <c r="AB60" i="16"/>
  <c r="AQ60" i="16" s="1"/>
  <c r="AA60" i="16"/>
  <c r="AP60" i="16" s="1"/>
  <c r="AP16" i="16"/>
  <c r="B215" i="10"/>
  <c r="B328" i="14"/>
  <c r="F88" i="10"/>
  <c r="F109" i="14"/>
  <c r="F84" i="10"/>
  <c r="F85" i="14"/>
  <c r="E274" i="14"/>
  <c r="E128" i="10"/>
  <c r="E268" i="14"/>
  <c r="E127" i="10"/>
  <c r="E76" i="9"/>
  <c r="E238" i="14"/>
  <c r="E188" i="10"/>
  <c r="B71" i="10"/>
  <c r="B77" i="14"/>
  <c r="C208" i="14"/>
  <c r="C99" i="10"/>
  <c r="C107" i="10"/>
  <c r="C186" i="14"/>
  <c r="C47" i="10"/>
  <c r="C150" i="14"/>
  <c r="F262" i="14"/>
  <c r="D76" i="9"/>
  <c r="D77" i="9" s="1"/>
  <c r="D78" i="9" s="1"/>
  <c r="D79" i="9" s="1"/>
  <c r="D80" i="9" s="1"/>
  <c r="D81" i="9" s="1"/>
  <c r="D82" i="9" s="1"/>
  <c r="D83" i="9" s="1"/>
  <c r="D84" i="9" s="1"/>
  <c r="D85" i="9" s="1"/>
  <c r="F126" i="10"/>
  <c r="B142" i="14"/>
  <c r="B10" i="10"/>
  <c r="E166" i="14"/>
  <c r="E38" i="10"/>
  <c r="E70" i="10"/>
  <c r="E106" i="14"/>
  <c r="F100" i="10"/>
  <c r="F214" i="14"/>
  <c r="AO36" i="16"/>
  <c r="AO53" i="16"/>
  <c r="AO58" i="16"/>
  <c r="AO44" i="16"/>
  <c r="F82" i="14"/>
  <c r="AO52" i="16"/>
  <c r="AO78" i="16"/>
  <c r="AO47" i="16"/>
  <c r="AO57" i="16"/>
  <c r="AO63" i="16"/>
  <c r="AO77" i="16"/>
  <c r="AO43" i="16"/>
  <c r="AO62" i="16"/>
  <c r="AO40" i="16"/>
  <c r="AO31" i="16"/>
  <c r="AO67" i="16"/>
  <c r="F66" i="10"/>
  <c r="AO73" i="16"/>
  <c r="AO39" i="16"/>
  <c r="F83" i="14"/>
  <c r="F72" i="10"/>
  <c r="F46" i="10"/>
  <c r="F179" i="14"/>
  <c r="F111" i="10"/>
  <c r="F210" i="14"/>
  <c r="F108" i="14"/>
  <c r="F82" i="10"/>
  <c r="F18" i="10"/>
  <c r="B120" i="14"/>
  <c r="F51" i="10"/>
  <c r="F174" i="14"/>
  <c r="F192" i="14"/>
  <c r="F108" i="10"/>
  <c r="B114" i="14"/>
  <c r="B17" i="10"/>
  <c r="C292" i="14"/>
  <c r="AQ15" i="16"/>
  <c r="C155" i="10"/>
  <c r="F181" i="14"/>
  <c r="F58" i="10"/>
  <c r="F117" i="10"/>
  <c r="F211" i="14"/>
  <c r="E218" i="10"/>
  <c r="E346" i="14"/>
  <c r="E157" i="10"/>
  <c r="E304" i="14"/>
  <c r="B113" i="14"/>
  <c r="B11" i="10"/>
  <c r="B185" i="14"/>
  <c r="B101" i="10"/>
  <c r="AB55" i="16"/>
  <c r="AQ55" i="16" s="1"/>
  <c r="AQ14" i="16"/>
  <c r="AQ12" i="16"/>
  <c r="AQ9" i="16"/>
  <c r="AA37" i="16"/>
  <c r="AP37" i="16" s="1"/>
  <c r="AP10" i="16"/>
  <c r="AQ13" i="16"/>
  <c r="AA55" i="16"/>
  <c r="AP55" i="16" s="1"/>
  <c r="AP12" i="16"/>
  <c r="AQ10" i="16"/>
  <c r="AP9" i="16"/>
  <c r="AP14" i="16"/>
  <c r="AB37" i="16"/>
  <c r="AQ37" i="16" s="1"/>
  <c r="E197" i="14"/>
  <c r="E103" i="10"/>
  <c r="E162" i="14"/>
  <c r="E49" i="10"/>
  <c r="E126" i="14"/>
  <c r="E19" i="10"/>
  <c r="F219" i="10"/>
  <c r="F352" i="14"/>
  <c r="AO16" i="16"/>
  <c r="F216" i="10"/>
  <c r="F334" i="14"/>
  <c r="F189" i="10"/>
  <c r="F244" i="14"/>
  <c r="C105" i="10"/>
  <c r="C209" i="14"/>
  <c r="E124" i="14"/>
  <c r="E7" i="10"/>
  <c r="AO42" i="16"/>
  <c r="AO66" i="16"/>
  <c r="AO34" i="16"/>
  <c r="AO56" i="16"/>
  <c r="AO30" i="16"/>
  <c r="F36" i="10"/>
  <c r="AO51" i="16"/>
  <c r="AO46" i="16"/>
  <c r="AO61" i="16"/>
  <c r="F154" i="14"/>
  <c r="AO71" i="16"/>
  <c r="F106" i="14"/>
  <c r="F70" i="10"/>
  <c r="F69" i="10"/>
  <c r="F100" i="14"/>
  <c r="F75" i="10"/>
  <c r="F101" i="14"/>
  <c r="F45" i="10"/>
  <c r="F173" i="14"/>
  <c r="B119" i="14"/>
  <c r="F12" i="10"/>
  <c r="F180" i="14"/>
  <c r="F52" i="10"/>
  <c r="F138" i="14"/>
  <c r="F21" i="10"/>
  <c r="B47" i="10"/>
  <c r="B150" i="14"/>
  <c r="B51" i="10"/>
  <c r="B174" i="14"/>
  <c r="C160" i="10"/>
  <c r="C322" i="14"/>
  <c r="C215" i="10"/>
  <c r="C328" i="14"/>
  <c r="B128" i="10"/>
  <c r="B274" i="14"/>
  <c r="F175" i="14"/>
  <c r="F57" i="10"/>
  <c r="F24" i="10"/>
  <c r="B121" i="14"/>
  <c r="E217" i="10"/>
  <c r="E340" i="14"/>
  <c r="E310" i="14"/>
  <c r="E158" i="10"/>
  <c r="C38" i="10"/>
  <c r="C166" i="14"/>
  <c r="C136" i="14"/>
  <c r="C9" i="10"/>
  <c r="AQ35" i="16"/>
  <c r="AQ52" i="16"/>
  <c r="C184" i="14"/>
  <c r="AQ39" i="16"/>
  <c r="AQ67" i="16"/>
  <c r="C95" i="10"/>
  <c r="C21" i="10"/>
  <c r="C138" i="14"/>
  <c r="C50" i="10"/>
  <c r="C168" i="14"/>
  <c r="E73" i="10"/>
  <c r="E89" i="14"/>
  <c r="E13" i="10"/>
  <c r="E125" i="14"/>
  <c r="E43" i="10"/>
  <c r="E161" i="14"/>
  <c r="E104" i="10"/>
  <c r="E203" i="14"/>
  <c r="E112" i="10"/>
  <c r="E216" i="14"/>
  <c r="E109" i="10"/>
  <c r="E198" i="14"/>
  <c r="E79" i="10"/>
  <c r="E90" i="14"/>
  <c r="F186" i="10"/>
  <c r="AO20" i="16"/>
  <c r="F226" i="14"/>
  <c r="F159" i="10"/>
  <c r="F316" i="14"/>
  <c r="F156" i="10"/>
  <c r="AO26" i="16"/>
  <c r="C179" i="14"/>
  <c r="C46" i="10"/>
  <c r="C113" i="14"/>
  <c r="C11" i="10"/>
  <c r="C77" i="14"/>
  <c r="C71" i="10"/>
  <c r="E88" i="14"/>
  <c r="E67" i="10"/>
  <c r="E97" i="10"/>
  <c r="E196" i="14"/>
  <c r="E98" i="10"/>
  <c r="E202" i="14"/>
  <c r="B151" i="14"/>
  <c r="B53" i="10"/>
  <c r="B145" i="14"/>
  <c r="B28" i="10"/>
  <c r="B26" i="10"/>
  <c r="B133" i="14"/>
  <c r="AR78" i="16" l="1"/>
  <c r="AC20" i="16"/>
  <c r="AC19" i="16"/>
  <c r="AC41" i="16"/>
  <c r="AR41" i="16" s="1"/>
  <c r="AC37" i="16"/>
  <c r="AR37" i="16" s="1"/>
  <c r="AC26" i="16"/>
  <c r="AR26" i="16" s="1"/>
  <c r="AC33" i="16"/>
  <c r="AR33" i="16" s="1"/>
  <c r="AR19" i="16"/>
  <c r="AR18" i="16"/>
  <c r="AQ22" i="16"/>
  <c r="AQ24" i="16"/>
  <c r="AC79" i="16"/>
  <c r="AR79" i="16" s="1"/>
  <c r="AC71" i="16"/>
  <c r="AR71" i="16" s="1"/>
  <c r="AC47" i="16"/>
  <c r="AR47" i="16" s="1"/>
  <c r="AC77" i="16"/>
  <c r="AR77" i="16" s="1"/>
  <c r="AC80" i="16"/>
  <c r="AC21" i="16"/>
  <c r="AR21" i="16" s="1"/>
  <c r="AC14" i="16"/>
  <c r="AR14" i="16" s="1"/>
  <c r="AC11" i="16"/>
  <c r="AR11" i="16" s="1"/>
  <c r="AC13" i="16"/>
  <c r="AR13" i="16" s="1"/>
  <c r="AC10" i="16"/>
  <c r="AR10" i="16" s="1"/>
  <c r="AC25" i="16"/>
  <c r="AR25" i="16" s="1"/>
  <c r="AC18" i="16"/>
  <c r="AC12" i="16"/>
  <c r="AR12" i="16" s="1"/>
  <c r="AC9" i="16"/>
  <c r="AR9" i="16" s="1"/>
  <c r="AC60" i="16"/>
  <c r="AR60" i="16" s="1"/>
  <c r="AC55" i="16"/>
  <c r="AR55" i="16" s="1"/>
  <c r="AQ21" i="16"/>
  <c r="AC59" i="16"/>
  <c r="AR59" i="16" s="1"/>
  <c r="AC53" i="16"/>
  <c r="AR53" i="16" s="1"/>
  <c r="AC48" i="16"/>
  <c r="AR48" i="16" s="1"/>
  <c r="AC69" i="16"/>
  <c r="AR69" i="16" s="1"/>
  <c r="AC63" i="16"/>
  <c r="AR63" i="16" s="1"/>
  <c r="AC44" i="16"/>
  <c r="AR44" i="16" s="1"/>
  <c r="AC43" i="16"/>
  <c r="AR43" i="16" s="1"/>
  <c r="AC66" i="16"/>
  <c r="AR66" i="16" s="1"/>
  <c r="AQ27" i="16"/>
  <c r="AC35" i="16"/>
  <c r="AR35" i="16" s="1"/>
  <c r="AC36" i="16"/>
  <c r="AR36" i="16" s="1"/>
  <c r="AC61" i="16"/>
  <c r="AR61" i="16" s="1"/>
  <c r="AC39" i="16"/>
  <c r="AR39" i="16" s="1"/>
  <c r="AC42" i="16"/>
  <c r="AR42" i="16" s="1"/>
  <c r="AC73" i="16"/>
  <c r="AR73" i="16" s="1"/>
  <c r="AC46" i="16"/>
  <c r="AR46" i="16" s="1"/>
  <c r="AC40" i="16"/>
  <c r="AR40" i="16" s="1"/>
  <c r="AC51" i="16"/>
  <c r="AR51" i="16" s="1"/>
  <c r="AC52" i="16"/>
  <c r="AR52" i="16" s="1"/>
  <c r="AC72" i="16"/>
  <c r="AR72" i="16" s="1"/>
  <c r="AC62" i="16"/>
  <c r="AR62" i="16" s="1"/>
  <c r="AC75" i="16"/>
  <c r="AR75" i="16" s="1"/>
  <c r="AC64" i="16"/>
  <c r="AR64" i="16" s="1"/>
  <c r="AC56" i="16"/>
  <c r="AR56" i="16" s="1"/>
  <c r="AC58" i="16"/>
  <c r="AR58" i="16" s="1"/>
  <c r="AC28" i="16"/>
  <c r="AR28" i="16" s="1"/>
  <c r="AC74" i="16"/>
  <c r="AR74" i="16" s="1"/>
  <c r="AC27" i="16"/>
  <c r="AR27" i="16" s="1"/>
  <c r="AC45" i="16"/>
  <c r="AR45" i="16" s="1"/>
  <c r="AC32" i="16"/>
  <c r="AR32" i="16" s="1"/>
  <c r="AC38" i="16"/>
  <c r="AR38" i="16" s="1"/>
  <c r="AC54" i="16"/>
  <c r="AR54" i="16" s="1"/>
  <c r="AC31" i="16"/>
  <c r="AR31" i="16" s="1"/>
  <c r="AC30" i="16"/>
  <c r="AR30" i="16" s="1"/>
  <c r="AC34" i="16"/>
  <c r="AR34" i="16" s="1"/>
  <c r="AC23" i="16"/>
  <c r="AR23" i="16" s="1"/>
  <c r="AC24" i="16"/>
  <c r="AR24" i="16" s="1"/>
  <c r="AC49" i="16"/>
  <c r="AR49" i="16" s="1"/>
  <c r="AP29" i="16"/>
  <c r="AP45" i="16"/>
  <c r="AQ49" i="16"/>
  <c r="AC17" i="16"/>
  <c r="AR17" i="16" s="1"/>
  <c r="AC16" i="16"/>
  <c r="AR16" i="16" s="1"/>
  <c r="AC29" i="16"/>
  <c r="AR29" i="16" s="1"/>
  <c r="AC15" i="16"/>
  <c r="AR15" i="16" s="1"/>
  <c r="AC22" i="16"/>
  <c r="AR22" i="16" s="1"/>
  <c r="AC65" i="16"/>
  <c r="AR65" i="16" s="1"/>
  <c r="AC50" i="16"/>
  <c r="AR50" i="16" s="1"/>
  <c r="AC76" i="16"/>
  <c r="AR76" i="16" s="1"/>
  <c r="AC68" i="16"/>
  <c r="AR68" i="16" s="1"/>
  <c r="AC70" i="16"/>
  <c r="AR70" i="16" s="1"/>
  <c r="AC57" i="16"/>
  <c r="AR57" i="16" s="1"/>
  <c r="AC67" i="16"/>
  <c r="AR67" i="16" s="1"/>
  <c r="AC78" i="16"/>
  <c r="AQ69" i="16"/>
  <c r="AR20" i="16"/>
  <c r="AP47" i="16"/>
  <c r="AQ31" i="16"/>
  <c r="AP72" i="16"/>
  <c r="AP77" i="16"/>
  <c r="AQ36" i="16"/>
  <c r="AP34" i="16"/>
  <c r="AQ42" i="16"/>
  <c r="AQ30" i="16"/>
  <c r="AQ66" i="16"/>
  <c r="AQ57" i="16"/>
  <c r="AP31" i="16"/>
  <c r="AQ40" i="16"/>
  <c r="AQ73" i="16"/>
  <c r="AQ77" i="16"/>
  <c r="AP42" i="16"/>
  <c r="AP71" i="16"/>
  <c r="AP46" i="16"/>
  <c r="AP58" i="16"/>
  <c r="AP48" i="16"/>
  <c r="AQ76" i="16"/>
  <c r="AQ56" i="16"/>
  <c r="AQ72" i="16"/>
  <c r="AP43" i="16"/>
  <c r="AQ44" i="16"/>
  <c r="AP66" i="16"/>
  <c r="AP56" i="16"/>
  <c r="AP73" i="16"/>
  <c r="AQ71" i="16"/>
  <c r="AQ34" i="16"/>
  <c r="AP35" i="16"/>
  <c r="AP30" i="16"/>
  <c r="AP76" i="16"/>
  <c r="AP36" i="16"/>
  <c r="AP78" i="16"/>
  <c r="AQ46" i="16"/>
  <c r="AQ23" i="16"/>
  <c r="AP23" i="16"/>
  <c r="AP15" i="16"/>
  <c r="AP20" i="16"/>
  <c r="AQ20" i="16"/>
  <c r="E84" i="9"/>
  <c r="E78" i="9"/>
  <c r="E81" i="9"/>
  <c r="E77" i="9"/>
  <c r="E82" i="9"/>
  <c r="E83" i="9"/>
  <c r="E85" i="9"/>
  <c r="E80" i="9"/>
  <c r="E79" i="9"/>
  <c r="C73" i="8"/>
  <c r="C72" i="8" s="1"/>
  <c r="C74" i="8" s="1"/>
  <c r="F16" i="8"/>
  <c r="E16" i="8" s="1"/>
  <c r="D73" i="8"/>
  <c r="D72" i="8" s="1"/>
  <c r="D74" i="8" s="1"/>
  <c r="E15" i="8"/>
  <c r="F73" i="8"/>
  <c r="F72" i="8" s="1"/>
  <c r="F74" i="8" s="1"/>
  <c r="E73" i="8"/>
  <c r="E72" i="8" s="1"/>
  <c r="E74" i="8" s="1"/>
  <c r="AH40" i="9" l="1"/>
  <c r="C124" i="10" s="1"/>
  <c r="M39" i="9"/>
  <c r="T38" i="9"/>
  <c r="AH38" i="9"/>
  <c r="C122" i="10" s="1"/>
  <c r="AA35" i="9"/>
  <c r="T37" i="9"/>
  <c r="C61" i="10" s="1"/>
  <c r="AH37" i="9"/>
  <c r="C121" i="10" s="1"/>
  <c r="T36" i="9"/>
  <c r="C60" i="10" s="1"/>
  <c r="M36" i="9"/>
  <c r="C30" i="10" s="1"/>
  <c r="AA36" i="9"/>
  <c r="C90" i="10" s="1"/>
  <c r="AA37" i="9"/>
  <c r="C91" i="10" s="1"/>
  <c r="M40" i="9"/>
  <c r="C34" i="10" s="1"/>
  <c r="T40" i="9"/>
  <c r="AA39" i="9"/>
  <c r="C93" i="10" s="1"/>
  <c r="AH35" i="9"/>
  <c r="M37" i="9"/>
  <c r="C31" i="10" s="1"/>
  <c r="E75" i="8"/>
  <c r="E76" i="8" s="1"/>
  <c r="E77" i="8" s="1"/>
  <c r="E78" i="8" s="1"/>
  <c r="E79" i="8" s="1"/>
  <c r="E80" i="8" s="1"/>
  <c r="E81" i="8" s="1"/>
  <c r="E82" i="8" s="1"/>
  <c r="T35" i="9"/>
  <c r="AH39" i="9"/>
  <c r="T39" i="9"/>
  <c r="C63" i="10" s="1"/>
  <c r="AH36" i="9"/>
  <c r="C120" i="10" s="1"/>
  <c r="M38" i="9"/>
  <c r="C32" i="10" s="1"/>
  <c r="AA38" i="9"/>
  <c r="C92" i="10" s="1"/>
  <c r="M35" i="9"/>
  <c r="AA40" i="9"/>
  <c r="C94" i="10" s="1"/>
  <c r="R36" i="9"/>
  <c r="R38" i="9"/>
  <c r="F62" i="10" s="1"/>
  <c r="R35" i="9"/>
  <c r="F59" i="10" s="1"/>
  <c r="AF40" i="9"/>
  <c r="K37" i="9"/>
  <c r="F31" i="10" s="1"/>
  <c r="Y35" i="9"/>
  <c r="F89" i="10" s="1"/>
  <c r="Y37" i="9"/>
  <c r="F91" i="10" s="1"/>
  <c r="R40" i="9"/>
  <c r="K39" i="9"/>
  <c r="C75" i="8"/>
  <c r="C76" i="8" s="1"/>
  <c r="C77" i="8" s="1"/>
  <c r="C78" i="8" s="1"/>
  <c r="C79" i="8" s="1"/>
  <c r="C80" i="8" s="1"/>
  <c r="C81" i="8" s="1"/>
  <c r="C82" i="8" s="1"/>
  <c r="K40" i="9"/>
  <c r="Y38" i="9"/>
  <c r="F92" i="10" s="1"/>
  <c r="K35" i="9"/>
  <c r="F29" i="10" s="1"/>
  <c r="K38" i="9"/>
  <c r="F32" i="10" s="1"/>
  <c r="K36" i="9"/>
  <c r="R37" i="9"/>
  <c r="F61" i="10" s="1"/>
  <c r="R39" i="9"/>
  <c r="AF39" i="9"/>
  <c r="Y39" i="9"/>
  <c r="Y40" i="9"/>
  <c r="AF36" i="9"/>
  <c r="AF35" i="9"/>
  <c r="F119" i="10" s="1"/>
  <c r="Y36" i="9"/>
  <c r="AF37" i="9"/>
  <c r="F121" i="10" s="1"/>
  <c r="AF38" i="9"/>
  <c r="F122" i="10" s="1"/>
  <c r="U38" i="9"/>
  <c r="AI39" i="9"/>
  <c r="E123" i="10" s="1"/>
  <c r="AB35" i="9"/>
  <c r="E89" i="10" s="1"/>
  <c r="N35" i="9"/>
  <c r="E29" i="10" s="1"/>
  <c r="U39" i="9"/>
  <c r="E63" i="10" s="1"/>
  <c r="AB40" i="9"/>
  <c r="U36" i="9"/>
  <c r="E60" i="10" s="1"/>
  <c r="N36" i="9"/>
  <c r="E30" i="10" s="1"/>
  <c r="AB39" i="9"/>
  <c r="E93" i="10" s="1"/>
  <c r="N40" i="9"/>
  <c r="E34" i="10" s="1"/>
  <c r="AI38" i="9"/>
  <c r="AI37" i="9"/>
  <c r="U37" i="9"/>
  <c r="N39" i="9"/>
  <c r="E33" i="10" s="1"/>
  <c r="U35" i="9"/>
  <c r="E59" i="10" s="1"/>
  <c r="AB37" i="9"/>
  <c r="N37" i="9"/>
  <c r="AI40" i="9"/>
  <c r="U40" i="9"/>
  <c r="E64" i="10" s="1"/>
  <c r="F75" i="8"/>
  <c r="F76" i="8" s="1"/>
  <c r="F77" i="8" s="1"/>
  <c r="F78" i="8" s="1"/>
  <c r="F79" i="8" s="1"/>
  <c r="F80" i="8" s="1"/>
  <c r="F81" i="8" s="1"/>
  <c r="F82" i="8" s="1"/>
  <c r="AI35" i="9"/>
  <c r="E119" i="10" s="1"/>
  <c r="AB38" i="9"/>
  <c r="N38" i="9"/>
  <c r="AB36" i="9"/>
  <c r="E90" i="10" s="1"/>
  <c r="AI36" i="9"/>
  <c r="E120" i="10" s="1"/>
  <c r="AG35" i="9"/>
  <c r="Z36" i="9"/>
  <c r="B90" i="10" s="1"/>
  <c r="L38" i="9"/>
  <c r="L35" i="9"/>
  <c r="L36" i="9"/>
  <c r="B30" i="10" s="1"/>
  <c r="Z35" i="9"/>
  <c r="AG36" i="9"/>
  <c r="B120" i="10" s="1"/>
  <c r="Z39" i="9"/>
  <c r="B93" i="10" s="1"/>
  <c r="S36" i="9"/>
  <c r="B60" i="10" s="1"/>
  <c r="Z38" i="9"/>
  <c r="B92" i="10" s="1"/>
  <c r="AG40" i="9"/>
  <c r="B124" i="10" s="1"/>
  <c r="S39" i="9"/>
  <c r="AG39" i="9"/>
  <c r="B123" i="10" s="1"/>
  <c r="AG38" i="9"/>
  <c r="B122" i="10" s="1"/>
  <c r="Z40" i="9"/>
  <c r="B94" i="10" s="1"/>
  <c r="L37" i="9"/>
  <c r="B31" i="10" s="1"/>
  <c r="D75" i="8"/>
  <c r="D76" i="8" s="1"/>
  <c r="D77" i="8" s="1"/>
  <c r="D78" i="8" s="1"/>
  <c r="D79" i="8" s="1"/>
  <c r="D80" i="8" s="1"/>
  <c r="D81" i="8" s="1"/>
  <c r="D82" i="8" s="1"/>
  <c r="S38" i="9"/>
  <c r="B62" i="10" s="1"/>
  <c r="S40" i="9"/>
  <c r="B64" i="10" s="1"/>
  <c r="S35" i="9"/>
  <c r="L39" i="9"/>
  <c r="B33" i="10" s="1"/>
  <c r="AG37" i="9"/>
  <c r="B121" i="10" s="1"/>
  <c r="Z37" i="9"/>
  <c r="B91" i="10" s="1"/>
  <c r="L40" i="9"/>
  <c r="S37" i="9"/>
  <c r="B61" i="10" s="1"/>
  <c r="E92" i="10" l="1"/>
  <c r="E98" i="14"/>
  <c r="F93" i="10"/>
  <c r="F104" i="14"/>
  <c r="F120" i="10"/>
  <c r="F194" i="14"/>
  <c r="B122" i="14"/>
  <c r="F30" i="10"/>
  <c r="F64" i="10"/>
  <c r="F182" i="14"/>
  <c r="F60" i="10"/>
  <c r="F158" i="14"/>
  <c r="C116" i="14"/>
  <c r="C29" i="10"/>
  <c r="C170" i="14"/>
  <c r="C62" i="10"/>
  <c r="B146" i="14"/>
  <c r="B34" i="10"/>
  <c r="B116" i="14"/>
  <c r="B29" i="10"/>
  <c r="E32" i="10"/>
  <c r="E134" i="14"/>
  <c r="E218" i="14"/>
  <c r="E124" i="10"/>
  <c r="E92" i="14"/>
  <c r="E91" i="10"/>
  <c r="E200" i="14"/>
  <c r="E121" i="10"/>
  <c r="E110" i="14"/>
  <c r="E94" i="10"/>
  <c r="F63" i="10"/>
  <c r="F176" i="14"/>
  <c r="F218" i="14"/>
  <c r="F124" i="10"/>
  <c r="C33" i="10"/>
  <c r="C140" i="14"/>
  <c r="B80" i="14"/>
  <c r="B89" i="10"/>
  <c r="F140" i="14"/>
  <c r="F33" i="10"/>
  <c r="C212" i="14"/>
  <c r="C123" i="10"/>
  <c r="C188" i="14"/>
  <c r="C119" i="10"/>
  <c r="B176" i="14"/>
  <c r="B63" i="10"/>
  <c r="B32" i="10"/>
  <c r="B134" i="14"/>
  <c r="E164" i="14"/>
  <c r="E61" i="10"/>
  <c r="F212" i="14"/>
  <c r="F123" i="10"/>
  <c r="F146" i="14"/>
  <c r="F34" i="10"/>
  <c r="C152" i="14"/>
  <c r="C59" i="10"/>
  <c r="B152" i="14"/>
  <c r="B59" i="10"/>
  <c r="B188" i="14"/>
  <c r="B119" i="10"/>
  <c r="E128" i="14"/>
  <c r="E31" i="10"/>
  <c r="E122" i="10"/>
  <c r="E206" i="14"/>
  <c r="E170" i="14"/>
  <c r="E62" i="10"/>
  <c r="F86" i="14"/>
  <c r="F90" i="10"/>
  <c r="F94" i="10"/>
  <c r="F110" i="14"/>
  <c r="C182" i="14"/>
  <c r="C64" i="10"/>
  <c r="C89" i="10"/>
  <c r="C80" i="14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<sst xmlns="http://schemas.openxmlformats.org/spreadsheetml/2006/main" count="934" uniqueCount="434">
  <si>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</si>
  <si>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</si>
  <si>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</si>
  <si>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</si>
  <si>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</si>
  <si>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</si>
  <si>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</si>
  <si>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</si>
  <si>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</si>
  <si>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</si>
  <si>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</si>
  <si>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</si>
  <si>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</si>
  <si>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</si>
  <si>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</si>
  <si>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</si>
  <si>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</si>
  <si>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</si>
  <si>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</si>
  <si>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</si>
  <si>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</si>
  <si>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</si>
  <si>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</si>
  <si>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</si>
  <si>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</si>
  <si>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</si>
  <si>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</si>
  <si>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</si>
  <si>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</si>
  <si>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</si>
  <si>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</si>
  <si>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</si>
  <si>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</si>
  <si>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</si>
  <si>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</si>
  <si>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</si>
  <si>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</si>
  <si>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</si>
  <si>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</si>
  <si>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</si>
  <si>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</si>
  <si>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</si>
  <si>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</si>
  <si>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</si>
  <si>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</si>
  <si>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</si>
  <si>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</si>
  <si>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</si>
  <si>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</si>
  <si>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</si>
  <si>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</si>
  <si>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</si>
  <si>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</si>
  <si>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</si>
  <si>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</si>
  <si>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</si>
  <si>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</si>
  <si>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</si>
  <si>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</si>
  <si>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</si>
  <si>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</si>
  <si>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</si>
  <si>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</si>
  <si>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</si>
  <si>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</si>
  <si>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</si>
  <si>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</si>
  <si>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</si>
  <si>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</si>
  <si>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</si>
  <si>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</si>
  <si>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</si>
  <si>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</si>
  <si>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</si>
  <si>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</si>
  <si>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</si>
  <si>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</si>
  <si>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</si>
  <si>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</si>
  <si>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</si>
  <si>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</si>
  <si>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</si>
  <si>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</si>
  <si>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</si>
  <si>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</si>
  <si>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</si>
  <si>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</si>
  <si>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</si>
  <si>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</si>
  <si>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</si>
  <si>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</si>
  <si>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</si>
  <si>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</si>
  <si>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</si>
  <si>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</si>
  <si>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</si>
  <si>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</si>
  <si>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</si>
  <si>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</si>
  <si>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</si>
  <si>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</si>
  <si>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</si>
  <si>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</si>
  <si>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</si>
  <si>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</si>
  <si>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</si>
  <si>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</si>
  <si>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</si>
  <si>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</si>
  <si>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</si>
  <si>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</si>
  <si>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</si>
  <si>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</si>
  <si>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</si>
  <si>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</si>
  <si>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</si>
  <si>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</si>
  <si>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</si>
  <si>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</si>
  <si>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</si>
  <si>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</si>
  <si>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</si>
  <si>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</si>
  <si>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</si>
  <si>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</si>
  <si>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</si>
  <si>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</si>
  <si>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</si>
  <si>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</si>
  <si>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</si>
  <si>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</si>
  <si>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</si>
  <si>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</si>
  <si>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</si>
  <si>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</si>
  <si>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</si>
  <si>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</si>
  <si>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</si>
  <si>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</si>
  <si>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</si>
  <si>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</si>
  <si>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</si>
  <si>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</si>
  <si>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</si>
  <si>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</si>
  <si>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</si>
  <si>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</si>
  <si>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</si>
  <si>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</si>
  <si>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</si>
  <si>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</si>
  <si>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</si>
  <si>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</si>
  <si>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</si>
  <si>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</si>
  <si>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</si>
  <si>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</si>
  <si>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</si>
  <si>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</si>
  <si>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</si>
  <si>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</si>
  <si>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</si>
  <si>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</si>
  <si>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</si>
  <si>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</si>
  <si>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</si>
  <si>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</si>
  <si>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</si>
  <si>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</si>
  <si>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</si>
  <si>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</si>
  <si>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</si>
  <si>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</si>
  <si>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</si>
  <si>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</si>
  <si>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</si>
  <si>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</si>
  <si>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</si>
  <si>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</si>
  <si>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</si>
  <si>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</si>
  <si>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</si>
  <si>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</si>
  <si>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</si>
  <si>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</si>
  <si>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</si>
  <si>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</si>
  <si>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</si>
  <si>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</si>
  <si>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</si>
  <si>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</si>
  <si>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</si>
  <si>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</si>
  <si>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</si>
  <si>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</si>
  <si>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</si>
  <si>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</si>
  <si>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</si>
  <si>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</si>
  <si>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</si>
  <si>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</si>
  <si>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</si>
  <si>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</si>
  <si>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</si>
  <si>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</si>
  <si>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</si>
  <si>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</si>
  <si>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</si>
  <si>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</si>
  <si>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</si>
  <si>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</si>
  <si>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</si>
  <si>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</si>
  <si>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</si>
  <si>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</si>
  <si>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</si>
  <si>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</si>
  <si>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</si>
  <si>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</si>
  <si>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</si>
  <si>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</si>
  <si>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</si>
  <si>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</si>
  <si>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</si>
  <si>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</si>
  <si>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</si>
  <si>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</si>
  <si>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</si>
  <si>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</si>
  <si>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</si>
  <si>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</si>
  <si>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</si>
  <si>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</si>
  <si>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</si>
  <si>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</si>
  <si>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</si>
  <si>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</si>
  <si>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</si>
  <si>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</si>
  <si>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</si>
  <si>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</si>
  <si>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</si>
  <si>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</si>
  <si>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</si>
  <si>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</si>
  <si>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</si>
  <si>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</si>
  <si>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</si>
  <si>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</si>
  <si>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</si>
  <si>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</si>
  <si>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</si>
  <si>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</si>
  <si>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</si>
  <si>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</si>
  <si>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</si>
  <si>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</si>
  <si>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</si>
  <si>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</si>
  <si>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</si>
  <si>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</si>
  <si>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</si>
  <si>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</si>
  <si>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</si>
  <si>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</si>
  <si>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</si>
  <si>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</si>
  <si>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</si>
  <si>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</si>
  <si>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</si>
  <si>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</si>
  <si>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</si>
  <si>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</si>
  <si>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</si>
  <si>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</si>
  <si>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</si>
  <si>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</si>
  <si>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</si>
  <si>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</si>
  <si>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</si>
  <si>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</si>
  <si>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</si>
  <si>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</si>
  <si>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</si>
  <si>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</si>
  <si>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</si>
  <si>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</si>
  <si>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</si>
  <si>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</si>
  <si>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</si>
  <si>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</si>
  <si>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</si>
  <si>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</si>
  <si>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</si>
  <si>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</si>
  <si>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</si>
  <si>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</si>
  <si>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</si>
  <si>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</si>
  <si>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</si>
  <si>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</si>
  <si>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</si>
  <si>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</si>
  <si>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</si>
  <si>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</si>
  <si>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</si>
  <si>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</si>
  <si>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</si>
  <si>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</si>
  <si>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</si>
  <si>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</si>
  <si>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</si>
  <si>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</si>
  <si>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</si>
  <si>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</si>
  <si>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</si>
  <si>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</si>
  <si>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</si>
  <si>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</si>
  <si>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</si>
  <si>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</si>
  <si>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</si>
  <si>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</si>
  <si>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</si>
  <si>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</si>
  <si>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</si>
  <si>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</si>
  <si>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</si>
  <si>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</si>
  <si>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</si>
  <si>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</si>
  <si>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</si>
  <si>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</si>
  <si>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</si>
  <si>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</si>
  <si>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</si>
  <si>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</si>
  <si>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</si>
  <si>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</si>
  <si>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</si>
  <si>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</si>
  <si>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</si>
  <si>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</si>
  <si>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</si>
  <si>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</si>
  <si>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</si>
  <si>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</si>
  <si>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</si>
  <si>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</si>
  <si>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</si>
  <si>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</si>
  <si>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</si>
  <si>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</si>
  <si>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</si>
  <si>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</si>
  <si>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</si>
  <si>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</si>
  <si>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</si>
  <si>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</si>
  <si>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</si>
  <si>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</si>
  <si>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</si>
  <si>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</si>
  <si>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</si>
  <si>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</si>
  <si>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</si>
  <si>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</si>
  <si>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</si>
  <si>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</si>
  <si>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</si>
  <si>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</si>
  <si>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</si>
  <si>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</si>
  <si>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</si>
  <si>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</si>
  <si>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</si>
  <si>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</si>
  <si>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</si>
  <si>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</si>
  <si>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</si>
  <si>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</si>
  <si>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</si>
  <si>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</si>
  <si>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</si>
  <si>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</si>
  <si>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</si>
  <si>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</si>
  <si>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</si>
  <si>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</si>
  <si>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</si>
  <si>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</si>
  <si>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</si>
  <si>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</si>
  <si>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</si>
  <si>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曼陀罗</t>
    <phoneticPr fontId="1" type="noConversion"/>
  </si>
  <si>
    <t>护腕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</si>
  <si>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</si>
  <si>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</si>
  <si>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</si>
  <si>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</si>
  <si>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</si>
  <si>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</si>
  <si>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</si>
  <si>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</si>
  <si>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</si>
  <si>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</si>
  <si>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</si>
  <si>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</si>
  <si>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</si>
  <si>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</si>
  <si>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</si>
  <si>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</si>
  <si>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</si>
  <si>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</si>
  <si>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</si>
  <si>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</si>
  <si>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</si>
  <si>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</si>
  <si>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</si>
  <si>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</si>
  <si>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总能力</t>
    <phoneticPr fontId="1" type="noConversion"/>
  </si>
  <si>
    <t>强化生成</t>
    <phoneticPr fontId="1" type="noConversion"/>
  </si>
  <si>
    <t>7_self_1_1</t>
  </si>
  <si>
    <t>7_self_3_1</t>
    <phoneticPr fontId="1" type="noConversion"/>
  </si>
  <si>
    <t>7_self_6_1</t>
    <phoneticPr fontId="1" type="noConversion"/>
  </si>
  <si>
    <t>7_self_10_1</t>
    <phoneticPr fontId="1" type="noConversion"/>
  </si>
  <si>
    <t>小丑</t>
    <phoneticPr fontId="1" type="noConversion"/>
  </si>
  <si>
    <t>花魄</t>
    <phoneticPr fontId="1" type="noConversion"/>
  </si>
  <si>
    <t>狼人</t>
    <phoneticPr fontId="1" type="noConversion"/>
  </si>
  <si>
    <t>冰雪女王</t>
  </si>
  <si>
    <t>冰雪女王</t>
    <phoneticPr fontId="1" type="noConversion"/>
  </si>
  <si>
    <t>小丑</t>
    <phoneticPr fontId="1" type="noConversion"/>
  </si>
  <si>
    <t>衣服</t>
    <phoneticPr fontId="1" type="noConversion"/>
  </si>
  <si>
    <t>头盔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</si>
</sst>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_ "/>
    <numFmt numFmtId="177" formatCode="0.000%"/>
    <numFmt numFmtId="178" formatCode="0.00_ "/>
    <numFmt numFmtId="179" formatCode="0.00_);[Red]\(0.00\)"/>
    <numFmt numFmtId="180" formatCode="0_ "/>
    <numFmt numFmtId="181" formatCode="0.0%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6" xfId="0" applyNumberFormat="1" applyBorder="1">
      <alignment vertical="center"/>
    </xf>
    <xf numFmtId="0" fontId="2" fillId="0" borderId="6" xfId="0" applyFont="1" applyBorder="1">
      <alignment vertical="center"/>
    </xf>
    <xf numFmtId="180" fontId="0" fillId="0" borderId="7" xfId="0" applyNumberFormat="1" applyBorder="1">
      <alignment vertical="center"/>
    </xf>
    <xf numFmtId="180" fontId="0" fillId="0" borderId="0" xfId="0" applyNumberFormat="1" applyBorder="1">
      <alignment vertical="center"/>
    </xf>
    <xf numFmtId="0" fontId="2" fillId="0" borderId="0" xfId="0" applyFont="1" applyBorder="1">
      <alignment vertical="center"/>
    </xf>
    <xf numFmtId="180" fontId="0" fillId="0" borderId="9" xfId="0" applyNumberFormat="1" applyBorder="1">
      <alignment vertical="center"/>
    </xf>
    <xf numFmtId="180" fontId="0" fillId="0" borderId="11" xfId="0" applyNumberFormat="1" applyBorder="1">
      <alignment vertical="center"/>
    </xf>
    <xf numFmtId="0" fontId="2" fillId="0" borderId="11" xfId="0" applyFont="1" applyBorder="1">
      <alignment vertical="center"/>
    </xf>
    <xf numFmtId="180" fontId="0" fillId="0" borderId="12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32463;&#39564;&#19982;&#25237;&#25918;&#35774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04;&#38271;&#25968;&#20540;&#30456;&#20851;/&#20135;&#20986;&#25972;&#2151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0.52500000000000002</v>
          </cell>
          <cell r="F29">
            <v>0.72500000000000009</v>
          </cell>
          <cell r="G29">
            <v>0.80475000000000019</v>
          </cell>
          <cell r="H29">
            <v>1.0047500000000003</v>
          </cell>
          <cell r="I29">
            <v>1.2047500000000002</v>
          </cell>
          <cell r="J29">
            <v>1.4216050000000002</v>
          </cell>
          <cell r="K29">
            <v>1.6216050000000002</v>
          </cell>
          <cell r="L29">
            <v>1.8216050000000001</v>
          </cell>
          <cell r="M29">
            <v>2.0216050000000001</v>
          </cell>
          <cell r="N29">
            <v>2.5876544000000004</v>
          </cell>
          <cell r="O29">
            <v>2.7876544000000005</v>
          </cell>
          <cell r="P29">
            <v>2.9876544000000007</v>
          </cell>
          <cell r="Q29">
            <v>3.1876544000000009</v>
          </cell>
          <cell r="R29">
            <v>3.3876544000000011</v>
          </cell>
          <cell r="S29">
            <v>4.7427161600000014</v>
          </cell>
        </row>
        <row r="32">
          <cell r="E32">
            <v>0.2</v>
          </cell>
          <cell r="F32">
            <v>0.2</v>
          </cell>
          <cell r="G32">
            <v>0.2</v>
          </cell>
          <cell r="H32">
            <v>0.2</v>
          </cell>
        </row>
        <row r="35">
          <cell r="E35">
            <v>0.05</v>
          </cell>
          <cell r="F35">
            <v>0.11</v>
          </cell>
          <cell r="G35">
            <v>0.18</v>
          </cell>
          <cell r="H35">
            <v>0.28000000000000003</v>
          </cell>
          <cell r="I35">
            <v>0.4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经验产出方式"/>
      <sheetName val="宠物计算经验表!"/>
      <sheetName val="宠物经验(副本关联表)"/>
    </sheetNames>
    <sheetDataSet>
      <sheetData sheetId="0"/>
      <sheetData sheetId="1"/>
      <sheetData sheetId="2"/>
      <sheetData sheetId="3">
        <row r="18">
          <cell r="I18">
            <v>60</v>
          </cell>
        </row>
        <row r="19">
          <cell r="I19">
            <v>90</v>
          </cell>
        </row>
        <row r="20">
          <cell r="I20">
            <v>120</v>
          </cell>
        </row>
        <row r="21">
          <cell r="I21">
            <v>150</v>
          </cell>
        </row>
        <row r="22">
          <cell r="I22">
            <v>190</v>
          </cell>
        </row>
        <row r="23">
          <cell r="I23">
            <v>220</v>
          </cell>
        </row>
        <row r="24">
          <cell r="I24">
            <v>260</v>
          </cell>
        </row>
        <row r="25">
          <cell r="I25">
            <v>290</v>
          </cell>
        </row>
        <row r="26">
          <cell r="I26">
            <v>330</v>
          </cell>
        </row>
        <row r="27">
          <cell r="I27">
            <v>370</v>
          </cell>
        </row>
        <row r="28">
          <cell r="I28">
            <v>400</v>
          </cell>
        </row>
        <row r="29">
          <cell r="I29">
            <v>520</v>
          </cell>
        </row>
        <row r="30">
          <cell r="I30">
            <v>640</v>
          </cell>
        </row>
        <row r="31">
          <cell r="I31">
            <v>760</v>
          </cell>
        </row>
        <row r="32">
          <cell r="I32">
            <v>890</v>
          </cell>
        </row>
        <row r="33">
          <cell r="I33">
            <v>1010</v>
          </cell>
        </row>
        <row r="34">
          <cell r="I34">
            <v>1140</v>
          </cell>
        </row>
        <row r="35">
          <cell r="I35">
            <v>1270</v>
          </cell>
        </row>
        <row r="36">
          <cell r="I36">
            <v>1400</v>
          </cell>
        </row>
        <row r="37">
          <cell r="I37">
            <v>1540</v>
          </cell>
        </row>
        <row r="38">
          <cell r="I38">
            <v>1670</v>
          </cell>
        </row>
        <row r="39">
          <cell r="I39">
            <v>1810</v>
          </cell>
        </row>
        <row r="40">
          <cell r="I40">
            <v>1960</v>
          </cell>
        </row>
        <row r="41">
          <cell r="I41">
            <v>2100</v>
          </cell>
        </row>
        <row r="42">
          <cell r="I42">
            <v>2250</v>
          </cell>
        </row>
        <row r="43">
          <cell r="I43">
            <v>2400</v>
          </cell>
        </row>
        <row r="44">
          <cell r="I44">
            <v>2550</v>
          </cell>
        </row>
        <row r="45">
          <cell r="I45">
            <v>2710</v>
          </cell>
        </row>
        <row r="46">
          <cell r="I46">
            <v>2860</v>
          </cell>
        </row>
        <row r="47">
          <cell r="I47">
            <v>3030</v>
          </cell>
        </row>
        <row r="48">
          <cell r="I48">
            <v>3190</v>
          </cell>
        </row>
        <row r="49">
          <cell r="I49">
            <v>3360</v>
          </cell>
        </row>
        <row r="50">
          <cell r="I50">
            <v>3530</v>
          </cell>
        </row>
        <row r="51">
          <cell r="I51">
            <v>3700</v>
          </cell>
        </row>
        <row r="52">
          <cell r="I52">
            <v>3880</v>
          </cell>
        </row>
        <row r="53">
          <cell r="I53">
            <v>4060</v>
          </cell>
        </row>
        <row r="54">
          <cell r="I54">
            <v>4240</v>
          </cell>
        </row>
        <row r="55">
          <cell r="I55">
            <v>4430</v>
          </cell>
        </row>
        <row r="56">
          <cell r="I56">
            <v>4620</v>
          </cell>
        </row>
        <row r="57">
          <cell r="I57">
            <v>4810</v>
          </cell>
        </row>
        <row r="58">
          <cell r="I58">
            <v>5000</v>
          </cell>
        </row>
        <row r="59">
          <cell r="I59">
            <v>5630</v>
          </cell>
        </row>
        <row r="60">
          <cell r="I60">
            <v>6330</v>
          </cell>
        </row>
        <row r="61">
          <cell r="I61">
            <v>7100</v>
          </cell>
        </row>
        <row r="62">
          <cell r="I62">
            <v>7940</v>
          </cell>
        </row>
        <row r="63">
          <cell r="I63">
            <v>8840</v>
          </cell>
        </row>
        <row r="64">
          <cell r="I64">
            <v>9830</v>
          </cell>
        </row>
        <row r="65">
          <cell r="I65">
            <v>10880</v>
          </cell>
        </row>
        <row r="66">
          <cell r="I66">
            <v>12030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产出消耗流图"/>
      <sheetName val="产出投放规划"/>
      <sheetName val="剧情副本产出分析"/>
      <sheetName val="通天塔_BOSS"/>
      <sheetName val="试炼"/>
      <sheetName val="困难本"/>
      <sheetName val="大冒险"/>
      <sheetName val="公会_贡献值内部算法"/>
      <sheetName val="公会商店"/>
      <sheetName val="公会科技"/>
      <sheetName val="草稿"/>
      <sheetName val="公会任务"/>
      <sheetName val="商店列表"/>
      <sheetName val="宠物进阶石通用价格对应"/>
      <sheetName val="大冒险reward  reseach"/>
      <sheetName val="签到系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8">
          <cell r="L18">
            <v>10</v>
          </cell>
        </row>
        <row r="19">
          <cell r="K19">
            <v>25</v>
          </cell>
        </row>
        <row r="20">
          <cell r="L20">
            <v>25</v>
          </cell>
        </row>
        <row r="21">
          <cell r="K21">
            <v>55</v>
          </cell>
        </row>
        <row r="22">
          <cell r="K22">
            <v>150</v>
          </cell>
        </row>
        <row r="23">
          <cell r="L23">
            <v>90</v>
          </cell>
        </row>
        <row r="24">
          <cell r="K24">
            <v>170</v>
          </cell>
        </row>
        <row r="25">
          <cell r="K25">
            <v>350</v>
          </cell>
        </row>
        <row r="26">
          <cell r="K26">
            <v>600</v>
          </cell>
        </row>
        <row r="27">
          <cell r="L27">
            <v>350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71" t="s">
        <v>93</v>
      </c>
      <c r="D4" s="72"/>
      <c r="E4" s="72"/>
      <c r="F4" s="72"/>
      <c r="G4" s="72"/>
      <c r="H4" s="72"/>
      <c r="I4" s="72"/>
      <c r="J4" s="72"/>
      <c r="K4" s="73"/>
      <c r="L4" s="71" t="s">
        <v>95</v>
      </c>
      <c r="M4" s="72"/>
      <c r="N4" s="72"/>
      <c r="O4" s="72"/>
      <c r="P4" s="73"/>
    </row>
    <row r="5" spans="2:16">
      <c r="B5" s="25" t="s">
        <v>92</v>
      </c>
      <c r="C5" s="71" t="s">
        <v>94</v>
      </c>
      <c r="D5" s="72"/>
      <c r="E5" s="72"/>
      <c r="F5" s="72"/>
      <c r="G5" s="72"/>
      <c r="H5" s="72"/>
      <c r="I5" s="72"/>
      <c r="J5" s="72"/>
      <c r="K5" s="73"/>
      <c r="L5" s="71" t="s">
        <v>96</v>
      </c>
      <c r="M5" s="72"/>
      <c r="N5" s="72"/>
      <c r="O5" s="72"/>
      <c r="P5" s="73"/>
    </row>
    <row r="6" spans="2:16">
      <c r="B6" s="25"/>
      <c r="C6" s="71"/>
      <c r="D6" s="72"/>
      <c r="E6" s="72"/>
      <c r="F6" s="72"/>
      <c r="G6" s="72"/>
      <c r="H6" s="72"/>
      <c r="I6" s="72"/>
      <c r="J6" s="72"/>
      <c r="K6" s="73"/>
      <c r="L6" s="71"/>
      <c r="M6" s="72"/>
      <c r="N6" s="72"/>
      <c r="O6" s="72"/>
      <c r="P6" s="73"/>
    </row>
    <row r="7" spans="2:16">
      <c r="B7" s="25"/>
      <c r="C7" s="71"/>
      <c r="D7" s="72"/>
      <c r="E7" s="72"/>
      <c r="F7" s="72"/>
      <c r="G7" s="72"/>
      <c r="H7" s="72"/>
      <c r="I7" s="72"/>
      <c r="J7" s="72"/>
      <c r="K7" s="73"/>
      <c r="L7" s="71"/>
      <c r="M7" s="72"/>
      <c r="N7" s="72"/>
      <c r="O7" s="72"/>
      <c r="P7" s="73"/>
    </row>
    <row r="8" spans="2:16">
      <c r="B8" s="25"/>
      <c r="C8" s="71"/>
      <c r="D8" s="72"/>
      <c r="E8" s="72"/>
      <c r="F8" s="72"/>
      <c r="G8" s="72"/>
      <c r="H8" s="72"/>
      <c r="I8" s="72"/>
      <c r="J8" s="72"/>
      <c r="K8" s="73"/>
      <c r="L8" s="71"/>
      <c r="M8" s="72"/>
      <c r="N8" s="72"/>
      <c r="O8" s="72"/>
      <c r="P8" s="73"/>
    </row>
    <row r="9" spans="2:16">
      <c r="B9" s="25"/>
      <c r="C9" s="71"/>
      <c r="D9" s="72"/>
      <c r="E9" s="72"/>
      <c r="F9" s="72"/>
      <c r="G9" s="72"/>
      <c r="H9" s="72"/>
      <c r="I9" s="72"/>
      <c r="J9" s="72"/>
      <c r="K9" s="73"/>
      <c r="L9" s="71"/>
      <c r="M9" s="72"/>
      <c r="N9" s="72"/>
      <c r="O9" s="72"/>
      <c r="P9" s="73"/>
    </row>
    <row r="10" spans="2:16">
      <c r="B10" s="25"/>
      <c r="C10" s="71"/>
      <c r="D10" s="72"/>
      <c r="E10" s="72"/>
      <c r="F10" s="72"/>
      <c r="G10" s="72"/>
      <c r="H10" s="72"/>
      <c r="I10" s="72"/>
      <c r="J10" s="72"/>
      <c r="K10" s="73"/>
      <c r="L10" s="71"/>
      <c r="M10" s="72"/>
      <c r="N10" s="72"/>
      <c r="O10" s="72"/>
      <c r="P10" s="73"/>
    </row>
    <row r="11" spans="2:16">
      <c r="B11" s="25"/>
      <c r="C11" s="71"/>
      <c r="D11" s="72"/>
      <c r="E11" s="72"/>
      <c r="F11" s="72"/>
      <c r="G11" s="72"/>
      <c r="H11" s="72"/>
      <c r="I11" s="72"/>
      <c r="J11" s="72"/>
      <c r="K11" s="73"/>
      <c r="L11" s="71"/>
      <c r="M11" s="72"/>
      <c r="N11" s="72"/>
      <c r="O11" s="72"/>
      <c r="P11" s="73"/>
    </row>
    <row r="12" spans="2:16">
      <c r="B12" s="25"/>
      <c r="C12" s="71"/>
      <c r="D12" s="72"/>
      <c r="E12" s="72"/>
      <c r="F12" s="72"/>
      <c r="G12" s="72"/>
      <c r="H12" s="72"/>
      <c r="I12" s="72"/>
      <c r="J12" s="72"/>
      <c r="K12" s="73"/>
      <c r="L12" s="71"/>
      <c r="M12" s="72"/>
      <c r="N12" s="72"/>
      <c r="O12" s="72"/>
      <c r="P12" s="73"/>
    </row>
    <row r="13" spans="2:16">
      <c r="B13" s="25"/>
      <c r="C13" s="71"/>
      <c r="D13" s="72"/>
      <c r="E13" s="72"/>
      <c r="F13" s="72"/>
      <c r="G13" s="72"/>
      <c r="H13" s="72"/>
      <c r="I13" s="72"/>
      <c r="J13" s="72"/>
      <c r="K13" s="73"/>
      <c r="L13" s="71"/>
      <c r="M13" s="72"/>
      <c r="N13" s="72"/>
      <c r="O13" s="72"/>
      <c r="P13" s="73"/>
    </row>
    <row r="14" spans="2:16">
      <c r="B14" s="25"/>
      <c r="C14" s="71"/>
      <c r="D14" s="72"/>
      <c r="E14" s="72"/>
      <c r="F14" s="72"/>
      <c r="G14" s="72"/>
      <c r="H14" s="72"/>
      <c r="I14" s="72"/>
      <c r="J14" s="72"/>
      <c r="K14" s="73"/>
      <c r="L14" s="71"/>
      <c r="M14" s="72"/>
      <c r="N14" s="72"/>
      <c r="O14" s="72"/>
      <c r="P14" s="73"/>
    </row>
    <row r="15" spans="2:16">
      <c r="B15" s="25"/>
      <c r="C15" s="71"/>
      <c r="D15" s="72"/>
      <c r="E15" s="72"/>
      <c r="F15" s="72"/>
      <c r="G15" s="72"/>
      <c r="H15" s="72"/>
      <c r="I15" s="72"/>
      <c r="J15" s="72"/>
      <c r="K15" s="73"/>
      <c r="L15" s="71"/>
      <c r="M15" s="72"/>
      <c r="N15" s="72"/>
      <c r="O15" s="72"/>
      <c r="P15" s="73"/>
    </row>
    <row r="16" spans="2:16">
      <c r="B16" s="25"/>
      <c r="C16" s="71"/>
      <c r="D16" s="72"/>
      <c r="E16" s="72"/>
      <c r="F16" s="72"/>
      <c r="G16" s="72"/>
      <c r="H16" s="72"/>
      <c r="I16" s="72"/>
      <c r="J16" s="72"/>
      <c r="K16" s="73"/>
      <c r="L16" s="71"/>
      <c r="M16" s="72"/>
      <c r="N16" s="72"/>
      <c r="O16" s="72"/>
      <c r="P16" s="73"/>
    </row>
    <row r="17" spans="2:16">
      <c r="B17" s="25"/>
      <c r="C17" s="71"/>
      <c r="D17" s="72"/>
      <c r="E17" s="72"/>
      <c r="F17" s="72"/>
      <c r="G17" s="72"/>
      <c r="H17" s="72"/>
      <c r="I17" s="72"/>
      <c r="J17" s="72"/>
      <c r="K17" s="73"/>
      <c r="L17" s="71"/>
      <c r="M17" s="72"/>
      <c r="N17" s="72"/>
      <c r="O17" s="72"/>
      <c r="P17" s="73"/>
    </row>
    <row r="18" spans="2:16">
      <c r="B18" s="25"/>
      <c r="C18" s="71"/>
      <c r="D18" s="72"/>
      <c r="E18" s="72"/>
      <c r="F18" s="72"/>
      <c r="G18" s="72"/>
      <c r="H18" s="72"/>
      <c r="I18" s="72"/>
      <c r="J18" s="72"/>
      <c r="K18" s="73"/>
      <c r="L18" s="71"/>
      <c r="M18" s="72"/>
      <c r="N18" s="72"/>
      <c r="O18" s="72"/>
      <c r="P18" s="73"/>
    </row>
    <row r="19" spans="2:16">
      <c r="B19" s="25"/>
      <c r="C19" s="71"/>
      <c r="D19" s="72"/>
      <c r="E19" s="72"/>
      <c r="F19" s="72"/>
      <c r="G19" s="72"/>
      <c r="H19" s="72"/>
      <c r="I19" s="72"/>
      <c r="J19" s="72"/>
      <c r="K19" s="73"/>
      <c r="L19" s="71"/>
      <c r="M19" s="72"/>
      <c r="N19" s="72"/>
      <c r="O19" s="72"/>
      <c r="P19" s="73"/>
    </row>
    <row r="20" spans="2:16">
      <c r="B20" s="25"/>
      <c r="C20" s="71"/>
      <c r="D20" s="72"/>
      <c r="E20" s="72"/>
      <c r="F20" s="72"/>
      <c r="G20" s="72"/>
      <c r="H20" s="72"/>
      <c r="I20" s="72"/>
      <c r="J20" s="72"/>
      <c r="K20" s="73"/>
      <c r="L20" s="71"/>
      <c r="M20" s="72"/>
      <c r="N20" s="72"/>
      <c r="O20" s="72"/>
      <c r="P20" s="73"/>
    </row>
    <row r="21" spans="2:16">
      <c r="B21" s="25"/>
      <c r="C21" s="71"/>
      <c r="D21" s="72"/>
      <c r="E21" s="72"/>
      <c r="F21" s="72"/>
      <c r="G21" s="72"/>
      <c r="H21" s="72"/>
      <c r="I21" s="72"/>
      <c r="J21" s="72"/>
      <c r="K21" s="73"/>
      <c r="L21" s="71"/>
      <c r="M21" s="72"/>
      <c r="N21" s="72"/>
      <c r="O21" s="72"/>
      <c r="P21" s="73"/>
    </row>
    <row r="22" spans="2:16">
      <c r="B22" s="25"/>
      <c r="C22" s="71"/>
      <c r="D22" s="72"/>
      <c r="E22" s="72"/>
      <c r="F22" s="72"/>
      <c r="G22" s="72"/>
      <c r="H22" s="72"/>
      <c r="I22" s="72"/>
      <c r="J22" s="72"/>
      <c r="K22" s="73"/>
      <c r="L22" s="71"/>
      <c r="M22" s="72"/>
      <c r="N22" s="72"/>
      <c r="O22" s="72"/>
      <c r="P22" s="73"/>
    </row>
    <row r="23" spans="2:16">
      <c r="B23" s="25"/>
      <c r="C23" s="71"/>
      <c r="D23" s="72"/>
      <c r="E23" s="72"/>
      <c r="F23" s="72"/>
      <c r="G23" s="72"/>
      <c r="H23" s="72"/>
      <c r="I23" s="72"/>
      <c r="J23" s="72"/>
      <c r="K23" s="73"/>
      <c r="L23" s="71"/>
      <c r="M23" s="72"/>
      <c r="N23" s="72"/>
      <c r="O23" s="72"/>
      <c r="P23" s="73"/>
    </row>
    <row r="24" spans="2:16">
      <c r="B24" s="25"/>
      <c r="C24" s="71"/>
      <c r="D24" s="72"/>
      <c r="E24" s="72"/>
      <c r="F24" s="72"/>
      <c r="G24" s="72"/>
      <c r="H24" s="72"/>
      <c r="I24" s="72"/>
      <c r="J24" s="72"/>
      <c r="K24" s="73"/>
      <c r="L24" s="71"/>
      <c r="M24" s="72"/>
      <c r="N24" s="72"/>
      <c r="O24" s="72"/>
      <c r="P24" s="73"/>
    </row>
    <row r="25" spans="2:16">
      <c r="B25" s="25"/>
      <c r="C25" s="71"/>
      <c r="D25" s="72"/>
      <c r="E25" s="72"/>
      <c r="F25" s="72"/>
      <c r="G25" s="72"/>
      <c r="H25" s="72"/>
      <c r="I25" s="72"/>
      <c r="J25" s="72"/>
      <c r="K25" s="73"/>
      <c r="L25" s="71"/>
      <c r="M25" s="72"/>
      <c r="N25" s="72"/>
      <c r="O25" s="72"/>
      <c r="P25" s="73"/>
    </row>
    <row r="26" spans="2:16">
      <c r="B26" s="25"/>
      <c r="C26" s="71"/>
      <c r="D26" s="72"/>
      <c r="E26" s="72"/>
      <c r="F26" s="72"/>
      <c r="G26" s="72"/>
      <c r="H26" s="72"/>
      <c r="I26" s="72"/>
      <c r="J26" s="72"/>
      <c r="K26" s="73"/>
      <c r="L26" s="71"/>
      <c r="M26" s="72"/>
      <c r="N26" s="72"/>
      <c r="O26" s="72"/>
      <c r="P26" s="73"/>
    </row>
    <row r="27" spans="2:16">
      <c r="B27" s="25"/>
      <c r="C27" s="71"/>
      <c r="D27" s="72"/>
      <c r="E27" s="72"/>
      <c r="F27" s="72"/>
      <c r="G27" s="72"/>
      <c r="H27" s="72"/>
      <c r="I27" s="72"/>
      <c r="J27" s="72"/>
      <c r="K27" s="73"/>
      <c r="L27" s="71"/>
      <c r="M27" s="72"/>
      <c r="N27" s="72"/>
      <c r="O27" s="72"/>
      <c r="P27" s="73"/>
    </row>
    <row r="28" spans="2:16">
      <c r="B28" s="25"/>
      <c r="C28" s="71"/>
      <c r="D28" s="72"/>
      <c r="E28" s="72"/>
      <c r="F28" s="72"/>
      <c r="G28" s="72"/>
      <c r="H28" s="72"/>
      <c r="I28" s="72"/>
      <c r="J28" s="72"/>
      <c r="K28" s="73"/>
      <c r="L28" s="71"/>
      <c r="M28" s="72"/>
      <c r="N28" s="72"/>
      <c r="O28" s="72"/>
      <c r="P28" s="73"/>
    </row>
    <row r="29" spans="2:16">
      <c r="B29" s="25"/>
      <c r="C29" s="71"/>
      <c r="D29" s="72"/>
      <c r="E29" s="72"/>
      <c r="F29" s="72"/>
      <c r="G29" s="72"/>
      <c r="H29" s="72"/>
      <c r="I29" s="72"/>
      <c r="J29" s="72"/>
      <c r="K29" s="73"/>
      <c r="L29" s="71"/>
      <c r="M29" s="72"/>
      <c r="N29" s="72"/>
      <c r="O29" s="72"/>
      <c r="P29" s="73"/>
    </row>
    <row r="30" spans="2:16">
      <c r="B30" s="25"/>
      <c r="C30" s="71"/>
      <c r="D30" s="72"/>
      <c r="E30" s="72"/>
      <c r="F30" s="72"/>
      <c r="G30" s="72"/>
      <c r="H30" s="72"/>
      <c r="I30" s="72"/>
      <c r="J30" s="72"/>
      <c r="K30" s="73"/>
      <c r="L30" s="71"/>
      <c r="M30" s="72"/>
      <c r="N30" s="72"/>
      <c r="O30" s="72"/>
      <c r="P30" s="73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>
      <selection activeCell="O18" sqref="O18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271</v>
      </c>
      <c r="C1" s="58">
        <v>0.02</v>
      </c>
      <c r="D1" t="s">
        <v>273</v>
      </c>
    </row>
    <row r="2" spans="1:35" ht="14.25" thickBot="1">
      <c r="B2" s="9" t="s">
        <v>272</v>
      </c>
      <c r="C2" s="58">
        <v>1.5</v>
      </c>
      <c r="F2" t="s">
        <v>266</v>
      </c>
    </row>
    <row r="3" spans="1:35">
      <c r="R3" s="26"/>
      <c r="S3" s="27"/>
      <c r="T3" s="27"/>
      <c r="U3" s="28"/>
    </row>
    <row r="4" spans="1:35">
      <c r="A4" t="s">
        <v>277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268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290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289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521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596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1411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1058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264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4.25" thickBot="1">
      <c r="B20" s="9" t="s">
        <v>267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278</v>
      </c>
    </row>
    <row r="25" spans="1:36">
      <c r="A25" t="s">
        <v>10</v>
      </c>
      <c r="D25" t="s">
        <v>15</v>
      </c>
      <c r="P25" t="s">
        <v>279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zoomScaleNormal="100" workbookViewId="0">
      <selection activeCell="Q27" sqref="Q27:T35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134</v>
      </c>
      <c r="F2" t="s">
        <v>135</v>
      </c>
      <c r="H2" t="s">
        <v>87</v>
      </c>
      <c r="J2" t="s">
        <v>133</v>
      </c>
      <c r="K2">
        <v>10</v>
      </c>
      <c r="L2" t="s">
        <v>105</v>
      </c>
      <c r="M2">
        <f>[1]属性分配!$E$29/[1]属性分配!$D$29</f>
        <v>1.05</v>
      </c>
      <c r="O2" t="s">
        <v>286</v>
      </c>
      <c r="R2" t="s">
        <v>421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1.4500000000000002</v>
      </c>
      <c r="O3" t="s">
        <v>287</v>
      </c>
      <c r="P3">
        <f>[1]属性分配!$E$35</f>
        <v>0.05</v>
      </c>
    </row>
    <row r="4" spans="2:20">
      <c r="C4">
        <v>10</v>
      </c>
      <c r="D4" s="7">
        <v>1.4</v>
      </c>
      <c r="E4" s="7">
        <f>(D4-$D$3)*(P3)</f>
        <v>1.9999999999999997E-2</v>
      </c>
      <c r="F4" s="46"/>
      <c r="G4" s="46"/>
      <c r="H4" s="24">
        <f t="shared" si="0"/>
        <v>1.42</v>
      </c>
      <c r="K4">
        <v>20</v>
      </c>
      <c r="L4" t="s">
        <v>120</v>
      </c>
      <c r="M4">
        <f>[1]属性分配!$G$29/[1]属性分配!$D$29</f>
        <v>1.6095000000000004</v>
      </c>
      <c r="O4" t="s">
        <v>288</v>
      </c>
      <c r="P4">
        <f>P3+[1]属性分配!$F$35</f>
        <v>0.16</v>
      </c>
    </row>
    <row r="5" spans="2:20">
      <c r="C5">
        <v>15</v>
      </c>
      <c r="D5" s="7">
        <v>1.6</v>
      </c>
      <c r="E5" s="7">
        <f>(D5-$D$3)*(P3)</f>
        <v>3.0000000000000006E-2</v>
      </c>
      <c r="F5" s="46">
        <f>(D5-$D$3)*[1]属性分配!$E$32</f>
        <v>0.12000000000000002</v>
      </c>
      <c r="G5" s="46"/>
      <c r="H5" s="24">
        <f t="shared" si="0"/>
        <v>1.7500000000000002</v>
      </c>
      <c r="K5">
        <v>25</v>
      </c>
      <c r="L5" t="s">
        <v>121</v>
      </c>
      <c r="M5">
        <f>[1]属性分配!$H$29/[1]属性分配!$D$29</f>
        <v>2.0095000000000005</v>
      </c>
      <c r="O5" t="s">
        <v>289</v>
      </c>
      <c r="P5">
        <f>P4+[1]属性分配!$G$35</f>
        <v>0.33999999999999997</v>
      </c>
    </row>
    <row r="6" spans="2:20">
      <c r="C6">
        <v>20</v>
      </c>
      <c r="D6" s="7">
        <v>1.8</v>
      </c>
      <c r="E6" s="7">
        <f>(D6-$D$3)*(P4)</f>
        <v>0.128</v>
      </c>
      <c r="F6" s="4">
        <f>F5</f>
        <v>0.12000000000000002</v>
      </c>
      <c r="G6" s="4"/>
      <c r="H6" s="24">
        <f t="shared" si="0"/>
        <v>2.048</v>
      </c>
      <c r="K6">
        <v>30</v>
      </c>
      <c r="L6" t="s">
        <v>122</v>
      </c>
      <c r="M6">
        <f>[1]属性分配!$I$29/[1]属性分配!$D$29</f>
        <v>2.4095000000000004</v>
      </c>
      <c r="O6" t="s">
        <v>290</v>
      </c>
      <c r="P6">
        <f>P5+[1]属性分配!$H$35</f>
        <v>0.62</v>
      </c>
    </row>
    <row r="7" spans="2:20">
      <c r="C7">
        <v>25</v>
      </c>
      <c r="D7" s="7">
        <v>2</v>
      </c>
      <c r="E7" s="7">
        <f>(D7-$D$3)*(P5)</f>
        <v>0.33999999999999997</v>
      </c>
      <c r="F7" s="46">
        <f>(D7-$D$3)*[1]属性分配!$F$32+F6</f>
        <v>0.32000000000000006</v>
      </c>
      <c r="G7" s="4"/>
      <c r="H7" s="24">
        <f t="shared" si="0"/>
        <v>2.66</v>
      </c>
      <c r="K7">
        <v>35</v>
      </c>
      <c r="L7" t="s">
        <v>123</v>
      </c>
      <c r="M7">
        <f>[1]属性分配!$J$29/[1]属性分配!$D$29</f>
        <v>2.8432100000000005</v>
      </c>
      <c r="O7" t="s">
        <v>291</v>
      </c>
      <c r="P7">
        <f>P6+[1]属性分配!$I$35</f>
        <v>1.02</v>
      </c>
    </row>
    <row r="8" spans="2:20">
      <c r="C8">
        <v>30</v>
      </c>
      <c r="D8" s="7">
        <v>2.2000000000000002</v>
      </c>
      <c r="E8" s="7">
        <f>(D8-$D$3)*(P5)</f>
        <v>0.40800000000000003</v>
      </c>
      <c r="F8" s="4">
        <f>(D8-$D$3)*[1]属性分配!$F$32+F7</f>
        <v>0.56000000000000005</v>
      </c>
      <c r="G8" s="4"/>
      <c r="H8" s="24">
        <f t="shared" si="0"/>
        <v>3.1680000000000001</v>
      </c>
      <c r="K8">
        <v>40</v>
      </c>
      <c r="L8" t="s">
        <v>124</v>
      </c>
      <c r="M8">
        <f>[1]属性分配!$K$29/[1]属性分配!$D$29</f>
        <v>3.2432100000000004</v>
      </c>
    </row>
    <row r="9" spans="2:20">
      <c r="C9">
        <v>35</v>
      </c>
      <c r="D9" s="7">
        <v>2.4</v>
      </c>
      <c r="E9" s="7">
        <f>(D9-$D$3)*(P5)</f>
        <v>0.47599999999999992</v>
      </c>
      <c r="F9" s="4">
        <f>F8</f>
        <v>0.56000000000000005</v>
      </c>
      <c r="G9" s="4"/>
      <c r="H9" s="24">
        <f t="shared" si="0"/>
        <v>3.4359999999999999</v>
      </c>
      <c r="K9">
        <v>45</v>
      </c>
      <c r="L9" t="s">
        <v>125</v>
      </c>
      <c r="M9">
        <f>[1]属性分配!$L$29/[1]属性分配!$D$29</f>
        <v>3.6432100000000003</v>
      </c>
    </row>
    <row r="10" spans="2:20">
      <c r="C10">
        <v>40</v>
      </c>
      <c r="D10" s="7">
        <v>2.6</v>
      </c>
      <c r="E10" s="7">
        <f>(D10-$D$3)*$P$5</f>
        <v>0.54399999999999993</v>
      </c>
      <c r="F10" s="4">
        <f>(D10-$D$3)*[1]属性分配!$G$32+F8</f>
        <v>0.88000000000000012</v>
      </c>
      <c r="G10" s="4"/>
      <c r="H10" s="24">
        <f t="shared" si="0"/>
        <v>4.024</v>
      </c>
      <c r="K10">
        <v>50</v>
      </c>
      <c r="L10" t="s">
        <v>126</v>
      </c>
      <c r="M10">
        <f>[1]属性分配!$M$29/[1]属性分配!$D$29</f>
        <v>4.0432100000000002</v>
      </c>
    </row>
    <row r="11" spans="2:20">
      <c r="C11">
        <v>45</v>
      </c>
      <c r="D11" s="7">
        <v>2.8</v>
      </c>
      <c r="E11" s="7">
        <f>(D11-$D$3)*$P$5</f>
        <v>0.61199999999999988</v>
      </c>
      <c r="F11" s="4">
        <f>(D11-$D$3)*[1]属性分配!$G$32+F10</f>
        <v>1.2400000000000002</v>
      </c>
      <c r="G11" s="4"/>
      <c r="H11" s="24">
        <f t="shared" si="0"/>
        <v>4.6520000000000001</v>
      </c>
      <c r="K11" s="48">
        <v>55</v>
      </c>
      <c r="L11" s="48" t="s">
        <v>127</v>
      </c>
      <c r="M11">
        <f>[1]属性分配!$N$29/[1]属性分配!$D$29</f>
        <v>5.1753088000000007</v>
      </c>
    </row>
    <row r="12" spans="2:20">
      <c r="C12">
        <v>50</v>
      </c>
      <c r="D12" s="7">
        <v>3</v>
      </c>
      <c r="E12" s="7">
        <f>(D12-$D$3)*$P$5</f>
        <v>0.67999999999999994</v>
      </c>
      <c r="F12" s="4">
        <f>(D12-$D$3)*[1]属性分配!$G$32+F11</f>
        <v>1.6400000000000001</v>
      </c>
      <c r="G12" s="4"/>
      <c r="H12" s="24">
        <f t="shared" si="0"/>
        <v>5.32</v>
      </c>
      <c r="K12" s="48">
        <v>60</v>
      </c>
      <c r="L12" s="48" t="s">
        <v>128</v>
      </c>
      <c r="M12">
        <f>[1]属性分配!$O$29/[1]属性分配!$D$29</f>
        <v>5.5753088000000011</v>
      </c>
    </row>
    <row r="13" spans="2:20">
      <c r="C13">
        <v>55</v>
      </c>
      <c r="D13" s="7">
        <v>3.2</v>
      </c>
      <c r="E13" s="7">
        <f>(D13-$D$3)*$P$6</f>
        <v>1.3640000000000001</v>
      </c>
      <c r="F13" s="4">
        <f>F12</f>
        <v>1.6400000000000001</v>
      </c>
      <c r="G13" s="4"/>
      <c r="H13" s="24">
        <f t="shared" si="0"/>
        <v>6.2040000000000006</v>
      </c>
      <c r="K13" s="48">
        <v>65</v>
      </c>
      <c r="L13" s="48" t="s">
        <v>129</v>
      </c>
      <c r="M13">
        <f>[1]属性分配!$P$29/[1]属性分配!$D$29</f>
        <v>5.9753088000000014</v>
      </c>
    </row>
    <row r="14" spans="2:20">
      <c r="C14">
        <v>60</v>
      </c>
      <c r="D14" s="7">
        <v>3.4</v>
      </c>
      <c r="E14" s="7">
        <f t="shared" ref="E14:E17" si="1">(D14-$D$3)*$P$6</f>
        <v>1.488</v>
      </c>
      <c r="F14" s="61">
        <f>(D14-$D$3)*[1]属性分配!$H$32+F12</f>
        <v>2.12</v>
      </c>
      <c r="G14" s="4"/>
      <c r="H14" s="24">
        <f t="shared" si="0"/>
        <v>7.008</v>
      </c>
      <c r="K14" s="48">
        <v>70</v>
      </c>
      <c r="L14" s="48" t="s">
        <v>130</v>
      </c>
      <c r="M14">
        <f>[1]属性分配!$Q$29/[1]属性分配!$D$29</f>
        <v>6.3753088000000018</v>
      </c>
    </row>
    <row r="15" spans="2:20">
      <c r="C15">
        <v>65</v>
      </c>
      <c r="D15" s="7">
        <v>3.6</v>
      </c>
      <c r="E15" s="7">
        <f t="shared" si="1"/>
        <v>1.6120000000000001</v>
      </c>
      <c r="F15" s="61">
        <f>(D15-$D$3)*[1]属性分配!$H$32+F13</f>
        <v>2.16</v>
      </c>
      <c r="G15" s="4"/>
      <c r="H15" s="24">
        <f t="shared" si="0"/>
        <v>7.3719999999999999</v>
      </c>
      <c r="K15" s="48">
        <v>75</v>
      </c>
      <c r="L15" s="48" t="s">
        <v>131</v>
      </c>
      <c r="M15">
        <f>[1]属性分配!$R$29/[1]属性分配!$D$29</f>
        <v>6.7753088000000021</v>
      </c>
    </row>
    <row r="16" spans="2:20">
      <c r="C16">
        <v>70</v>
      </c>
      <c r="D16" s="7">
        <v>3.8</v>
      </c>
      <c r="E16" s="7">
        <f>(D16-$D$3)*$P$6</f>
        <v>1.736</v>
      </c>
      <c r="F16" s="61">
        <f>(D16-$D$3)*[1]属性分配!$H$32+F14</f>
        <v>2.68</v>
      </c>
      <c r="G16" s="4"/>
      <c r="H16" s="24">
        <f t="shared" si="0"/>
        <v>8.2159999999999993</v>
      </c>
      <c r="K16" s="48">
        <v>80</v>
      </c>
      <c r="L16" s="48" t="s">
        <v>132</v>
      </c>
      <c r="M16">
        <f>[1]属性分配!$S$29/[1]属性分配!$D$29</f>
        <v>9.4854323200000028</v>
      </c>
    </row>
    <row r="17" spans="1:22">
      <c r="C17">
        <v>75</v>
      </c>
      <c r="D17" s="7">
        <v>4</v>
      </c>
      <c r="E17" s="7">
        <f t="shared" si="1"/>
        <v>1.8599999999999999</v>
      </c>
      <c r="F17" s="61">
        <f>(D17-$D$3)*[1]属性分配!$H$32+F15</f>
        <v>2.7600000000000002</v>
      </c>
      <c r="G17" s="4"/>
      <c r="H17" s="24">
        <f t="shared" si="0"/>
        <v>8.6199999999999992</v>
      </c>
      <c r="L17" s="4"/>
    </row>
    <row r="18" spans="1:22">
      <c r="C18">
        <v>80</v>
      </c>
      <c r="D18" s="7">
        <v>4.2</v>
      </c>
      <c r="E18" s="7">
        <f>(D18-$D$3)*$P$7</f>
        <v>3.2640000000000002</v>
      </c>
      <c r="F18" s="61">
        <f>(D18-$D$3)*[1]属性分配!$H$32+F16</f>
        <v>3.3200000000000003</v>
      </c>
      <c r="G18" s="4"/>
      <c r="H18" s="24">
        <f t="shared" si="0"/>
        <v>10.784000000000001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 t="shared" ref="E19:E22" si="2">(D19-$D$3)*$P$7</f>
        <v>3.4680000000000004</v>
      </c>
      <c r="F19" s="46"/>
      <c r="G19" s="46"/>
      <c r="H19" s="24">
        <f t="shared" si="0"/>
        <v>7.8680000000000003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si="2"/>
        <v>3.6719999999999997</v>
      </c>
      <c r="F20" s="46"/>
      <c r="G20" s="46"/>
      <c r="H20" s="24">
        <f t="shared" si="0"/>
        <v>8.2719999999999985</v>
      </c>
      <c r="J20" s="3">
        <f>职业调整模型!C82</f>
        <v>9903</v>
      </c>
      <c r="K20" s="3">
        <f>ROUND($D$3/$H$22*J20,0)</f>
        <v>1091</v>
      </c>
    </row>
    <row r="21" spans="1:22">
      <c r="C21">
        <v>95</v>
      </c>
      <c r="D21" s="7">
        <v>4.8</v>
      </c>
      <c r="E21" s="7">
        <f t="shared" si="2"/>
        <v>3.8759999999999999</v>
      </c>
      <c r="F21" s="1"/>
      <c r="G21" s="1"/>
      <c r="H21" s="24">
        <f t="shared" si="0"/>
        <v>8.6760000000000002</v>
      </c>
      <c r="J21" s="3">
        <f>职业调整模型!C83</f>
        <v>3381</v>
      </c>
      <c r="K21" s="3">
        <f t="shared" ref="K21:K22" si="3">ROUND($D$3/$H$22*J21,0)</f>
        <v>372</v>
      </c>
    </row>
    <row r="22" spans="1:22">
      <c r="C22">
        <v>100</v>
      </c>
      <c r="D22" s="7">
        <v>5</v>
      </c>
      <c r="E22" s="7">
        <f t="shared" si="2"/>
        <v>4.08</v>
      </c>
      <c r="F22" s="1"/>
      <c r="G22" s="1"/>
      <c r="H22" s="24">
        <f t="shared" si="0"/>
        <v>9.08</v>
      </c>
      <c r="J22" s="3">
        <f>职业调整模型!C84</f>
        <v>3381</v>
      </c>
      <c r="K22" s="3">
        <f t="shared" si="3"/>
        <v>372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355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44.060606060606062</v>
      </c>
      <c r="D25">
        <f t="shared" ref="D25:F25" si="4">(D$127-D$28)/99</f>
        <v>15.05050505050505</v>
      </c>
      <c r="E25">
        <f t="shared" si="4"/>
        <v>15.05050505050505</v>
      </c>
      <c r="F25">
        <f t="shared" si="4"/>
        <v>14.343434343434344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281</v>
      </c>
      <c r="J26" t="s">
        <v>283</v>
      </c>
      <c r="K26" t="s">
        <v>284</v>
      </c>
      <c r="L26" t="s">
        <v>285</v>
      </c>
      <c r="M26" t="s">
        <v>279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262</v>
      </c>
      <c r="I27" t="s">
        <v>282</v>
      </c>
      <c r="P27">
        <v>1</v>
      </c>
      <c r="Q27" s="3">
        <f>ROUNDDOWN($F4*C$28,0)</f>
        <v>0</v>
      </c>
      <c r="R27" s="3">
        <f t="shared" ref="R27:T27" si="5">ROUNDDOWN($F4*D$28,0)</f>
        <v>0</v>
      </c>
      <c r="S27" s="3">
        <f t="shared" si="5"/>
        <v>0</v>
      </c>
      <c r="T27" s="3">
        <f t="shared" si="5"/>
        <v>0</v>
      </c>
      <c r="U27" t="s">
        <v>105</v>
      </c>
      <c r="V27">
        <v>10</v>
      </c>
    </row>
    <row r="28" spans="1:22">
      <c r="B28">
        <v>1</v>
      </c>
      <c r="C28" s="3">
        <f>K20</f>
        <v>1091</v>
      </c>
      <c r="D28" s="3">
        <f>K21</f>
        <v>372</v>
      </c>
      <c r="E28" s="3">
        <f>K22</f>
        <v>372</v>
      </c>
      <c r="F28" s="3">
        <f>K23</f>
        <v>355</v>
      </c>
      <c r="G28" s="3">
        <v>30</v>
      </c>
      <c r="I28">
        <v>1</v>
      </c>
      <c r="P28">
        <v>2</v>
      </c>
      <c r="Q28" s="3">
        <f t="shared" ref="Q28:Q35" si="6">ROUNDDOWN($F5*C$28,0)</f>
        <v>130</v>
      </c>
      <c r="R28" s="3">
        <f t="shared" ref="R28:R35" si="7">ROUNDDOWN($F5*D$28,0)</f>
        <v>44</v>
      </c>
      <c r="S28" s="3">
        <f t="shared" ref="S28:S35" si="8">ROUNDDOWN($F5*E$28,0)</f>
        <v>44</v>
      </c>
      <c r="T28" s="3">
        <f t="shared" ref="T28:T35" si="9">ROUNDDOWN($F5*F$28,0)</f>
        <v>42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1135</v>
      </c>
      <c r="D29" s="3">
        <f t="shared" ref="D29:F44" si="10">ROUND(D$28+D$25*($B29-1),0)</f>
        <v>387</v>
      </c>
      <c r="E29" s="3">
        <f t="shared" si="10"/>
        <v>387</v>
      </c>
      <c r="F29" s="3">
        <f t="shared" si="10"/>
        <v>369</v>
      </c>
      <c r="G29" s="3">
        <f>$G$28+$G$25*($B29-1)</f>
        <v>32</v>
      </c>
      <c r="I29">
        <v>2</v>
      </c>
      <c r="J29">
        <f t="shared" ref="J29:J91" si="11">ROUNDDOWN(J$127*$I28/$I$126,0)</f>
        <v>44</v>
      </c>
      <c r="K29">
        <f t="shared" ref="K29:K91" si="12">ROUNDDOWN(K$127*$I28/$I$126,0)</f>
        <v>15</v>
      </c>
      <c r="L29">
        <f t="shared" ref="L29:L91" si="13">ROUNDDOWN(L$127*$I28/$I$126,0)</f>
        <v>15</v>
      </c>
      <c r="M29">
        <f t="shared" ref="M29:M91" si="14">ROUNDDOWN(M$127*$I28/$I$126,0)</f>
        <v>2</v>
      </c>
      <c r="P29">
        <v>3</v>
      </c>
      <c r="Q29" s="3">
        <f t="shared" si="6"/>
        <v>130</v>
      </c>
      <c r="R29" s="3">
        <f t="shared" si="7"/>
        <v>44</v>
      </c>
      <c r="S29" s="3">
        <f t="shared" si="8"/>
        <v>44</v>
      </c>
      <c r="T29" s="3">
        <f t="shared" si="9"/>
        <v>42</v>
      </c>
      <c r="U29" t="s">
        <v>120</v>
      </c>
      <c r="V29">
        <v>20</v>
      </c>
    </row>
    <row r="30" spans="1:22">
      <c r="B30">
        <v>3</v>
      </c>
      <c r="C30" s="3">
        <f t="shared" ref="C30:F45" si="15">ROUND(C$28+C$25*($B30-1),0)</f>
        <v>1179</v>
      </c>
      <c r="D30" s="3">
        <f t="shared" si="10"/>
        <v>402</v>
      </c>
      <c r="E30" s="3">
        <f t="shared" si="10"/>
        <v>402</v>
      </c>
      <c r="F30" s="3">
        <f t="shared" si="10"/>
        <v>384</v>
      </c>
      <c r="G30" s="3">
        <f t="shared" ref="G30:G93" si="16">$G$28+$G$25*($B30-1)</f>
        <v>34</v>
      </c>
      <c r="I30">
        <v>3</v>
      </c>
      <c r="J30">
        <f t="shared" si="11"/>
        <v>88</v>
      </c>
      <c r="K30">
        <f t="shared" si="12"/>
        <v>30</v>
      </c>
      <c r="L30">
        <f t="shared" si="13"/>
        <v>30</v>
      </c>
      <c r="M30">
        <f t="shared" si="14"/>
        <v>4</v>
      </c>
      <c r="P30">
        <v>4</v>
      </c>
      <c r="Q30" s="3">
        <f t="shared" si="6"/>
        <v>349</v>
      </c>
      <c r="R30" s="3">
        <f t="shared" si="7"/>
        <v>119</v>
      </c>
      <c r="S30" s="3">
        <f t="shared" si="8"/>
        <v>119</v>
      </c>
      <c r="T30" s="3">
        <f t="shared" si="9"/>
        <v>113</v>
      </c>
      <c r="U30" t="s">
        <v>121</v>
      </c>
      <c r="V30">
        <v>25</v>
      </c>
    </row>
    <row r="31" spans="1:22">
      <c r="B31">
        <v>4</v>
      </c>
      <c r="C31" s="3">
        <f t="shared" si="15"/>
        <v>1223</v>
      </c>
      <c r="D31" s="3">
        <f t="shared" si="10"/>
        <v>417</v>
      </c>
      <c r="E31" s="3">
        <f t="shared" si="10"/>
        <v>417</v>
      </c>
      <c r="F31" s="3">
        <f t="shared" si="10"/>
        <v>398</v>
      </c>
      <c r="G31" s="3">
        <f t="shared" si="16"/>
        <v>36</v>
      </c>
      <c r="I31">
        <v>4</v>
      </c>
      <c r="J31">
        <f t="shared" si="11"/>
        <v>132</v>
      </c>
      <c r="K31">
        <f t="shared" si="12"/>
        <v>45</v>
      </c>
      <c r="L31">
        <f t="shared" si="13"/>
        <v>45</v>
      </c>
      <c r="M31">
        <f t="shared" si="14"/>
        <v>6</v>
      </c>
      <c r="P31">
        <v>5</v>
      </c>
      <c r="Q31" s="3">
        <f t="shared" si="6"/>
        <v>610</v>
      </c>
      <c r="R31" s="3">
        <f t="shared" si="7"/>
        <v>208</v>
      </c>
      <c r="S31" s="3">
        <f t="shared" si="8"/>
        <v>208</v>
      </c>
      <c r="T31" s="3">
        <f t="shared" si="9"/>
        <v>198</v>
      </c>
      <c r="U31" t="s">
        <v>122</v>
      </c>
      <c r="V31">
        <v>30</v>
      </c>
    </row>
    <row r="32" spans="1:22">
      <c r="B32">
        <v>5</v>
      </c>
      <c r="C32" s="3">
        <f t="shared" si="15"/>
        <v>1267</v>
      </c>
      <c r="D32" s="3">
        <f t="shared" si="10"/>
        <v>432</v>
      </c>
      <c r="E32" s="3">
        <f t="shared" si="10"/>
        <v>432</v>
      </c>
      <c r="F32" s="3">
        <f t="shared" si="10"/>
        <v>412</v>
      </c>
      <c r="G32" s="3">
        <f t="shared" si="16"/>
        <v>38</v>
      </c>
      <c r="H32" t="s">
        <v>90</v>
      </c>
      <c r="I32">
        <v>5</v>
      </c>
      <c r="J32">
        <f t="shared" si="11"/>
        <v>176</v>
      </c>
      <c r="K32">
        <f t="shared" si="12"/>
        <v>60</v>
      </c>
      <c r="L32">
        <f t="shared" si="13"/>
        <v>60</v>
      </c>
      <c r="M32">
        <f t="shared" si="14"/>
        <v>8</v>
      </c>
      <c r="P32">
        <v>6</v>
      </c>
      <c r="Q32" s="3">
        <f t="shared" si="6"/>
        <v>610</v>
      </c>
      <c r="R32" s="3">
        <f t="shared" si="7"/>
        <v>208</v>
      </c>
      <c r="S32" s="3">
        <f t="shared" si="8"/>
        <v>208</v>
      </c>
      <c r="T32" s="3">
        <f t="shared" si="9"/>
        <v>198</v>
      </c>
      <c r="U32" t="s">
        <v>123</v>
      </c>
      <c r="V32">
        <v>35</v>
      </c>
    </row>
    <row r="33" spans="2:22">
      <c r="B33">
        <v>6</v>
      </c>
      <c r="C33" s="3">
        <f t="shared" si="15"/>
        <v>1311</v>
      </c>
      <c r="D33" s="3">
        <f t="shared" si="10"/>
        <v>447</v>
      </c>
      <c r="E33" s="3">
        <f t="shared" si="10"/>
        <v>447</v>
      </c>
      <c r="F33" s="3">
        <f t="shared" si="10"/>
        <v>427</v>
      </c>
      <c r="G33" s="3">
        <f t="shared" si="16"/>
        <v>40</v>
      </c>
      <c r="I33">
        <v>6</v>
      </c>
      <c r="J33">
        <f t="shared" si="11"/>
        <v>220</v>
      </c>
      <c r="K33">
        <f t="shared" si="12"/>
        <v>75</v>
      </c>
      <c r="L33">
        <f t="shared" si="13"/>
        <v>75</v>
      </c>
      <c r="M33">
        <f t="shared" si="14"/>
        <v>10</v>
      </c>
      <c r="P33">
        <v>7</v>
      </c>
      <c r="Q33" s="3">
        <f t="shared" si="6"/>
        <v>960</v>
      </c>
      <c r="R33" s="3">
        <f t="shared" si="7"/>
        <v>327</v>
      </c>
      <c r="S33" s="3">
        <f t="shared" si="8"/>
        <v>327</v>
      </c>
      <c r="T33" s="3">
        <f t="shared" si="9"/>
        <v>312</v>
      </c>
      <c r="U33" t="s">
        <v>124</v>
      </c>
      <c r="V33">
        <v>40</v>
      </c>
    </row>
    <row r="34" spans="2:22">
      <c r="B34">
        <v>7</v>
      </c>
      <c r="C34" s="3">
        <f t="shared" si="15"/>
        <v>1355</v>
      </c>
      <c r="D34" s="3">
        <f t="shared" si="10"/>
        <v>462</v>
      </c>
      <c r="E34" s="3">
        <f t="shared" si="10"/>
        <v>462</v>
      </c>
      <c r="F34" s="3">
        <f t="shared" si="10"/>
        <v>441</v>
      </c>
      <c r="G34" s="3">
        <f t="shared" si="16"/>
        <v>42</v>
      </c>
      <c r="I34">
        <v>7</v>
      </c>
      <c r="J34">
        <f t="shared" si="11"/>
        <v>264</v>
      </c>
      <c r="K34">
        <f t="shared" si="12"/>
        <v>90</v>
      </c>
      <c r="L34">
        <f t="shared" si="13"/>
        <v>90</v>
      </c>
      <c r="M34">
        <f t="shared" si="14"/>
        <v>12</v>
      </c>
      <c r="P34">
        <v>8</v>
      </c>
      <c r="Q34" s="3">
        <f t="shared" si="6"/>
        <v>1352</v>
      </c>
      <c r="R34" s="3">
        <f t="shared" si="7"/>
        <v>461</v>
      </c>
      <c r="S34" s="3">
        <f t="shared" si="8"/>
        <v>461</v>
      </c>
      <c r="T34" s="3">
        <f t="shared" si="9"/>
        <v>440</v>
      </c>
      <c r="U34" t="s">
        <v>125</v>
      </c>
      <c r="V34">
        <v>45</v>
      </c>
    </row>
    <row r="35" spans="2:22">
      <c r="B35">
        <v>8</v>
      </c>
      <c r="C35" s="3">
        <f t="shared" si="15"/>
        <v>1399</v>
      </c>
      <c r="D35" s="3">
        <f t="shared" si="10"/>
        <v>477</v>
      </c>
      <c r="E35" s="3">
        <f t="shared" si="10"/>
        <v>477</v>
      </c>
      <c r="F35" s="3">
        <f t="shared" si="10"/>
        <v>455</v>
      </c>
      <c r="G35" s="3">
        <f t="shared" si="16"/>
        <v>44</v>
      </c>
      <c r="I35">
        <v>8</v>
      </c>
      <c r="J35">
        <f t="shared" si="11"/>
        <v>308</v>
      </c>
      <c r="K35">
        <f t="shared" si="12"/>
        <v>105</v>
      </c>
      <c r="L35">
        <f t="shared" si="13"/>
        <v>105</v>
      </c>
      <c r="M35">
        <f t="shared" si="14"/>
        <v>14</v>
      </c>
      <c r="P35">
        <v>9</v>
      </c>
      <c r="Q35" s="3">
        <f t="shared" si="6"/>
        <v>1789</v>
      </c>
      <c r="R35" s="3">
        <f t="shared" si="7"/>
        <v>610</v>
      </c>
      <c r="S35" s="3">
        <f t="shared" si="8"/>
        <v>610</v>
      </c>
      <c r="T35" s="3">
        <f t="shared" si="9"/>
        <v>582</v>
      </c>
      <c r="U35" t="s">
        <v>126</v>
      </c>
      <c r="V35">
        <v>50</v>
      </c>
    </row>
    <row r="36" spans="2:22">
      <c r="B36" s="9">
        <v>9</v>
      </c>
      <c r="C36" s="3">
        <f t="shared" si="15"/>
        <v>1443</v>
      </c>
      <c r="D36" s="3">
        <f t="shared" si="10"/>
        <v>492</v>
      </c>
      <c r="E36" s="3">
        <f t="shared" si="10"/>
        <v>492</v>
      </c>
      <c r="F36" s="3">
        <f t="shared" si="10"/>
        <v>470</v>
      </c>
      <c r="G36" s="3">
        <f t="shared" si="16"/>
        <v>46</v>
      </c>
      <c r="I36">
        <v>9</v>
      </c>
      <c r="J36">
        <f t="shared" si="11"/>
        <v>352</v>
      </c>
      <c r="K36">
        <f t="shared" si="12"/>
        <v>120</v>
      </c>
      <c r="L36">
        <f t="shared" si="13"/>
        <v>120</v>
      </c>
      <c r="M36">
        <f t="shared" si="14"/>
        <v>16</v>
      </c>
      <c r="P36" s="48">
        <v>10</v>
      </c>
      <c r="Q36" s="48"/>
      <c r="R36" s="48"/>
      <c r="S36" s="48"/>
      <c r="T36" s="48"/>
      <c r="U36" s="48" t="s">
        <v>127</v>
      </c>
    </row>
    <row r="37" spans="2:22">
      <c r="B37" s="9">
        <v>10</v>
      </c>
      <c r="C37" s="3">
        <f t="shared" si="15"/>
        <v>1488</v>
      </c>
      <c r="D37" s="3">
        <f t="shared" si="10"/>
        <v>507</v>
      </c>
      <c r="E37" s="3">
        <f t="shared" si="10"/>
        <v>507</v>
      </c>
      <c r="F37" s="3">
        <f t="shared" si="10"/>
        <v>484</v>
      </c>
      <c r="G37" s="3">
        <f t="shared" si="16"/>
        <v>48</v>
      </c>
      <c r="I37">
        <v>10</v>
      </c>
      <c r="J37">
        <f t="shared" si="11"/>
        <v>396</v>
      </c>
      <c r="K37">
        <f t="shared" si="12"/>
        <v>135</v>
      </c>
      <c r="L37">
        <f t="shared" si="13"/>
        <v>135</v>
      </c>
      <c r="M37">
        <f t="shared" si="14"/>
        <v>18</v>
      </c>
      <c r="P37" s="48">
        <v>11</v>
      </c>
      <c r="Q37" s="48"/>
      <c r="R37" s="48"/>
      <c r="S37" s="48"/>
      <c r="T37" s="48"/>
      <c r="U37" s="48" t="s">
        <v>128</v>
      </c>
    </row>
    <row r="38" spans="2:22">
      <c r="B38" s="9">
        <v>11</v>
      </c>
      <c r="C38" s="3">
        <f t="shared" si="15"/>
        <v>1532</v>
      </c>
      <c r="D38" s="3">
        <f t="shared" si="10"/>
        <v>523</v>
      </c>
      <c r="E38" s="3">
        <f t="shared" si="10"/>
        <v>523</v>
      </c>
      <c r="F38" s="3">
        <f t="shared" si="10"/>
        <v>498</v>
      </c>
      <c r="G38" s="3">
        <f t="shared" si="16"/>
        <v>50</v>
      </c>
      <c r="I38">
        <v>11</v>
      </c>
      <c r="J38">
        <f t="shared" si="11"/>
        <v>440</v>
      </c>
      <c r="K38">
        <f t="shared" si="12"/>
        <v>150</v>
      </c>
      <c r="L38">
        <f t="shared" si="13"/>
        <v>150</v>
      </c>
      <c r="M38">
        <f t="shared" si="14"/>
        <v>20</v>
      </c>
      <c r="P38" s="48">
        <v>12</v>
      </c>
      <c r="Q38" s="48"/>
      <c r="R38" s="48"/>
      <c r="S38" s="48"/>
      <c r="T38" s="48"/>
      <c r="U38" s="48" t="s">
        <v>129</v>
      </c>
    </row>
    <row r="39" spans="2:22">
      <c r="B39" s="9">
        <v>12</v>
      </c>
      <c r="C39" s="3">
        <f t="shared" si="15"/>
        <v>1576</v>
      </c>
      <c r="D39" s="3">
        <f t="shared" si="10"/>
        <v>538</v>
      </c>
      <c r="E39" s="3">
        <f t="shared" si="10"/>
        <v>538</v>
      </c>
      <c r="F39" s="3">
        <f t="shared" si="10"/>
        <v>513</v>
      </c>
      <c r="G39" s="3">
        <f t="shared" si="16"/>
        <v>52</v>
      </c>
      <c r="I39">
        <v>12</v>
      </c>
      <c r="J39">
        <f t="shared" si="11"/>
        <v>484</v>
      </c>
      <c r="K39">
        <f t="shared" si="12"/>
        <v>165</v>
      </c>
      <c r="L39">
        <f t="shared" si="13"/>
        <v>165</v>
      </c>
      <c r="M39">
        <f t="shared" si="14"/>
        <v>22</v>
      </c>
      <c r="P39" s="48">
        <v>13</v>
      </c>
      <c r="Q39" s="48"/>
      <c r="R39" s="48"/>
      <c r="S39" s="48"/>
      <c r="T39" s="48"/>
      <c r="U39" s="48" t="s">
        <v>130</v>
      </c>
    </row>
    <row r="40" spans="2:22">
      <c r="B40" s="9">
        <v>13</v>
      </c>
      <c r="C40" s="3">
        <f t="shared" si="15"/>
        <v>1620</v>
      </c>
      <c r="D40" s="3">
        <f t="shared" si="10"/>
        <v>553</v>
      </c>
      <c r="E40" s="3">
        <f t="shared" si="10"/>
        <v>553</v>
      </c>
      <c r="F40" s="3">
        <f t="shared" si="10"/>
        <v>527</v>
      </c>
      <c r="G40" s="3">
        <f t="shared" si="16"/>
        <v>54</v>
      </c>
      <c r="I40">
        <v>13</v>
      </c>
      <c r="J40">
        <f t="shared" si="11"/>
        <v>528</v>
      </c>
      <c r="K40">
        <f t="shared" si="12"/>
        <v>180</v>
      </c>
      <c r="L40">
        <f t="shared" si="13"/>
        <v>180</v>
      </c>
      <c r="M40">
        <f t="shared" si="14"/>
        <v>24</v>
      </c>
      <c r="P40" s="48">
        <v>14</v>
      </c>
      <c r="Q40" s="48"/>
      <c r="R40" s="48"/>
      <c r="S40" s="48"/>
      <c r="T40" s="48"/>
      <c r="U40" s="48" t="s">
        <v>131</v>
      </c>
    </row>
    <row r="41" spans="2:22">
      <c r="B41" s="9">
        <v>14</v>
      </c>
      <c r="C41" s="3">
        <f t="shared" si="15"/>
        <v>1664</v>
      </c>
      <c r="D41" s="3">
        <f t="shared" si="10"/>
        <v>568</v>
      </c>
      <c r="E41" s="3">
        <f t="shared" si="10"/>
        <v>568</v>
      </c>
      <c r="F41" s="3">
        <f t="shared" si="10"/>
        <v>541</v>
      </c>
      <c r="G41" s="3">
        <f t="shared" si="16"/>
        <v>56</v>
      </c>
      <c r="I41">
        <v>14</v>
      </c>
      <c r="J41">
        <f t="shared" si="11"/>
        <v>572</v>
      </c>
      <c r="K41">
        <f t="shared" si="12"/>
        <v>195</v>
      </c>
      <c r="L41">
        <f t="shared" si="13"/>
        <v>195</v>
      </c>
      <c r="M41">
        <f t="shared" si="14"/>
        <v>26</v>
      </c>
      <c r="P41" s="48">
        <v>15</v>
      </c>
      <c r="Q41" s="48"/>
      <c r="R41" s="48"/>
      <c r="S41" s="48"/>
      <c r="T41" s="48"/>
      <c r="U41" s="48" t="s">
        <v>132</v>
      </c>
    </row>
    <row r="42" spans="2:22">
      <c r="B42" s="9">
        <v>15</v>
      </c>
      <c r="C42" s="3">
        <f t="shared" si="15"/>
        <v>1708</v>
      </c>
      <c r="D42" s="3">
        <f t="shared" si="10"/>
        <v>583</v>
      </c>
      <c r="E42" s="3">
        <f t="shared" si="10"/>
        <v>583</v>
      </c>
      <c r="F42" s="3">
        <f t="shared" si="10"/>
        <v>556</v>
      </c>
      <c r="G42" s="3">
        <f t="shared" si="16"/>
        <v>58</v>
      </c>
      <c r="I42">
        <v>15</v>
      </c>
      <c r="J42">
        <f t="shared" si="11"/>
        <v>616</v>
      </c>
      <c r="K42">
        <f t="shared" si="12"/>
        <v>210</v>
      </c>
      <c r="L42">
        <f t="shared" si="13"/>
        <v>210</v>
      </c>
      <c r="M42">
        <f t="shared" si="14"/>
        <v>28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15"/>
        <v>1752</v>
      </c>
      <c r="D43" s="3">
        <f t="shared" si="10"/>
        <v>598</v>
      </c>
      <c r="E43" s="3">
        <f t="shared" si="10"/>
        <v>598</v>
      </c>
      <c r="F43" s="3">
        <f t="shared" si="10"/>
        <v>570</v>
      </c>
      <c r="G43" s="3">
        <f t="shared" si="16"/>
        <v>60</v>
      </c>
      <c r="I43">
        <v>16</v>
      </c>
      <c r="J43">
        <f t="shared" si="11"/>
        <v>660</v>
      </c>
      <c r="K43">
        <f t="shared" si="12"/>
        <v>225</v>
      </c>
      <c r="L43">
        <f t="shared" si="13"/>
        <v>225</v>
      </c>
      <c r="M43">
        <f t="shared" si="14"/>
        <v>30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15"/>
        <v>1796</v>
      </c>
      <c r="D44" s="3">
        <f t="shared" si="10"/>
        <v>613</v>
      </c>
      <c r="E44" s="3">
        <f t="shared" si="10"/>
        <v>613</v>
      </c>
      <c r="F44" s="3">
        <f t="shared" si="10"/>
        <v>584</v>
      </c>
      <c r="G44" s="3">
        <f t="shared" si="16"/>
        <v>62</v>
      </c>
      <c r="I44">
        <v>17</v>
      </c>
      <c r="J44">
        <f t="shared" si="11"/>
        <v>704</v>
      </c>
      <c r="K44">
        <f t="shared" si="12"/>
        <v>240</v>
      </c>
      <c r="L44">
        <f t="shared" si="13"/>
        <v>240</v>
      </c>
      <c r="M44">
        <f t="shared" si="14"/>
        <v>32</v>
      </c>
    </row>
    <row r="45" spans="2:22">
      <c r="B45" s="9">
        <v>18</v>
      </c>
      <c r="C45" s="3">
        <f t="shared" si="15"/>
        <v>1840</v>
      </c>
      <c r="D45" s="3">
        <f t="shared" si="15"/>
        <v>628</v>
      </c>
      <c r="E45" s="3">
        <f t="shared" si="15"/>
        <v>628</v>
      </c>
      <c r="F45" s="3">
        <f t="shared" si="15"/>
        <v>599</v>
      </c>
      <c r="G45" s="3">
        <f t="shared" si="16"/>
        <v>64</v>
      </c>
      <c r="I45">
        <v>18</v>
      </c>
      <c r="J45">
        <f t="shared" si="11"/>
        <v>749</v>
      </c>
      <c r="K45">
        <f t="shared" si="12"/>
        <v>255</v>
      </c>
      <c r="L45">
        <f t="shared" si="13"/>
        <v>255</v>
      </c>
      <c r="M45">
        <f t="shared" si="14"/>
        <v>34</v>
      </c>
    </row>
    <row r="46" spans="2:22">
      <c r="B46" s="9">
        <v>19</v>
      </c>
      <c r="C46" s="3">
        <f t="shared" ref="C46:F109" si="17">ROUND(C$28+C$25*($B46-1),0)</f>
        <v>1884</v>
      </c>
      <c r="D46" s="3">
        <f t="shared" si="17"/>
        <v>643</v>
      </c>
      <c r="E46" s="3">
        <f t="shared" si="17"/>
        <v>643</v>
      </c>
      <c r="F46" s="3">
        <f t="shared" si="17"/>
        <v>613</v>
      </c>
      <c r="G46" s="3">
        <f t="shared" si="16"/>
        <v>66</v>
      </c>
      <c r="I46">
        <v>19</v>
      </c>
      <c r="J46">
        <f t="shared" si="11"/>
        <v>793</v>
      </c>
      <c r="K46">
        <f t="shared" si="12"/>
        <v>270</v>
      </c>
      <c r="L46">
        <f t="shared" si="13"/>
        <v>270</v>
      </c>
      <c r="M46">
        <f t="shared" si="14"/>
        <v>36</v>
      </c>
    </row>
    <row r="47" spans="2:22">
      <c r="B47" s="9">
        <v>20</v>
      </c>
      <c r="C47" s="3">
        <f t="shared" si="17"/>
        <v>1928</v>
      </c>
      <c r="D47" s="3">
        <f t="shared" si="17"/>
        <v>658</v>
      </c>
      <c r="E47" s="3">
        <f t="shared" si="17"/>
        <v>658</v>
      </c>
      <c r="F47" s="3">
        <f t="shared" si="17"/>
        <v>628</v>
      </c>
      <c r="G47" s="3">
        <f t="shared" si="16"/>
        <v>68</v>
      </c>
      <c r="I47">
        <v>20</v>
      </c>
      <c r="J47">
        <f t="shared" si="11"/>
        <v>837</v>
      </c>
      <c r="K47">
        <f t="shared" si="12"/>
        <v>285</v>
      </c>
      <c r="L47">
        <f t="shared" si="13"/>
        <v>285</v>
      </c>
      <c r="M47">
        <f t="shared" si="14"/>
        <v>38</v>
      </c>
    </row>
    <row r="48" spans="2:22">
      <c r="B48" s="9">
        <v>21</v>
      </c>
      <c r="C48" s="3">
        <f t="shared" si="17"/>
        <v>1972</v>
      </c>
      <c r="D48" s="3">
        <f t="shared" si="17"/>
        <v>673</v>
      </c>
      <c r="E48" s="3">
        <f t="shared" si="17"/>
        <v>673</v>
      </c>
      <c r="F48" s="3">
        <f t="shared" si="17"/>
        <v>642</v>
      </c>
      <c r="G48" s="3">
        <f t="shared" si="16"/>
        <v>70</v>
      </c>
      <c r="I48">
        <v>21</v>
      </c>
      <c r="J48">
        <f t="shared" si="11"/>
        <v>881</v>
      </c>
      <c r="K48">
        <f t="shared" si="12"/>
        <v>301</v>
      </c>
      <c r="L48">
        <f t="shared" si="13"/>
        <v>301</v>
      </c>
      <c r="M48">
        <f t="shared" si="14"/>
        <v>40</v>
      </c>
    </row>
    <row r="49" spans="2:13">
      <c r="B49">
        <v>22</v>
      </c>
      <c r="C49" s="3">
        <f t="shared" si="17"/>
        <v>2016</v>
      </c>
      <c r="D49" s="3">
        <f t="shared" si="17"/>
        <v>688</v>
      </c>
      <c r="E49" s="3">
        <f t="shared" si="17"/>
        <v>688</v>
      </c>
      <c r="F49" s="3">
        <f t="shared" si="17"/>
        <v>656</v>
      </c>
      <c r="G49" s="3">
        <f t="shared" si="16"/>
        <v>72</v>
      </c>
      <c r="I49">
        <v>22</v>
      </c>
      <c r="J49">
        <f t="shared" si="11"/>
        <v>925</v>
      </c>
      <c r="K49">
        <f t="shared" si="12"/>
        <v>316</v>
      </c>
      <c r="L49">
        <f t="shared" si="13"/>
        <v>316</v>
      </c>
      <c r="M49">
        <f t="shared" si="14"/>
        <v>42</v>
      </c>
    </row>
    <row r="50" spans="2:13">
      <c r="B50">
        <v>23</v>
      </c>
      <c r="C50" s="3">
        <f t="shared" si="17"/>
        <v>2060</v>
      </c>
      <c r="D50" s="3">
        <f t="shared" si="17"/>
        <v>703</v>
      </c>
      <c r="E50" s="3">
        <f t="shared" si="17"/>
        <v>703</v>
      </c>
      <c r="F50" s="3">
        <f t="shared" si="17"/>
        <v>671</v>
      </c>
      <c r="G50" s="3">
        <f t="shared" si="16"/>
        <v>74</v>
      </c>
      <c r="I50">
        <v>23</v>
      </c>
      <c r="J50">
        <f t="shared" si="11"/>
        <v>969</v>
      </c>
      <c r="K50">
        <f t="shared" si="12"/>
        <v>331</v>
      </c>
      <c r="L50">
        <f t="shared" si="13"/>
        <v>331</v>
      </c>
      <c r="M50">
        <f t="shared" si="14"/>
        <v>44</v>
      </c>
    </row>
    <row r="51" spans="2:13">
      <c r="B51">
        <v>24</v>
      </c>
      <c r="C51" s="3">
        <f t="shared" si="17"/>
        <v>2104</v>
      </c>
      <c r="D51" s="3">
        <f t="shared" si="17"/>
        <v>718</v>
      </c>
      <c r="E51" s="3">
        <f t="shared" si="17"/>
        <v>718</v>
      </c>
      <c r="F51" s="3">
        <f t="shared" si="17"/>
        <v>685</v>
      </c>
      <c r="G51" s="3">
        <f t="shared" si="16"/>
        <v>76</v>
      </c>
      <c r="I51">
        <v>24</v>
      </c>
      <c r="J51">
        <f t="shared" si="11"/>
        <v>1013</v>
      </c>
      <c r="K51">
        <f t="shared" si="12"/>
        <v>346</v>
      </c>
      <c r="L51">
        <f t="shared" si="13"/>
        <v>346</v>
      </c>
      <c r="M51">
        <f t="shared" si="14"/>
        <v>46</v>
      </c>
    </row>
    <row r="52" spans="2:13">
      <c r="B52">
        <v>25</v>
      </c>
      <c r="C52" s="3">
        <f t="shared" si="17"/>
        <v>2148</v>
      </c>
      <c r="D52" s="3">
        <f t="shared" si="17"/>
        <v>733</v>
      </c>
      <c r="E52" s="3">
        <f t="shared" si="17"/>
        <v>733</v>
      </c>
      <c r="F52" s="3">
        <f t="shared" si="17"/>
        <v>699</v>
      </c>
      <c r="G52" s="3">
        <f t="shared" si="16"/>
        <v>78</v>
      </c>
      <c r="I52">
        <v>25</v>
      </c>
      <c r="J52">
        <f t="shared" si="11"/>
        <v>1057</v>
      </c>
      <c r="K52">
        <f t="shared" si="12"/>
        <v>361</v>
      </c>
      <c r="L52">
        <f t="shared" si="13"/>
        <v>361</v>
      </c>
      <c r="M52">
        <f t="shared" si="14"/>
        <v>48</v>
      </c>
    </row>
    <row r="53" spans="2:13">
      <c r="B53">
        <v>26</v>
      </c>
      <c r="C53" s="3">
        <f t="shared" si="17"/>
        <v>2193</v>
      </c>
      <c r="D53" s="3">
        <f t="shared" si="17"/>
        <v>748</v>
      </c>
      <c r="E53" s="3">
        <f t="shared" si="17"/>
        <v>748</v>
      </c>
      <c r="F53" s="3">
        <f t="shared" si="17"/>
        <v>714</v>
      </c>
      <c r="G53" s="3">
        <f t="shared" si="16"/>
        <v>80</v>
      </c>
      <c r="I53">
        <v>26</v>
      </c>
      <c r="J53">
        <f t="shared" si="11"/>
        <v>1101</v>
      </c>
      <c r="K53">
        <f t="shared" si="12"/>
        <v>376</v>
      </c>
      <c r="L53">
        <f t="shared" si="13"/>
        <v>376</v>
      </c>
      <c r="M53">
        <f t="shared" si="14"/>
        <v>50</v>
      </c>
    </row>
    <row r="54" spans="2:13">
      <c r="B54">
        <v>27</v>
      </c>
      <c r="C54" s="3">
        <f t="shared" si="17"/>
        <v>2237</v>
      </c>
      <c r="D54" s="3">
        <f t="shared" si="17"/>
        <v>763</v>
      </c>
      <c r="E54" s="3">
        <f t="shared" si="17"/>
        <v>763</v>
      </c>
      <c r="F54" s="3">
        <f t="shared" si="17"/>
        <v>728</v>
      </c>
      <c r="G54" s="3">
        <f t="shared" si="16"/>
        <v>82</v>
      </c>
      <c r="I54">
        <v>27</v>
      </c>
      <c r="J54">
        <f t="shared" si="11"/>
        <v>1145</v>
      </c>
      <c r="K54">
        <f t="shared" si="12"/>
        <v>391</v>
      </c>
      <c r="L54">
        <f t="shared" si="13"/>
        <v>391</v>
      </c>
      <c r="M54">
        <f t="shared" si="14"/>
        <v>52</v>
      </c>
    </row>
    <row r="55" spans="2:13">
      <c r="B55">
        <v>28</v>
      </c>
      <c r="C55" s="3">
        <f t="shared" si="17"/>
        <v>2281</v>
      </c>
      <c r="D55" s="3">
        <f t="shared" si="17"/>
        <v>778</v>
      </c>
      <c r="E55" s="3">
        <f t="shared" si="17"/>
        <v>778</v>
      </c>
      <c r="F55" s="3">
        <f t="shared" si="17"/>
        <v>742</v>
      </c>
      <c r="G55" s="3">
        <f t="shared" si="16"/>
        <v>84</v>
      </c>
      <c r="I55">
        <v>28</v>
      </c>
      <c r="J55">
        <f t="shared" si="11"/>
        <v>1189</v>
      </c>
      <c r="K55">
        <f t="shared" si="12"/>
        <v>406</v>
      </c>
      <c r="L55">
        <f t="shared" si="13"/>
        <v>406</v>
      </c>
      <c r="M55">
        <f t="shared" si="14"/>
        <v>54</v>
      </c>
    </row>
    <row r="56" spans="2:13">
      <c r="B56">
        <v>29</v>
      </c>
      <c r="C56" s="3">
        <f t="shared" si="17"/>
        <v>2325</v>
      </c>
      <c r="D56" s="3">
        <f t="shared" si="17"/>
        <v>793</v>
      </c>
      <c r="E56" s="3">
        <f t="shared" si="17"/>
        <v>793</v>
      </c>
      <c r="F56" s="3">
        <f t="shared" si="17"/>
        <v>757</v>
      </c>
      <c r="G56" s="3">
        <f t="shared" si="16"/>
        <v>86</v>
      </c>
      <c r="I56">
        <v>29</v>
      </c>
      <c r="J56">
        <f t="shared" si="11"/>
        <v>1233</v>
      </c>
      <c r="K56">
        <f t="shared" si="12"/>
        <v>421</v>
      </c>
      <c r="L56">
        <f t="shared" si="13"/>
        <v>421</v>
      </c>
      <c r="M56">
        <f t="shared" si="14"/>
        <v>56</v>
      </c>
    </row>
    <row r="57" spans="2:13">
      <c r="B57">
        <v>30</v>
      </c>
      <c r="C57" s="3">
        <f t="shared" si="17"/>
        <v>2369</v>
      </c>
      <c r="D57" s="3">
        <f t="shared" si="17"/>
        <v>808</v>
      </c>
      <c r="E57" s="3">
        <f t="shared" si="17"/>
        <v>808</v>
      </c>
      <c r="F57" s="3">
        <f t="shared" si="17"/>
        <v>771</v>
      </c>
      <c r="G57" s="3">
        <f t="shared" si="16"/>
        <v>88</v>
      </c>
      <c r="I57">
        <v>30</v>
      </c>
      <c r="J57">
        <f t="shared" si="11"/>
        <v>1277</v>
      </c>
      <c r="K57">
        <f t="shared" si="12"/>
        <v>436</v>
      </c>
      <c r="L57">
        <f t="shared" si="13"/>
        <v>436</v>
      </c>
      <c r="M57">
        <f t="shared" si="14"/>
        <v>58</v>
      </c>
    </row>
    <row r="58" spans="2:13">
      <c r="B58">
        <v>31</v>
      </c>
      <c r="C58" s="3">
        <f t="shared" si="17"/>
        <v>2413</v>
      </c>
      <c r="D58" s="3">
        <f t="shared" si="17"/>
        <v>824</v>
      </c>
      <c r="E58" s="3">
        <f t="shared" si="17"/>
        <v>824</v>
      </c>
      <c r="F58" s="3">
        <f t="shared" si="17"/>
        <v>785</v>
      </c>
      <c r="G58" s="3">
        <f t="shared" si="16"/>
        <v>90</v>
      </c>
      <c r="I58">
        <v>31</v>
      </c>
      <c r="J58">
        <f t="shared" si="11"/>
        <v>1321</v>
      </c>
      <c r="K58">
        <f t="shared" si="12"/>
        <v>451</v>
      </c>
      <c r="L58">
        <f t="shared" si="13"/>
        <v>451</v>
      </c>
      <c r="M58">
        <f t="shared" si="14"/>
        <v>60</v>
      </c>
    </row>
    <row r="59" spans="2:13">
      <c r="B59">
        <v>32</v>
      </c>
      <c r="C59" s="3">
        <f t="shared" si="17"/>
        <v>2457</v>
      </c>
      <c r="D59" s="3">
        <f t="shared" si="17"/>
        <v>839</v>
      </c>
      <c r="E59" s="3">
        <f t="shared" si="17"/>
        <v>839</v>
      </c>
      <c r="F59" s="3">
        <f t="shared" si="17"/>
        <v>800</v>
      </c>
      <c r="G59" s="3">
        <f t="shared" si="16"/>
        <v>92</v>
      </c>
      <c r="I59">
        <v>32</v>
      </c>
      <c r="J59">
        <f t="shared" si="11"/>
        <v>1365</v>
      </c>
      <c r="K59">
        <f t="shared" si="12"/>
        <v>466</v>
      </c>
      <c r="L59">
        <f t="shared" si="13"/>
        <v>466</v>
      </c>
      <c r="M59">
        <f t="shared" si="14"/>
        <v>62</v>
      </c>
    </row>
    <row r="60" spans="2:13">
      <c r="B60">
        <v>33</v>
      </c>
      <c r="C60" s="3">
        <f t="shared" si="17"/>
        <v>2501</v>
      </c>
      <c r="D60" s="3">
        <f t="shared" si="17"/>
        <v>854</v>
      </c>
      <c r="E60" s="3">
        <f t="shared" si="17"/>
        <v>854</v>
      </c>
      <c r="F60" s="3">
        <f t="shared" si="17"/>
        <v>814</v>
      </c>
      <c r="G60" s="3">
        <f t="shared" si="16"/>
        <v>94</v>
      </c>
      <c r="I60">
        <v>33</v>
      </c>
      <c r="J60">
        <f t="shared" si="11"/>
        <v>1409</v>
      </c>
      <c r="K60">
        <f t="shared" si="12"/>
        <v>481</v>
      </c>
      <c r="L60">
        <f t="shared" si="13"/>
        <v>481</v>
      </c>
      <c r="M60">
        <f t="shared" si="14"/>
        <v>64</v>
      </c>
    </row>
    <row r="61" spans="2:13">
      <c r="B61">
        <v>34</v>
      </c>
      <c r="C61" s="3">
        <f t="shared" si="17"/>
        <v>2545</v>
      </c>
      <c r="D61" s="3">
        <f t="shared" si="17"/>
        <v>869</v>
      </c>
      <c r="E61" s="3">
        <f t="shared" si="17"/>
        <v>869</v>
      </c>
      <c r="F61" s="3">
        <f t="shared" si="17"/>
        <v>828</v>
      </c>
      <c r="G61" s="3">
        <f t="shared" si="16"/>
        <v>96</v>
      </c>
      <c r="I61">
        <v>34</v>
      </c>
      <c r="J61">
        <f t="shared" si="11"/>
        <v>1454</v>
      </c>
      <c r="K61">
        <f t="shared" si="12"/>
        <v>496</v>
      </c>
      <c r="L61">
        <f t="shared" si="13"/>
        <v>496</v>
      </c>
      <c r="M61">
        <f t="shared" si="14"/>
        <v>66</v>
      </c>
    </row>
    <row r="62" spans="2:13">
      <c r="B62">
        <v>35</v>
      </c>
      <c r="C62" s="3">
        <f t="shared" si="17"/>
        <v>2589</v>
      </c>
      <c r="D62" s="3">
        <f t="shared" si="17"/>
        <v>884</v>
      </c>
      <c r="E62" s="3">
        <f t="shared" si="17"/>
        <v>884</v>
      </c>
      <c r="F62" s="3">
        <f t="shared" si="17"/>
        <v>843</v>
      </c>
      <c r="G62" s="3">
        <f t="shared" si="16"/>
        <v>98</v>
      </c>
      <c r="I62">
        <v>35</v>
      </c>
      <c r="J62">
        <f t="shared" si="11"/>
        <v>1498</v>
      </c>
      <c r="K62">
        <f t="shared" si="12"/>
        <v>511</v>
      </c>
      <c r="L62">
        <f t="shared" si="13"/>
        <v>511</v>
      </c>
      <c r="M62">
        <f t="shared" si="14"/>
        <v>68</v>
      </c>
    </row>
    <row r="63" spans="2:13">
      <c r="B63">
        <v>36</v>
      </c>
      <c r="C63" s="3">
        <f t="shared" si="17"/>
        <v>2633</v>
      </c>
      <c r="D63" s="3">
        <f t="shared" si="17"/>
        <v>899</v>
      </c>
      <c r="E63" s="3">
        <f t="shared" si="17"/>
        <v>899</v>
      </c>
      <c r="F63" s="3">
        <f t="shared" si="17"/>
        <v>857</v>
      </c>
      <c r="G63" s="3">
        <f t="shared" si="16"/>
        <v>100</v>
      </c>
      <c r="I63">
        <v>36</v>
      </c>
      <c r="J63">
        <f t="shared" si="11"/>
        <v>1542</v>
      </c>
      <c r="K63">
        <f t="shared" si="12"/>
        <v>526</v>
      </c>
      <c r="L63">
        <f t="shared" si="13"/>
        <v>526</v>
      </c>
      <c r="M63">
        <f t="shared" si="14"/>
        <v>70</v>
      </c>
    </row>
    <row r="64" spans="2:13">
      <c r="B64">
        <v>37</v>
      </c>
      <c r="C64" s="3">
        <f t="shared" si="17"/>
        <v>2677</v>
      </c>
      <c r="D64" s="3">
        <f t="shared" si="17"/>
        <v>914</v>
      </c>
      <c r="E64" s="3">
        <f t="shared" si="17"/>
        <v>914</v>
      </c>
      <c r="F64" s="3">
        <f t="shared" si="17"/>
        <v>871</v>
      </c>
      <c r="G64" s="3">
        <f t="shared" si="16"/>
        <v>102</v>
      </c>
      <c r="I64">
        <v>37</v>
      </c>
      <c r="J64">
        <f t="shared" si="11"/>
        <v>1586</v>
      </c>
      <c r="K64">
        <f t="shared" si="12"/>
        <v>541</v>
      </c>
      <c r="L64">
        <f t="shared" si="13"/>
        <v>541</v>
      </c>
      <c r="M64">
        <f t="shared" si="14"/>
        <v>72</v>
      </c>
    </row>
    <row r="65" spans="2:13">
      <c r="B65">
        <v>38</v>
      </c>
      <c r="C65" s="3">
        <f t="shared" si="17"/>
        <v>2721</v>
      </c>
      <c r="D65" s="3">
        <f t="shared" si="17"/>
        <v>929</v>
      </c>
      <c r="E65" s="3">
        <f t="shared" si="17"/>
        <v>929</v>
      </c>
      <c r="F65" s="3">
        <f t="shared" si="17"/>
        <v>886</v>
      </c>
      <c r="G65" s="3">
        <f t="shared" si="16"/>
        <v>104</v>
      </c>
      <c r="I65">
        <v>38</v>
      </c>
      <c r="J65">
        <f t="shared" si="11"/>
        <v>1630</v>
      </c>
      <c r="K65">
        <f t="shared" si="12"/>
        <v>556</v>
      </c>
      <c r="L65">
        <f t="shared" si="13"/>
        <v>556</v>
      </c>
      <c r="M65">
        <f t="shared" si="14"/>
        <v>74</v>
      </c>
    </row>
    <row r="66" spans="2:13">
      <c r="B66">
        <v>39</v>
      </c>
      <c r="C66" s="3">
        <f t="shared" si="17"/>
        <v>2765</v>
      </c>
      <c r="D66" s="3">
        <f t="shared" si="17"/>
        <v>944</v>
      </c>
      <c r="E66" s="3">
        <f t="shared" si="17"/>
        <v>944</v>
      </c>
      <c r="F66" s="3">
        <f t="shared" si="17"/>
        <v>900</v>
      </c>
      <c r="G66" s="3">
        <f t="shared" si="16"/>
        <v>106</v>
      </c>
      <c r="I66">
        <v>39</v>
      </c>
      <c r="J66">
        <f t="shared" si="11"/>
        <v>1674</v>
      </c>
      <c r="K66">
        <f t="shared" si="12"/>
        <v>571</v>
      </c>
      <c r="L66">
        <f t="shared" si="13"/>
        <v>571</v>
      </c>
      <c r="M66">
        <f t="shared" si="14"/>
        <v>76</v>
      </c>
    </row>
    <row r="67" spans="2:13">
      <c r="B67">
        <v>40</v>
      </c>
      <c r="C67" s="3">
        <f t="shared" si="17"/>
        <v>2809</v>
      </c>
      <c r="D67" s="3">
        <f t="shared" si="17"/>
        <v>959</v>
      </c>
      <c r="E67" s="3">
        <f t="shared" si="17"/>
        <v>959</v>
      </c>
      <c r="F67" s="3">
        <f t="shared" si="17"/>
        <v>914</v>
      </c>
      <c r="G67" s="3">
        <f t="shared" si="16"/>
        <v>108</v>
      </c>
      <c r="I67">
        <v>40</v>
      </c>
      <c r="J67">
        <f t="shared" si="11"/>
        <v>1718</v>
      </c>
      <c r="K67">
        <f t="shared" si="12"/>
        <v>586</v>
      </c>
      <c r="L67">
        <f t="shared" si="13"/>
        <v>586</v>
      </c>
      <c r="M67">
        <f t="shared" si="14"/>
        <v>78</v>
      </c>
    </row>
    <row r="68" spans="2:13">
      <c r="B68">
        <v>41</v>
      </c>
      <c r="C68" s="3">
        <f t="shared" si="17"/>
        <v>2853</v>
      </c>
      <c r="D68" s="3">
        <f t="shared" si="17"/>
        <v>974</v>
      </c>
      <c r="E68" s="3">
        <f t="shared" si="17"/>
        <v>974</v>
      </c>
      <c r="F68" s="3">
        <f t="shared" si="17"/>
        <v>929</v>
      </c>
      <c r="G68" s="3">
        <f t="shared" si="16"/>
        <v>110</v>
      </c>
      <c r="I68">
        <v>41</v>
      </c>
      <c r="J68">
        <f t="shared" si="11"/>
        <v>1762</v>
      </c>
      <c r="K68">
        <f t="shared" si="12"/>
        <v>602</v>
      </c>
      <c r="L68">
        <f t="shared" si="13"/>
        <v>602</v>
      </c>
      <c r="M68">
        <f t="shared" si="14"/>
        <v>80</v>
      </c>
    </row>
    <row r="69" spans="2:13">
      <c r="B69">
        <v>42</v>
      </c>
      <c r="C69" s="3">
        <f t="shared" si="17"/>
        <v>2897</v>
      </c>
      <c r="D69" s="3">
        <f t="shared" si="17"/>
        <v>989</v>
      </c>
      <c r="E69" s="3">
        <f t="shared" si="17"/>
        <v>989</v>
      </c>
      <c r="F69" s="3">
        <f t="shared" si="17"/>
        <v>943</v>
      </c>
      <c r="G69" s="3">
        <f t="shared" si="16"/>
        <v>112</v>
      </c>
      <c r="I69">
        <v>42</v>
      </c>
      <c r="J69">
        <f t="shared" si="11"/>
        <v>1806</v>
      </c>
      <c r="K69">
        <f t="shared" si="12"/>
        <v>617</v>
      </c>
      <c r="L69">
        <f t="shared" si="13"/>
        <v>617</v>
      </c>
      <c r="M69">
        <f t="shared" si="14"/>
        <v>82</v>
      </c>
    </row>
    <row r="70" spans="2:13">
      <c r="B70">
        <v>43</v>
      </c>
      <c r="C70" s="3">
        <f t="shared" si="17"/>
        <v>2942</v>
      </c>
      <c r="D70" s="3">
        <f t="shared" si="17"/>
        <v>1004</v>
      </c>
      <c r="E70" s="3">
        <f t="shared" si="17"/>
        <v>1004</v>
      </c>
      <c r="F70" s="3">
        <f t="shared" si="17"/>
        <v>957</v>
      </c>
      <c r="G70" s="3">
        <f t="shared" si="16"/>
        <v>114</v>
      </c>
      <c r="I70">
        <v>43</v>
      </c>
      <c r="J70">
        <f t="shared" si="11"/>
        <v>1850</v>
      </c>
      <c r="K70">
        <f t="shared" si="12"/>
        <v>632</v>
      </c>
      <c r="L70">
        <f t="shared" si="13"/>
        <v>632</v>
      </c>
      <c r="M70">
        <f t="shared" si="14"/>
        <v>84</v>
      </c>
    </row>
    <row r="71" spans="2:13">
      <c r="B71">
        <v>44</v>
      </c>
      <c r="C71" s="3">
        <f t="shared" si="17"/>
        <v>2986</v>
      </c>
      <c r="D71" s="3">
        <f t="shared" si="17"/>
        <v>1019</v>
      </c>
      <c r="E71" s="3">
        <f t="shared" si="17"/>
        <v>1019</v>
      </c>
      <c r="F71" s="3">
        <f t="shared" si="17"/>
        <v>972</v>
      </c>
      <c r="G71" s="3">
        <f t="shared" si="16"/>
        <v>116</v>
      </c>
      <c r="I71">
        <v>44</v>
      </c>
      <c r="J71">
        <f t="shared" si="11"/>
        <v>1894</v>
      </c>
      <c r="K71">
        <f t="shared" si="12"/>
        <v>647</v>
      </c>
      <c r="L71">
        <f t="shared" si="13"/>
        <v>647</v>
      </c>
      <c r="M71">
        <f t="shared" si="14"/>
        <v>86</v>
      </c>
    </row>
    <row r="72" spans="2:13">
      <c r="B72">
        <v>45</v>
      </c>
      <c r="C72" s="3">
        <f t="shared" si="17"/>
        <v>3030</v>
      </c>
      <c r="D72" s="3">
        <f t="shared" si="17"/>
        <v>1034</v>
      </c>
      <c r="E72" s="3">
        <f t="shared" si="17"/>
        <v>1034</v>
      </c>
      <c r="F72" s="3">
        <f t="shared" si="17"/>
        <v>986</v>
      </c>
      <c r="G72" s="3">
        <f t="shared" si="16"/>
        <v>118</v>
      </c>
      <c r="I72">
        <v>45</v>
      </c>
      <c r="J72">
        <f t="shared" si="11"/>
        <v>1938</v>
      </c>
      <c r="K72">
        <f t="shared" si="12"/>
        <v>662</v>
      </c>
      <c r="L72">
        <f t="shared" si="13"/>
        <v>662</v>
      </c>
      <c r="M72">
        <f t="shared" si="14"/>
        <v>88</v>
      </c>
    </row>
    <row r="73" spans="2:13">
      <c r="B73">
        <v>46</v>
      </c>
      <c r="C73" s="3">
        <f t="shared" si="17"/>
        <v>3074</v>
      </c>
      <c r="D73" s="3">
        <f t="shared" si="17"/>
        <v>1049</v>
      </c>
      <c r="E73" s="3">
        <f t="shared" si="17"/>
        <v>1049</v>
      </c>
      <c r="F73" s="3">
        <f t="shared" si="17"/>
        <v>1000</v>
      </c>
      <c r="G73" s="3">
        <f t="shared" si="16"/>
        <v>120</v>
      </c>
      <c r="I73">
        <v>46</v>
      </c>
      <c r="J73">
        <f t="shared" si="11"/>
        <v>1982</v>
      </c>
      <c r="K73">
        <f t="shared" si="12"/>
        <v>677</v>
      </c>
      <c r="L73">
        <f t="shared" si="13"/>
        <v>677</v>
      </c>
      <c r="M73">
        <f t="shared" si="14"/>
        <v>90</v>
      </c>
    </row>
    <row r="74" spans="2:13">
      <c r="B74">
        <v>47</v>
      </c>
      <c r="C74" s="3">
        <f t="shared" si="17"/>
        <v>3118</v>
      </c>
      <c r="D74" s="3">
        <f t="shared" si="17"/>
        <v>1064</v>
      </c>
      <c r="E74" s="3">
        <f t="shared" si="17"/>
        <v>1064</v>
      </c>
      <c r="F74" s="3">
        <f t="shared" si="17"/>
        <v>1015</v>
      </c>
      <c r="G74" s="3">
        <f t="shared" si="16"/>
        <v>122</v>
      </c>
      <c r="I74">
        <v>47</v>
      </c>
      <c r="J74">
        <f t="shared" si="11"/>
        <v>2026</v>
      </c>
      <c r="K74">
        <f t="shared" si="12"/>
        <v>692</v>
      </c>
      <c r="L74">
        <f t="shared" si="13"/>
        <v>692</v>
      </c>
      <c r="M74">
        <f t="shared" si="14"/>
        <v>92</v>
      </c>
    </row>
    <row r="75" spans="2:13">
      <c r="B75">
        <v>48</v>
      </c>
      <c r="C75" s="3">
        <f t="shared" si="17"/>
        <v>3162</v>
      </c>
      <c r="D75" s="3">
        <f t="shared" si="17"/>
        <v>1079</v>
      </c>
      <c r="E75" s="3">
        <f t="shared" si="17"/>
        <v>1079</v>
      </c>
      <c r="F75" s="3">
        <f t="shared" si="17"/>
        <v>1029</v>
      </c>
      <c r="G75" s="3">
        <f t="shared" si="16"/>
        <v>124</v>
      </c>
      <c r="I75">
        <v>48</v>
      </c>
      <c r="J75">
        <f t="shared" si="11"/>
        <v>2070</v>
      </c>
      <c r="K75">
        <f t="shared" si="12"/>
        <v>707</v>
      </c>
      <c r="L75">
        <f t="shared" si="13"/>
        <v>707</v>
      </c>
      <c r="M75">
        <f t="shared" si="14"/>
        <v>94</v>
      </c>
    </row>
    <row r="76" spans="2:13">
      <c r="B76">
        <v>49</v>
      </c>
      <c r="C76" s="3">
        <f t="shared" si="17"/>
        <v>3206</v>
      </c>
      <c r="D76" s="3">
        <f t="shared" si="17"/>
        <v>1094</v>
      </c>
      <c r="E76" s="3">
        <f t="shared" si="17"/>
        <v>1094</v>
      </c>
      <c r="F76" s="3">
        <f t="shared" si="17"/>
        <v>1043</v>
      </c>
      <c r="G76" s="3">
        <f t="shared" si="16"/>
        <v>126</v>
      </c>
      <c r="I76">
        <v>49</v>
      </c>
      <c r="J76">
        <f t="shared" si="11"/>
        <v>2114</v>
      </c>
      <c r="K76">
        <f t="shared" si="12"/>
        <v>722</v>
      </c>
      <c r="L76">
        <f t="shared" si="13"/>
        <v>722</v>
      </c>
      <c r="M76">
        <f t="shared" si="14"/>
        <v>96</v>
      </c>
    </row>
    <row r="77" spans="2:13">
      <c r="B77">
        <v>50</v>
      </c>
      <c r="C77" s="3">
        <f t="shared" si="17"/>
        <v>3250</v>
      </c>
      <c r="D77" s="3">
        <f t="shared" si="17"/>
        <v>1109</v>
      </c>
      <c r="E77" s="3">
        <f t="shared" si="17"/>
        <v>1109</v>
      </c>
      <c r="F77" s="3">
        <f t="shared" si="17"/>
        <v>1058</v>
      </c>
      <c r="G77" s="3">
        <f t="shared" si="16"/>
        <v>128</v>
      </c>
      <c r="I77">
        <v>50</v>
      </c>
      <c r="J77">
        <f t="shared" si="11"/>
        <v>2158</v>
      </c>
      <c r="K77">
        <f t="shared" si="12"/>
        <v>737</v>
      </c>
      <c r="L77">
        <f t="shared" si="13"/>
        <v>737</v>
      </c>
      <c r="M77">
        <f t="shared" si="14"/>
        <v>98</v>
      </c>
    </row>
    <row r="78" spans="2:13">
      <c r="B78">
        <v>51</v>
      </c>
      <c r="C78" s="3">
        <f t="shared" si="17"/>
        <v>3294</v>
      </c>
      <c r="D78" s="3">
        <f t="shared" si="17"/>
        <v>1125</v>
      </c>
      <c r="E78" s="3">
        <f t="shared" si="17"/>
        <v>1125</v>
      </c>
      <c r="F78" s="3">
        <f t="shared" si="17"/>
        <v>1072</v>
      </c>
      <c r="G78" s="3">
        <f t="shared" si="16"/>
        <v>130</v>
      </c>
      <c r="I78">
        <v>51</v>
      </c>
      <c r="J78">
        <f t="shared" si="11"/>
        <v>2203</v>
      </c>
      <c r="K78">
        <f t="shared" si="12"/>
        <v>752</v>
      </c>
      <c r="L78">
        <f t="shared" si="13"/>
        <v>752</v>
      </c>
      <c r="M78">
        <f t="shared" si="14"/>
        <v>100</v>
      </c>
    </row>
    <row r="79" spans="2:13">
      <c r="B79">
        <v>52</v>
      </c>
      <c r="C79" s="3">
        <f t="shared" si="17"/>
        <v>3338</v>
      </c>
      <c r="D79" s="3">
        <f t="shared" si="17"/>
        <v>1140</v>
      </c>
      <c r="E79" s="3">
        <f t="shared" si="17"/>
        <v>1140</v>
      </c>
      <c r="F79" s="3">
        <f t="shared" si="17"/>
        <v>1087</v>
      </c>
      <c r="G79" s="3">
        <f t="shared" si="16"/>
        <v>132</v>
      </c>
      <c r="I79">
        <v>52</v>
      </c>
      <c r="J79">
        <f t="shared" si="11"/>
        <v>2247</v>
      </c>
      <c r="K79">
        <f t="shared" si="12"/>
        <v>767</v>
      </c>
      <c r="L79">
        <f t="shared" si="13"/>
        <v>767</v>
      </c>
      <c r="M79">
        <f t="shared" si="14"/>
        <v>102</v>
      </c>
    </row>
    <row r="80" spans="2:13">
      <c r="B80">
        <v>53</v>
      </c>
      <c r="C80" s="3">
        <f t="shared" si="17"/>
        <v>3382</v>
      </c>
      <c r="D80" s="3">
        <f t="shared" si="17"/>
        <v>1155</v>
      </c>
      <c r="E80" s="3">
        <f t="shared" si="17"/>
        <v>1155</v>
      </c>
      <c r="F80" s="3">
        <f t="shared" si="17"/>
        <v>1101</v>
      </c>
      <c r="G80" s="3">
        <f t="shared" si="16"/>
        <v>134</v>
      </c>
      <c r="I80">
        <v>53</v>
      </c>
      <c r="J80">
        <f t="shared" si="11"/>
        <v>2291</v>
      </c>
      <c r="K80">
        <f t="shared" si="12"/>
        <v>782</v>
      </c>
      <c r="L80">
        <f t="shared" si="13"/>
        <v>782</v>
      </c>
      <c r="M80">
        <f t="shared" si="14"/>
        <v>104</v>
      </c>
    </row>
    <row r="81" spans="2:13">
      <c r="B81">
        <v>54</v>
      </c>
      <c r="C81" s="3">
        <f t="shared" si="17"/>
        <v>3426</v>
      </c>
      <c r="D81" s="3">
        <f t="shared" si="17"/>
        <v>1170</v>
      </c>
      <c r="E81" s="3">
        <f t="shared" si="17"/>
        <v>1170</v>
      </c>
      <c r="F81" s="3">
        <f t="shared" si="17"/>
        <v>1115</v>
      </c>
      <c r="G81" s="3">
        <f t="shared" si="16"/>
        <v>136</v>
      </c>
      <c r="I81">
        <v>54</v>
      </c>
      <c r="J81">
        <f t="shared" si="11"/>
        <v>2335</v>
      </c>
      <c r="K81">
        <f t="shared" si="12"/>
        <v>797</v>
      </c>
      <c r="L81">
        <f t="shared" si="13"/>
        <v>797</v>
      </c>
      <c r="M81">
        <f t="shared" si="14"/>
        <v>106</v>
      </c>
    </row>
    <row r="82" spans="2:13">
      <c r="B82">
        <v>55</v>
      </c>
      <c r="C82" s="3">
        <f t="shared" si="17"/>
        <v>3470</v>
      </c>
      <c r="D82" s="3">
        <f t="shared" si="17"/>
        <v>1185</v>
      </c>
      <c r="E82" s="3">
        <f t="shared" si="17"/>
        <v>1185</v>
      </c>
      <c r="F82" s="3">
        <f t="shared" si="17"/>
        <v>1130</v>
      </c>
      <c r="G82" s="3">
        <f t="shared" si="16"/>
        <v>138</v>
      </c>
      <c r="I82">
        <v>55</v>
      </c>
      <c r="J82">
        <f t="shared" si="11"/>
        <v>2379</v>
      </c>
      <c r="K82">
        <f t="shared" si="12"/>
        <v>812</v>
      </c>
      <c r="L82">
        <f t="shared" si="13"/>
        <v>812</v>
      </c>
      <c r="M82">
        <f t="shared" si="14"/>
        <v>108</v>
      </c>
    </row>
    <row r="83" spans="2:13">
      <c r="B83">
        <v>56</v>
      </c>
      <c r="C83" s="3">
        <f t="shared" si="17"/>
        <v>3514</v>
      </c>
      <c r="D83" s="3">
        <f t="shared" si="17"/>
        <v>1200</v>
      </c>
      <c r="E83" s="3">
        <f t="shared" si="17"/>
        <v>1200</v>
      </c>
      <c r="F83" s="3">
        <f t="shared" si="17"/>
        <v>1144</v>
      </c>
      <c r="G83" s="3">
        <f t="shared" si="16"/>
        <v>140</v>
      </c>
      <c r="I83">
        <v>56</v>
      </c>
      <c r="J83">
        <f t="shared" si="11"/>
        <v>2423</v>
      </c>
      <c r="K83">
        <f t="shared" si="12"/>
        <v>827</v>
      </c>
      <c r="L83">
        <f t="shared" si="13"/>
        <v>827</v>
      </c>
      <c r="M83">
        <f t="shared" si="14"/>
        <v>110</v>
      </c>
    </row>
    <row r="84" spans="2:13">
      <c r="B84">
        <v>57</v>
      </c>
      <c r="C84" s="3">
        <f t="shared" si="17"/>
        <v>3558</v>
      </c>
      <c r="D84" s="3">
        <f t="shared" si="17"/>
        <v>1215</v>
      </c>
      <c r="E84" s="3">
        <f t="shared" si="17"/>
        <v>1215</v>
      </c>
      <c r="F84" s="3">
        <f t="shared" si="17"/>
        <v>1158</v>
      </c>
      <c r="G84" s="3">
        <f t="shared" si="16"/>
        <v>142</v>
      </c>
      <c r="I84">
        <v>57</v>
      </c>
      <c r="J84">
        <f t="shared" si="11"/>
        <v>2467</v>
      </c>
      <c r="K84">
        <f t="shared" si="12"/>
        <v>842</v>
      </c>
      <c r="L84">
        <f t="shared" si="13"/>
        <v>842</v>
      </c>
      <c r="M84">
        <f t="shared" si="14"/>
        <v>112</v>
      </c>
    </row>
    <row r="85" spans="2:13">
      <c r="B85">
        <v>58</v>
      </c>
      <c r="C85" s="3">
        <f t="shared" si="17"/>
        <v>3602</v>
      </c>
      <c r="D85" s="3">
        <f t="shared" si="17"/>
        <v>1230</v>
      </c>
      <c r="E85" s="3">
        <f t="shared" si="17"/>
        <v>1230</v>
      </c>
      <c r="F85" s="3">
        <f t="shared" si="17"/>
        <v>1173</v>
      </c>
      <c r="G85" s="3">
        <f t="shared" si="16"/>
        <v>144</v>
      </c>
      <c r="I85">
        <v>58</v>
      </c>
      <c r="J85">
        <f t="shared" si="11"/>
        <v>2511</v>
      </c>
      <c r="K85">
        <f t="shared" si="12"/>
        <v>857</v>
      </c>
      <c r="L85">
        <f t="shared" si="13"/>
        <v>857</v>
      </c>
      <c r="M85">
        <f t="shared" si="14"/>
        <v>114</v>
      </c>
    </row>
    <row r="86" spans="2:13">
      <c r="B86">
        <v>59</v>
      </c>
      <c r="C86" s="3">
        <f t="shared" si="17"/>
        <v>3647</v>
      </c>
      <c r="D86" s="3">
        <f t="shared" si="17"/>
        <v>1245</v>
      </c>
      <c r="E86" s="3">
        <f t="shared" si="17"/>
        <v>1245</v>
      </c>
      <c r="F86" s="3">
        <f t="shared" si="17"/>
        <v>1187</v>
      </c>
      <c r="G86" s="3">
        <f t="shared" si="16"/>
        <v>146</v>
      </c>
      <c r="I86">
        <v>59</v>
      </c>
      <c r="J86">
        <f t="shared" si="11"/>
        <v>2555</v>
      </c>
      <c r="K86">
        <f t="shared" si="12"/>
        <v>872</v>
      </c>
      <c r="L86">
        <f t="shared" si="13"/>
        <v>872</v>
      </c>
      <c r="M86">
        <f t="shared" si="14"/>
        <v>116</v>
      </c>
    </row>
    <row r="87" spans="2:13">
      <c r="B87">
        <v>60</v>
      </c>
      <c r="C87" s="3">
        <f t="shared" si="17"/>
        <v>3691</v>
      </c>
      <c r="D87" s="3">
        <f t="shared" si="17"/>
        <v>1260</v>
      </c>
      <c r="E87" s="3">
        <f t="shared" si="17"/>
        <v>1260</v>
      </c>
      <c r="F87" s="3">
        <f t="shared" si="17"/>
        <v>1201</v>
      </c>
      <c r="G87" s="3">
        <f t="shared" si="16"/>
        <v>148</v>
      </c>
      <c r="I87">
        <v>60</v>
      </c>
      <c r="J87">
        <f t="shared" si="11"/>
        <v>2599</v>
      </c>
      <c r="K87">
        <f t="shared" si="12"/>
        <v>887</v>
      </c>
      <c r="L87">
        <f t="shared" si="13"/>
        <v>887</v>
      </c>
      <c r="M87">
        <f t="shared" si="14"/>
        <v>118</v>
      </c>
    </row>
    <row r="88" spans="2:13">
      <c r="B88">
        <v>61</v>
      </c>
      <c r="C88" s="3">
        <f t="shared" si="17"/>
        <v>3735</v>
      </c>
      <c r="D88" s="3">
        <f t="shared" si="17"/>
        <v>1275</v>
      </c>
      <c r="E88" s="3">
        <f t="shared" si="17"/>
        <v>1275</v>
      </c>
      <c r="F88" s="3">
        <f t="shared" si="17"/>
        <v>1216</v>
      </c>
      <c r="G88" s="3">
        <f t="shared" si="16"/>
        <v>150</v>
      </c>
      <c r="I88">
        <v>61</v>
      </c>
      <c r="J88">
        <f t="shared" si="11"/>
        <v>2643</v>
      </c>
      <c r="K88">
        <f t="shared" si="12"/>
        <v>903</v>
      </c>
      <c r="L88">
        <f t="shared" si="13"/>
        <v>903</v>
      </c>
      <c r="M88">
        <f t="shared" si="14"/>
        <v>120</v>
      </c>
    </row>
    <row r="89" spans="2:13">
      <c r="B89">
        <v>62</v>
      </c>
      <c r="C89" s="3">
        <f t="shared" si="17"/>
        <v>3779</v>
      </c>
      <c r="D89" s="3">
        <f t="shared" si="17"/>
        <v>1290</v>
      </c>
      <c r="E89" s="3">
        <f t="shared" si="17"/>
        <v>1290</v>
      </c>
      <c r="F89" s="3">
        <f t="shared" si="17"/>
        <v>1230</v>
      </c>
      <c r="G89" s="3">
        <f t="shared" si="16"/>
        <v>152</v>
      </c>
      <c r="I89">
        <v>62</v>
      </c>
      <c r="J89">
        <f t="shared" si="11"/>
        <v>2687</v>
      </c>
      <c r="K89">
        <f t="shared" si="12"/>
        <v>918</v>
      </c>
      <c r="L89">
        <f t="shared" si="13"/>
        <v>918</v>
      </c>
      <c r="M89">
        <f t="shared" si="14"/>
        <v>122</v>
      </c>
    </row>
    <row r="90" spans="2:13">
      <c r="B90">
        <v>63</v>
      </c>
      <c r="C90" s="3">
        <f t="shared" si="17"/>
        <v>3823</v>
      </c>
      <c r="D90" s="3">
        <f t="shared" si="17"/>
        <v>1305</v>
      </c>
      <c r="E90" s="3">
        <f t="shared" si="17"/>
        <v>1305</v>
      </c>
      <c r="F90" s="3">
        <f t="shared" si="17"/>
        <v>1244</v>
      </c>
      <c r="G90" s="3">
        <f t="shared" si="16"/>
        <v>154</v>
      </c>
      <c r="I90">
        <v>63</v>
      </c>
      <c r="J90">
        <f t="shared" si="11"/>
        <v>2731</v>
      </c>
      <c r="K90">
        <f t="shared" si="12"/>
        <v>933</v>
      </c>
      <c r="L90">
        <f t="shared" si="13"/>
        <v>933</v>
      </c>
      <c r="M90">
        <f t="shared" si="14"/>
        <v>124</v>
      </c>
    </row>
    <row r="91" spans="2:13">
      <c r="B91">
        <v>64</v>
      </c>
      <c r="C91" s="3">
        <f t="shared" si="17"/>
        <v>3867</v>
      </c>
      <c r="D91" s="3">
        <f t="shared" si="17"/>
        <v>1320</v>
      </c>
      <c r="E91" s="3">
        <f t="shared" si="17"/>
        <v>1320</v>
      </c>
      <c r="F91" s="3">
        <f t="shared" si="17"/>
        <v>1259</v>
      </c>
      <c r="G91" s="3">
        <f t="shared" si="16"/>
        <v>156</v>
      </c>
      <c r="I91">
        <v>64</v>
      </c>
      <c r="J91">
        <f t="shared" si="11"/>
        <v>2775</v>
      </c>
      <c r="K91">
        <f t="shared" si="12"/>
        <v>948</v>
      </c>
      <c r="L91">
        <f t="shared" si="13"/>
        <v>948</v>
      </c>
      <c r="M91">
        <f t="shared" si="14"/>
        <v>126</v>
      </c>
    </row>
    <row r="92" spans="2:13">
      <c r="B92">
        <v>65</v>
      </c>
      <c r="C92" s="3">
        <f t="shared" si="17"/>
        <v>3911</v>
      </c>
      <c r="D92" s="3">
        <f t="shared" si="17"/>
        <v>1335</v>
      </c>
      <c r="E92" s="3">
        <f t="shared" si="17"/>
        <v>1335</v>
      </c>
      <c r="F92" s="3">
        <f t="shared" si="17"/>
        <v>1273</v>
      </c>
      <c r="G92" s="3">
        <f t="shared" si="16"/>
        <v>158</v>
      </c>
      <c r="I92">
        <v>65</v>
      </c>
      <c r="J92">
        <f t="shared" ref="J92:J125" si="18">ROUNDDOWN(J$127*$I91/$I$126,0)</f>
        <v>2819</v>
      </c>
      <c r="K92">
        <f t="shared" ref="K92:K125" si="19">ROUNDDOWN(K$127*$I91/$I$126,0)</f>
        <v>963</v>
      </c>
      <c r="L92">
        <f t="shared" ref="L92:L125" si="20">ROUNDDOWN(L$127*$I91/$I$126,0)</f>
        <v>963</v>
      </c>
      <c r="M92">
        <f t="shared" ref="M92:M125" si="21">ROUNDDOWN(M$127*$I91/$I$126,0)</f>
        <v>128</v>
      </c>
    </row>
    <row r="93" spans="2:13">
      <c r="B93">
        <v>66</v>
      </c>
      <c r="C93" s="3">
        <f t="shared" si="17"/>
        <v>3955</v>
      </c>
      <c r="D93" s="3">
        <f t="shared" si="17"/>
        <v>1350</v>
      </c>
      <c r="E93" s="3">
        <f t="shared" si="17"/>
        <v>1350</v>
      </c>
      <c r="F93" s="3">
        <f t="shared" si="17"/>
        <v>1287</v>
      </c>
      <c r="G93" s="3">
        <f t="shared" si="16"/>
        <v>160</v>
      </c>
      <c r="I93">
        <v>66</v>
      </c>
      <c r="J93">
        <f t="shared" si="18"/>
        <v>2863</v>
      </c>
      <c r="K93">
        <f t="shared" si="19"/>
        <v>978</v>
      </c>
      <c r="L93">
        <f t="shared" si="20"/>
        <v>978</v>
      </c>
      <c r="M93">
        <f t="shared" si="21"/>
        <v>130</v>
      </c>
    </row>
    <row r="94" spans="2:13">
      <c r="B94">
        <v>67</v>
      </c>
      <c r="C94" s="3">
        <f t="shared" si="17"/>
        <v>3999</v>
      </c>
      <c r="D94" s="3">
        <f t="shared" si="17"/>
        <v>1365</v>
      </c>
      <c r="E94" s="3">
        <f t="shared" si="17"/>
        <v>1365</v>
      </c>
      <c r="F94" s="3">
        <f t="shared" si="17"/>
        <v>1302</v>
      </c>
      <c r="G94" s="3">
        <f t="shared" ref="G94:G127" si="22">$G$28+$G$25*($B94-1)</f>
        <v>162</v>
      </c>
      <c r="I94">
        <v>67</v>
      </c>
      <c r="J94">
        <f t="shared" si="18"/>
        <v>2908</v>
      </c>
      <c r="K94">
        <f t="shared" si="19"/>
        <v>993</v>
      </c>
      <c r="L94">
        <f t="shared" si="20"/>
        <v>993</v>
      </c>
      <c r="M94">
        <f t="shared" si="21"/>
        <v>132</v>
      </c>
    </row>
    <row r="95" spans="2:13">
      <c r="B95">
        <v>68</v>
      </c>
      <c r="C95" s="3">
        <f t="shared" si="17"/>
        <v>4043</v>
      </c>
      <c r="D95" s="3">
        <f t="shared" si="17"/>
        <v>1380</v>
      </c>
      <c r="E95" s="3">
        <f t="shared" si="17"/>
        <v>1380</v>
      </c>
      <c r="F95" s="3">
        <f t="shared" si="17"/>
        <v>1316</v>
      </c>
      <c r="G95" s="3">
        <f t="shared" si="22"/>
        <v>164</v>
      </c>
      <c r="I95">
        <v>68</v>
      </c>
      <c r="J95">
        <f t="shared" si="18"/>
        <v>2952</v>
      </c>
      <c r="K95">
        <f t="shared" si="19"/>
        <v>1008</v>
      </c>
      <c r="L95">
        <f t="shared" si="20"/>
        <v>1008</v>
      </c>
      <c r="M95">
        <f t="shared" si="21"/>
        <v>134</v>
      </c>
    </row>
    <row r="96" spans="2:13">
      <c r="B96">
        <v>69</v>
      </c>
      <c r="C96" s="3">
        <f t="shared" si="17"/>
        <v>4087</v>
      </c>
      <c r="D96" s="3">
        <f t="shared" si="17"/>
        <v>1395</v>
      </c>
      <c r="E96" s="3">
        <f t="shared" si="17"/>
        <v>1395</v>
      </c>
      <c r="F96" s="3">
        <f t="shared" si="17"/>
        <v>1330</v>
      </c>
      <c r="G96" s="3">
        <f t="shared" si="22"/>
        <v>166</v>
      </c>
      <c r="I96">
        <v>69</v>
      </c>
      <c r="J96">
        <f t="shared" si="18"/>
        <v>2996</v>
      </c>
      <c r="K96">
        <f t="shared" si="19"/>
        <v>1023</v>
      </c>
      <c r="L96">
        <f t="shared" si="20"/>
        <v>1023</v>
      </c>
      <c r="M96">
        <f t="shared" si="21"/>
        <v>136</v>
      </c>
    </row>
    <row r="97" spans="2:13">
      <c r="B97">
        <v>70</v>
      </c>
      <c r="C97" s="3">
        <f t="shared" si="17"/>
        <v>4131</v>
      </c>
      <c r="D97" s="3">
        <f t="shared" si="17"/>
        <v>1410</v>
      </c>
      <c r="E97" s="3">
        <f t="shared" si="17"/>
        <v>1410</v>
      </c>
      <c r="F97" s="3">
        <f t="shared" si="17"/>
        <v>1345</v>
      </c>
      <c r="G97" s="3">
        <f t="shared" si="22"/>
        <v>168</v>
      </c>
      <c r="I97">
        <v>70</v>
      </c>
      <c r="J97">
        <f t="shared" si="18"/>
        <v>3040</v>
      </c>
      <c r="K97">
        <f t="shared" si="19"/>
        <v>1038</v>
      </c>
      <c r="L97">
        <f t="shared" si="20"/>
        <v>1038</v>
      </c>
      <c r="M97">
        <f t="shared" si="21"/>
        <v>138</v>
      </c>
    </row>
    <row r="98" spans="2:13">
      <c r="B98">
        <v>71</v>
      </c>
      <c r="C98" s="3">
        <f t="shared" si="17"/>
        <v>4175</v>
      </c>
      <c r="D98" s="3">
        <f t="shared" si="17"/>
        <v>1426</v>
      </c>
      <c r="E98" s="3">
        <f t="shared" si="17"/>
        <v>1426</v>
      </c>
      <c r="F98" s="3">
        <f t="shared" si="17"/>
        <v>1359</v>
      </c>
      <c r="G98" s="3">
        <f t="shared" si="22"/>
        <v>170</v>
      </c>
      <c r="I98">
        <v>71</v>
      </c>
      <c r="J98">
        <f t="shared" si="18"/>
        <v>3084</v>
      </c>
      <c r="K98">
        <f t="shared" si="19"/>
        <v>1053</v>
      </c>
      <c r="L98">
        <f t="shared" si="20"/>
        <v>1053</v>
      </c>
      <c r="M98">
        <f t="shared" si="21"/>
        <v>140</v>
      </c>
    </row>
    <row r="99" spans="2:13">
      <c r="B99">
        <v>72</v>
      </c>
      <c r="C99" s="3">
        <f t="shared" si="17"/>
        <v>4219</v>
      </c>
      <c r="D99" s="3">
        <f t="shared" si="17"/>
        <v>1441</v>
      </c>
      <c r="E99" s="3">
        <f t="shared" si="17"/>
        <v>1441</v>
      </c>
      <c r="F99" s="3">
        <f t="shared" si="17"/>
        <v>1373</v>
      </c>
      <c r="G99" s="3">
        <f t="shared" si="22"/>
        <v>172</v>
      </c>
      <c r="I99">
        <v>72</v>
      </c>
      <c r="J99">
        <f t="shared" si="18"/>
        <v>3128</v>
      </c>
      <c r="K99">
        <f t="shared" si="19"/>
        <v>1068</v>
      </c>
      <c r="L99">
        <f t="shared" si="20"/>
        <v>1068</v>
      </c>
      <c r="M99">
        <f t="shared" si="21"/>
        <v>142</v>
      </c>
    </row>
    <row r="100" spans="2:13">
      <c r="B100">
        <v>73</v>
      </c>
      <c r="C100" s="3">
        <f t="shared" si="17"/>
        <v>4263</v>
      </c>
      <c r="D100" s="3">
        <f t="shared" si="17"/>
        <v>1456</v>
      </c>
      <c r="E100" s="3">
        <f t="shared" si="17"/>
        <v>1456</v>
      </c>
      <c r="F100" s="3">
        <f t="shared" si="17"/>
        <v>1388</v>
      </c>
      <c r="G100" s="3">
        <f t="shared" si="22"/>
        <v>174</v>
      </c>
      <c r="I100">
        <v>73</v>
      </c>
      <c r="J100">
        <f t="shared" si="18"/>
        <v>3172</v>
      </c>
      <c r="K100">
        <f t="shared" si="19"/>
        <v>1083</v>
      </c>
      <c r="L100">
        <f t="shared" si="20"/>
        <v>1083</v>
      </c>
      <c r="M100">
        <f t="shared" si="21"/>
        <v>144</v>
      </c>
    </row>
    <row r="101" spans="2:13">
      <c r="B101">
        <v>74</v>
      </c>
      <c r="C101" s="3">
        <f t="shared" si="17"/>
        <v>4307</v>
      </c>
      <c r="D101" s="3">
        <f t="shared" si="17"/>
        <v>1471</v>
      </c>
      <c r="E101" s="3">
        <f t="shared" si="17"/>
        <v>1471</v>
      </c>
      <c r="F101" s="3">
        <f t="shared" si="17"/>
        <v>1402</v>
      </c>
      <c r="G101" s="3">
        <f t="shared" si="22"/>
        <v>176</v>
      </c>
      <c r="I101">
        <v>74</v>
      </c>
      <c r="J101">
        <f t="shared" si="18"/>
        <v>3216</v>
      </c>
      <c r="K101">
        <f t="shared" si="19"/>
        <v>1098</v>
      </c>
      <c r="L101">
        <f t="shared" si="20"/>
        <v>1098</v>
      </c>
      <c r="M101">
        <f t="shared" si="21"/>
        <v>146</v>
      </c>
    </row>
    <row r="102" spans="2:13">
      <c r="B102">
        <v>75</v>
      </c>
      <c r="C102" s="3">
        <f t="shared" si="17"/>
        <v>4351</v>
      </c>
      <c r="D102" s="3">
        <f t="shared" si="17"/>
        <v>1486</v>
      </c>
      <c r="E102" s="3">
        <f t="shared" si="17"/>
        <v>1486</v>
      </c>
      <c r="F102" s="3">
        <f t="shared" si="17"/>
        <v>1416</v>
      </c>
      <c r="G102" s="3">
        <f t="shared" si="22"/>
        <v>178</v>
      </c>
      <c r="I102">
        <v>75</v>
      </c>
      <c r="J102">
        <f t="shared" si="18"/>
        <v>3260</v>
      </c>
      <c r="K102">
        <f t="shared" si="19"/>
        <v>1113</v>
      </c>
      <c r="L102">
        <f t="shared" si="20"/>
        <v>1113</v>
      </c>
      <c r="M102">
        <f t="shared" si="21"/>
        <v>148</v>
      </c>
    </row>
    <row r="103" spans="2:13">
      <c r="B103">
        <v>76</v>
      </c>
      <c r="C103" s="3">
        <f t="shared" si="17"/>
        <v>4396</v>
      </c>
      <c r="D103" s="3">
        <f t="shared" si="17"/>
        <v>1501</v>
      </c>
      <c r="E103" s="3">
        <f t="shared" si="17"/>
        <v>1501</v>
      </c>
      <c r="F103" s="3">
        <f t="shared" si="17"/>
        <v>1431</v>
      </c>
      <c r="G103" s="3">
        <f t="shared" si="22"/>
        <v>180</v>
      </c>
      <c r="I103">
        <v>76</v>
      </c>
      <c r="J103">
        <f t="shared" si="18"/>
        <v>3304</v>
      </c>
      <c r="K103">
        <f t="shared" si="19"/>
        <v>1128</v>
      </c>
      <c r="L103">
        <f t="shared" si="20"/>
        <v>1128</v>
      </c>
      <c r="M103">
        <f t="shared" si="21"/>
        <v>150</v>
      </c>
    </row>
    <row r="104" spans="2:13">
      <c r="B104">
        <v>77</v>
      </c>
      <c r="C104" s="3">
        <f t="shared" si="17"/>
        <v>4440</v>
      </c>
      <c r="D104" s="3">
        <f t="shared" si="17"/>
        <v>1516</v>
      </c>
      <c r="E104" s="3">
        <f t="shared" si="17"/>
        <v>1516</v>
      </c>
      <c r="F104" s="3">
        <f t="shared" si="17"/>
        <v>1445</v>
      </c>
      <c r="G104" s="3">
        <f t="shared" si="22"/>
        <v>182</v>
      </c>
      <c r="I104">
        <v>77</v>
      </c>
      <c r="J104">
        <f t="shared" si="18"/>
        <v>3348</v>
      </c>
      <c r="K104">
        <f t="shared" si="19"/>
        <v>1143</v>
      </c>
      <c r="L104">
        <f t="shared" si="20"/>
        <v>1143</v>
      </c>
      <c r="M104">
        <f t="shared" si="21"/>
        <v>152</v>
      </c>
    </row>
    <row r="105" spans="2:13">
      <c r="B105">
        <v>78</v>
      </c>
      <c r="C105" s="3">
        <f t="shared" si="17"/>
        <v>4484</v>
      </c>
      <c r="D105" s="3">
        <f t="shared" si="17"/>
        <v>1531</v>
      </c>
      <c r="E105" s="3">
        <f t="shared" si="17"/>
        <v>1531</v>
      </c>
      <c r="F105" s="3">
        <f t="shared" si="17"/>
        <v>1459</v>
      </c>
      <c r="G105" s="3">
        <f t="shared" si="22"/>
        <v>184</v>
      </c>
      <c r="I105">
        <v>78</v>
      </c>
      <c r="J105">
        <f t="shared" si="18"/>
        <v>3392</v>
      </c>
      <c r="K105">
        <f t="shared" si="19"/>
        <v>1158</v>
      </c>
      <c r="L105">
        <f t="shared" si="20"/>
        <v>1158</v>
      </c>
      <c r="M105">
        <f t="shared" si="21"/>
        <v>154</v>
      </c>
    </row>
    <row r="106" spans="2:13">
      <c r="B106">
        <v>79</v>
      </c>
      <c r="C106" s="3">
        <f t="shared" si="17"/>
        <v>4528</v>
      </c>
      <c r="D106" s="3">
        <f t="shared" si="17"/>
        <v>1546</v>
      </c>
      <c r="E106" s="3">
        <f t="shared" si="17"/>
        <v>1546</v>
      </c>
      <c r="F106" s="3">
        <f t="shared" si="17"/>
        <v>1474</v>
      </c>
      <c r="G106" s="3">
        <f t="shared" si="22"/>
        <v>186</v>
      </c>
      <c r="I106">
        <v>79</v>
      </c>
      <c r="J106">
        <f t="shared" si="18"/>
        <v>3436</v>
      </c>
      <c r="K106">
        <f t="shared" si="19"/>
        <v>1173</v>
      </c>
      <c r="L106">
        <f t="shared" si="20"/>
        <v>1173</v>
      </c>
      <c r="M106">
        <f t="shared" si="21"/>
        <v>156</v>
      </c>
    </row>
    <row r="107" spans="2:13">
      <c r="B107">
        <v>80</v>
      </c>
      <c r="C107" s="3">
        <f t="shared" si="17"/>
        <v>4572</v>
      </c>
      <c r="D107" s="3">
        <f t="shared" si="17"/>
        <v>1561</v>
      </c>
      <c r="E107" s="3">
        <f t="shared" si="17"/>
        <v>1561</v>
      </c>
      <c r="F107" s="3">
        <f t="shared" si="17"/>
        <v>1488</v>
      </c>
      <c r="G107" s="3">
        <f t="shared" si="22"/>
        <v>188</v>
      </c>
      <c r="I107">
        <v>80</v>
      </c>
      <c r="J107">
        <f t="shared" si="18"/>
        <v>3480</v>
      </c>
      <c r="K107">
        <f t="shared" si="19"/>
        <v>1188</v>
      </c>
      <c r="L107">
        <f t="shared" si="20"/>
        <v>1188</v>
      </c>
      <c r="M107">
        <f t="shared" si="21"/>
        <v>158</v>
      </c>
    </row>
    <row r="108" spans="2:13">
      <c r="B108">
        <v>81</v>
      </c>
      <c r="C108" s="3">
        <f t="shared" si="17"/>
        <v>4616</v>
      </c>
      <c r="D108" s="3">
        <f t="shared" si="17"/>
        <v>1576</v>
      </c>
      <c r="E108" s="3">
        <f t="shared" si="17"/>
        <v>1576</v>
      </c>
      <c r="F108" s="3">
        <f t="shared" si="17"/>
        <v>1502</v>
      </c>
      <c r="G108" s="3">
        <f t="shared" si="22"/>
        <v>190</v>
      </c>
      <c r="I108">
        <v>81</v>
      </c>
      <c r="J108">
        <f t="shared" si="18"/>
        <v>3524</v>
      </c>
      <c r="K108">
        <f t="shared" si="19"/>
        <v>1204</v>
      </c>
      <c r="L108">
        <f t="shared" si="20"/>
        <v>1204</v>
      </c>
      <c r="M108">
        <f t="shared" si="21"/>
        <v>160</v>
      </c>
    </row>
    <row r="109" spans="2:13">
      <c r="B109">
        <v>82</v>
      </c>
      <c r="C109" s="3">
        <f t="shared" si="17"/>
        <v>4660</v>
      </c>
      <c r="D109" s="3">
        <f t="shared" si="17"/>
        <v>1591</v>
      </c>
      <c r="E109" s="3">
        <f t="shared" si="17"/>
        <v>1591</v>
      </c>
      <c r="F109" s="3">
        <f t="shared" ref="D109:F126" si="23">ROUND(F$28+F$25*($B109-1),0)</f>
        <v>1517</v>
      </c>
      <c r="G109" s="3">
        <f t="shared" si="22"/>
        <v>192</v>
      </c>
      <c r="I109">
        <v>82</v>
      </c>
      <c r="J109">
        <f t="shared" si="18"/>
        <v>3568</v>
      </c>
      <c r="K109">
        <f t="shared" si="19"/>
        <v>1219</v>
      </c>
      <c r="L109">
        <f t="shared" si="20"/>
        <v>1219</v>
      </c>
      <c r="M109">
        <f t="shared" si="21"/>
        <v>162</v>
      </c>
    </row>
    <row r="110" spans="2:13">
      <c r="B110">
        <v>83</v>
      </c>
      <c r="C110" s="3">
        <f t="shared" ref="C110:C126" si="24">ROUND(C$28+C$25*($B110-1),0)</f>
        <v>4704</v>
      </c>
      <c r="D110" s="3">
        <f t="shared" si="23"/>
        <v>1606</v>
      </c>
      <c r="E110" s="3">
        <f t="shared" si="23"/>
        <v>1606</v>
      </c>
      <c r="F110" s="3">
        <f t="shared" si="23"/>
        <v>1531</v>
      </c>
      <c r="G110" s="3">
        <f t="shared" si="22"/>
        <v>194</v>
      </c>
      <c r="I110">
        <v>83</v>
      </c>
      <c r="J110">
        <f t="shared" si="18"/>
        <v>3612</v>
      </c>
      <c r="K110">
        <f t="shared" si="19"/>
        <v>1234</v>
      </c>
      <c r="L110">
        <f t="shared" si="20"/>
        <v>1234</v>
      </c>
      <c r="M110">
        <f t="shared" si="21"/>
        <v>164</v>
      </c>
    </row>
    <row r="111" spans="2:13">
      <c r="B111">
        <v>84</v>
      </c>
      <c r="C111" s="3">
        <f t="shared" si="24"/>
        <v>4748</v>
      </c>
      <c r="D111" s="3">
        <f t="shared" si="23"/>
        <v>1621</v>
      </c>
      <c r="E111" s="3">
        <f t="shared" si="23"/>
        <v>1621</v>
      </c>
      <c r="F111" s="3">
        <f t="shared" si="23"/>
        <v>1546</v>
      </c>
      <c r="G111" s="3">
        <f t="shared" si="22"/>
        <v>196</v>
      </c>
      <c r="I111">
        <v>84</v>
      </c>
      <c r="J111">
        <f t="shared" si="18"/>
        <v>3657</v>
      </c>
      <c r="K111">
        <f t="shared" si="19"/>
        <v>1249</v>
      </c>
      <c r="L111">
        <f t="shared" si="20"/>
        <v>1249</v>
      </c>
      <c r="M111">
        <f t="shared" si="21"/>
        <v>166</v>
      </c>
    </row>
    <row r="112" spans="2:13">
      <c r="B112">
        <v>85</v>
      </c>
      <c r="C112" s="3">
        <f t="shared" si="24"/>
        <v>4792</v>
      </c>
      <c r="D112" s="3">
        <f t="shared" si="23"/>
        <v>1636</v>
      </c>
      <c r="E112" s="3">
        <f t="shared" si="23"/>
        <v>1636</v>
      </c>
      <c r="F112" s="3">
        <f t="shared" si="23"/>
        <v>1560</v>
      </c>
      <c r="G112" s="3">
        <f t="shared" si="22"/>
        <v>198</v>
      </c>
      <c r="I112">
        <v>85</v>
      </c>
      <c r="J112">
        <f t="shared" si="18"/>
        <v>3701</v>
      </c>
      <c r="K112">
        <f t="shared" si="19"/>
        <v>1264</v>
      </c>
      <c r="L112">
        <f t="shared" si="20"/>
        <v>1264</v>
      </c>
      <c r="M112">
        <f t="shared" si="21"/>
        <v>168</v>
      </c>
    </row>
    <row r="113" spans="2:13">
      <c r="B113">
        <v>86</v>
      </c>
      <c r="C113" s="3">
        <f t="shared" si="24"/>
        <v>4836</v>
      </c>
      <c r="D113" s="3">
        <f t="shared" si="23"/>
        <v>1651</v>
      </c>
      <c r="E113" s="3">
        <f t="shared" si="23"/>
        <v>1651</v>
      </c>
      <c r="F113" s="3">
        <f t="shared" si="23"/>
        <v>1574</v>
      </c>
      <c r="G113" s="3">
        <f t="shared" si="22"/>
        <v>200</v>
      </c>
      <c r="I113">
        <v>86</v>
      </c>
      <c r="J113">
        <f t="shared" si="18"/>
        <v>3745</v>
      </c>
      <c r="K113">
        <f t="shared" si="19"/>
        <v>1279</v>
      </c>
      <c r="L113">
        <f t="shared" si="20"/>
        <v>1279</v>
      </c>
      <c r="M113">
        <f t="shared" si="21"/>
        <v>170</v>
      </c>
    </row>
    <row r="114" spans="2:13">
      <c r="B114">
        <v>87</v>
      </c>
      <c r="C114" s="3">
        <f t="shared" si="24"/>
        <v>4880</v>
      </c>
      <c r="D114" s="3">
        <f t="shared" si="23"/>
        <v>1666</v>
      </c>
      <c r="E114" s="3">
        <f t="shared" si="23"/>
        <v>1666</v>
      </c>
      <c r="F114" s="3">
        <f t="shared" si="23"/>
        <v>1589</v>
      </c>
      <c r="G114" s="3">
        <f t="shared" si="22"/>
        <v>202</v>
      </c>
      <c r="I114">
        <v>87</v>
      </c>
      <c r="J114">
        <f t="shared" si="18"/>
        <v>3789</v>
      </c>
      <c r="K114">
        <f t="shared" si="19"/>
        <v>1294</v>
      </c>
      <c r="L114">
        <f t="shared" si="20"/>
        <v>1294</v>
      </c>
      <c r="M114">
        <f t="shared" si="21"/>
        <v>172</v>
      </c>
    </row>
    <row r="115" spans="2:13">
      <c r="B115">
        <v>88</v>
      </c>
      <c r="C115" s="3">
        <f t="shared" si="24"/>
        <v>4924</v>
      </c>
      <c r="D115" s="3">
        <f t="shared" si="23"/>
        <v>1681</v>
      </c>
      <c r="E115" s="3">
        <f t="shared" si="23"/>
        <v>1681</v>
      </c>
      <c r="F115" s="3">
        <f t="shared" si="23"/>
        <v>1603</v>
      </c>
      <c r="G115" s="3">
        <f t="shared" si="22"/>
        <v>204</v>
      </c>
      <c r="I115">
        <v>88</v>
      </c>
      <c r="J115">
        <f t="shared" si="18"/>
        <v>3833</v>
      </c>
      <c r="K115">
        <f t="shared" si="19"/>
        <v>1309</v>
      </c>
      <c r="L115">
        <f t="shared" si="20"/>
        <v>1309</v>
      </c>
      <c r="M115">
        <f t="shared" si="21"/>
        <v>174</v>
      </c>
    </row>
    <row r="116" spans="2:13">
      <c r="B116">
        <v>89</v>
      </c>
      <c r="C116" s="3">
        <f t="shared" si="24"/>
        <v>4968</v>
      </c>
      <c r="D116" s="3">
        <f t="shared" si="23"/>
        <v>1696</v>
      </c>
      <c r="E116" s="3">
        <f t="shared" si="23"/>
        <v>1696</v>
      </c>
      <c r="F116" s="3">
        <f t="shared" si="23"/>
        <v>1617</v>
      </c>
      <c r="G116" s="3">
        <f t="shared" si="22"/>
        <v>206</v>
      </c>
      <c r="I116">
        <v>89</v>
      </c>
      <c r="J116">
        <f t="shared" si="18"/>
        <v>3877</v>
      </c>
      <c r="K116">
        <f t="shared" si="19"/>
        <v>1324</v>
      </c>
      <c r="L116">
        <f t="shared" si="20"/>
        <v>1324</v>
      </c>
      <c r="M116">
        <f t="shared" si="21"/>
        <v>176</v>
      </c>
    </row>
    <row r="117" spans="2:13">
      <c r="B117">
        <v>90</v>
      </c>
      <c r="C117" s="3">
        <f t="shared" si="24"/>
        <v>5012</v>
      </c>
      <c r="D117" s="3">
        <f t="shared" si="23"/>
        <v>1711</v>
      </c>
      <c r="E117" s="3">
        <f t="shared" si="23"/>
        <v>1711</v>
      </c>
      <c r="F117" s="3">
        <f t="shared" si="23"/>
        <v>1632</v>
      </c>
      <c r="G117" s="3">
        <f t="shared" si="22"/>
        <v>208</v>
      </c>
      <c r="I117">
        <v>90</v>
      </c>
      <c r="J117">
        <f t="shared" si="18"/>
        <v>3921</v>
      </c>
      <c r="K117">
        <f t="shared" si="19"/>
        <v>1339</v>
      </c>
      <c r="L117">
        <f t="shared" si="20"/>
        <v>1339</v>
      </c>
      <c r="M117">
        <f t="shared" si="21"/>
        <v>178</v>
      </c>
    </row>
    <row r="118" spans="2:13">
      <c r="B118">
        <v>91</v>
      </c>
      <c r="C118" s="3">
        <f t="shared" si="24"/>
        <v>5056</v>
      </c>
      <c r="D118" s="3">
        <f t="shared" si="23"/>
        <v>1727</v>
      </c>
      <c r="E118" s="3">
        <f t="shared" si="23"/>
        <v>1727</v>
      </c>
      <c r="F118" s="3">
        <f t="shared" si="23"/>
        <v>1646</v>
      </c>
      <c r="G118" s="3">
        <f t="shared" si="22"/>
        <v>210</v>
      </c>
      <c r="I118">
        <v>91</v>
      </c>
      <c r="J118">
        <f t="shared" si="18"/>
        <v>3965</v>
      </c>
      <c r="K118">
        <f t="shared" si="19"/>
        <v>1354</v>
      </c>
      <c r="L118">
        <f t="shared" si="20"/>
        <v>1354</v>
      </c>
      <c r="M118">
        <f t="shared" si="21"/>
        <v>180</v>
      </c>
    </row>
    <row r="119" spans="2:13">
      <c r="B119">
        <v>92</v>
      </c>
      <c r="C119" s="3">
        <f t="shared" si="24"/>
        <v>5101</v>
      </c>
      <c r="D119" s="3">
        <f t="shared" si="23"/>
        <v>1742</v>
      </c>
      <c r="E119" s="3">
        <f t="shared" si="23"/>
        <v>1742</v>
      </c>
      <c r="F119" s="3">
        <f t="shared" si="23"/>
        <v>1660</v>
      </c>
      <c r="G119" s="3">
        <f t="shared" si="22"/>
        <v>212</v>
      </c>
      <c r="I119">
        <v>92</v>
      </c>
      <c r="J119">
        <f t="shared" si="18"/>
        <v>4009</v>
      </c>
      <c r="K119">
        <f t="shared" si="19"/>
        <v>1369</v>
      </c>
      <c r="L119">
        <f t="shared" si="20"/>
        <v>1369</v>
      </c>
      <c r="M119">
        <f t="shared" si="21"/>
        <v>182</v>
      </c>
    </row>
    <row r="120" spans="2:13">
      <c r="B120">
        <v>93</v>
      </c>
      <c r="C120" s="3">
        <f t="shared" si="24"/>
        <v>5145</v>
      </c>
      <c r="D120" s="3">
        <f t="shared" si="23"/>
        <v>1757</v>
      </c>
      <c r="E120" s="3">
        <f t="shared" si="23"/>
        <v>1757</v>
      </c>
      <c r="F120" s="3">
        <f t="shared" si="23"/>
        <v>1675</v>
      </c>
      <c r="G120" s="3">
        <f t="shared" si="22"/>
        <v>214</v>
      </c>
      <c r="I120">
        <v>93</v>
      </c>
      <c r="J120">
        <f t="shared" si="18"/>
        <v>4053</v>
      </c>
      <c r="K120">
        <f t="shared" si="19"/>
        <v>1384</v>
      </c>
      <c r="L120">
        <f t="shared" si="20"/>
        <v>1384</v>
      </c>
      <c r="M120">
        <f t="shared" si="21"/>
        <v>184</v>
      </c>
    </row>
    <row r="121" spans="2:13">
      <c r="B121">
        <v>94</v>
      </c>
      <c r="C121" s="3">
        <f t="shared" si="24"/>
        <v>5189</v>
      </c>
      <c r="D121" s="3">
        <f t="shared" si="23"/>
        <v>1772</v>
      </c>
      <c r="E121" s="3">
        <f t="shared" si="23"/>
        <v>1772</v>
      </c>
      <c r="F121" s="3">
        <f t="shared" si="23"/>
        <v>1689</v>
      </c>
      <c r="G121" s="3">
        <f t="shared" si="22"/>
        <v>216</v>
      </c>
      <c r="I121">
        <v>94</v>
      </c>
      <c r="J121">
        <f t="shared" si="18"/>
        <v>4097</v>
      </c>
      <c r="K121">
        <f t="shared" si="19"/>
        <v>1399</v>
      </c>
      <c r="L121">
        <f t="shared" si="20"/>
        <v>1399</v>
      </c>
      <c r="M121">
        <f t="shared" si="21"/>
        <v>186</v>
      </c>
    </row>
    <row r="122" spans="2:13">
      <c r="B122">
        <v>95</v>
      </c>
      <c r="C122" s="3">
        <f t="shared" si="24"/>
        <v>5233</v>
      </c>
      <c r="D122" s="3">
        <f t="shared" si="23"/>
        <v>1787</v>
      </c>
      <c r="E122" s="3">
        <f t="shared" si="23"/>
        <v>1787</v>
      </c>
      <c r="F122" s="3">
        <f t="shared" si="23"/>
        <v>1703</v>
      </c>
      <c r="G122" s="3">
        <f t="shared" si="22"/>
        <v>218</v>
      </c>
      <c r="I122">
        <v>95</v>
      </c>
      <c r="J122">
        <f t="shared" si="18"/>
        <v>4141</v>
      </c>
      <c r="K122">
        <f t="shared" si="19"/>
        <v>1414</v>
      </c>
      <c r="L122">
        <f t="shared" si="20"/>
        <v>1414</v>
      </c>
      <c r="M122">
        <f t="shared" si="21"/>
        <v>188</v>
      </c>
    </row>
    <row r="123" spans="2:13">
      <c r="B123">
        <v>96</v>
      </c>
      <c r="C123" s="3">
        <f t="shared" si="24"/>
        <v>5277</v>
      </c>
      <c r="D123" s="3">
        <f t="shared" si="23"/>
        <v>1802</v>
      </c>
      <c r="E123" s="3">
        <f t="shared" si="23"/>
        <v>1802</v>
      </c>
      <c r="F123" s="3">
        <f t="shared" si="23"/>
        <v>1718</v>
      </c>
      <c r="G123" s="3">
        <f t="shared" si="22"/>
        <v>220</v>
      </c>
      <c r="I123">
        <v>96</v>
      </c>
      <c r="J123">
        <f t="shared" si="18"/>
        <v>4185</v>
      </c>
      <c r="K123">
        <f t="shared" si="19"/>
        <v>1429</v>
      </c>
      <c r="L123">
        <f t="shared" si="20"/>
        <v>1429</v>
      </c>
      <c r="M123">
        <f t="shared" si="21"/>
        <v>190</v>
      </c>
    </row>
    <row r="124" spans="2:13">
      <c r="B124">
        <v>97</v>
      </c>
      <c r="C124" s="3">
        <f t="shared" si="24"/>
        <v>5321</v>
      </c>
      <c r="D124" s="3">
        <f t="shared" si="23"/>
        <v>1817</v>
      </c>
      <c r="E124" s="3">
        <f t="shared" si="23"/>
        <v>1817</v>
      </c>
      <c r="F124" s="3">
        <f t="shared" si="23"/>
        <v>1732</v>
      </c>
      <c r="G124" s="3">
        <f t="shared" si="22"/>
        <v>222</v>
      </c>
      <c r="I124">
        <v>97</v>
      </c>
      <c r="J124">
        <f t="shared" si="18"/>
        <v>4229</v>
      </c>
      <c r="K124">
        <f t="shared" si="19"/>
        <v>1444</v>
      </c>
      <c r="L124">
        <f t="shared" si="20"/>
        <v>1444</v>
      </c>
      <c r="M124">
        <f t="shared" si="21"/>
        <v>192</v>
      </c>
    </row>
    <row r="125" spans="2:13">
      <c r="B125">
        <v>98</v>
      </c>
      <c r="C125" s="3">
        <f t="shared" si="24"/>
        <v>5365</v>
      </c>
      <c r="D125" s="3">
        <f t="shared" si="23"/>
        <v>1832</v>
      </c>
      <c r="E125" s="3">
        <f t="shared" si="23"/>
        <v>1832</v>
      </c>
      <c r="F125" s="3">
        <f t="shared" si="23"/>
        <v>1746</v>
      </c>
      <c r="G125" s="3">
        <f t="shared" si="22"/>
        <v>224</v>
      </c>
      <c r="I125">
        <v>98</v>
      </c>
      <c r="J125">
        <f t="shared" si="18"/>
        <v>4273</v>
      </c>
      <c r="K125">
        <f t="shared" si="19"/>
        <v>1459</v>
      </c>
      <c r="L125">
        <f t="shared" si="20"/>
        <v>1459</v>
      </c>
      <c r="M125">
        <f t="shared" si="21"/>
        <v>194</v>
      </c>
    </row>
    <row r="126" spans="2:13">
      <c r="B126">
        <v>99</v>
      </c>
      <c r="C126" s="3">
        <f t="shared" si="24"/>
        <v>5409</v>
      </c>
      <c r="D126" s="3">
        <f t="shared" si="23"/>
        <v>1847</v>
      </c>
      <c r="E126" s="3">
        <f t="shared" si="23"/>
        <v>1847</v>
      </c>
      <c r="F126" s="3">
        <f t="shared" si="23"/>
        <v>1761</v>
      </c>
      <c r="G126" s="3">
        <f t="shared" si="22"/>
        <v>226</v>
      </c>
      <c r="I126">
        <v>99</v>
      </c>
      <c r="J126">
        <f>ROUNDDOWN(J$127*$I125/$I$126,0)</f>
        <v>4317</v>
      </c>
      <c r="K126">
        <f t="shared" ref="K126:M126" si="25">ROUNDDOWN(K$127*$I125/$I$126,0)</f>
        <v>1474</v>
      </c>
      <c r="L126">
        <f t="shared" si="25"/>
        <v>1474</v>
      </c>
      <c r="M126">
        <f t="shared" si="25"/>
        <v>196</v>
      </c>
    </row>
    <row r="127" spans="2:13">
      <c r="B127">
        <v>100</v>
      </c>
      <c r="C127" s="20">
        <f>ROUND($D$22/$H$22*J20,0)</f>
        <v>5453</v>
      </c>
      <c r="D127" s="20">
        <f>ROUND($D$22/$H$22*J22,0)</f>
        <v>1862</v>
      </c>
      <c r="E127" s="20">
        <f>ROUND($D$22/$H$22*J22,0)</f>
        <v>1862</v>
      </c>
      <c r="F127" s="20">
        <f>ROUND($D$22/$H$22*J23,0)</f>
        <v>1775</v>
      </c>
      <c r="G127" s="3">
        <f t="shared" si="22"/>
        <v>228</v>
      </c>
      <c r="I127">
        <v>100</v>
      </c>
      <c r="J127">
        <f>C127-C28</f>
        <v>4362</v>
      </c>
      <c r="K127">
        <f>D127-D28</f>
        <v>1490</v>
      </c>
      <c r="L127">
        <f>E127-E28</f>
        <v>1490</v>
      </c>
      <c r="M127">
        <f>G127-G28</f>
        <v>198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J5" sqref="J5:J103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'[2]宠物经验(副本关联表)'!$I18</f>
        <v>60</v>
      </c>
      <c r="D5">
        <f>属性拆分生成!C28</f>
        <v>1091</v>
      </c>
      <c r="E5">
        <f>属性拆分生成!D28</f>
        <v>372</v>
      </c>
      <c r="F5">
        <f>属性拆分生成!E28</f>
        <v>372</v>
      </c>
      <c r="G5">
        <v>55</v>
      </c>
      <c r="H5">
        <f>属性拆分生成!F28</f>
        <v>355</v>
      </c>
      <c r="I5">
        <v>0</v>
      </c>
      <c r="J5">
        <f>INT(D5*0.15)</f>
        <v>163</v>
      </c>
    </row>
    <row r="6" spans="2:10">
      <c r="B6">
        <v>2</v>
      </c>
      <c r="C6">
        <f>'[2]宠物经验(副本关联表)'!$I19</f>
        <v>90</v>
      </c>
      <c r="D6">
        <f>属性拆分生成!C29</f>
        <v>1135</v>
      </c>
      <c r="E6">
        <f>属性拆分生成!D29</f>
        <v>387</v>
      </c>
      <c r="F6">
        <f>属性拆分生成!E29</f>
        <v>387</v>
      </c>
      <c r="G6">
        <v>56</v>
      </c>
      <c r="H6">
        <f>属性拆分生成!F29</f>
        <v>369</v>
      </c>
      <c r="I6">
        <v>0</v>
      </c>
      <c r="J6">
        <f t="shared" ref="J6:J69" si="0">INT(D6*0.15)</f>
        <v>170</v>
      </c>
    </row>
    <row r="7" spans="2:10">
      <c r="B7">
        <v>3</v>
      </c>
      <c r="C7">
        <f>'[2]宠物经验(副本关联表)'!$I20</f>
        <v>120</v>
      </c>
      <c r="D7">
        <f>属性拆分生成!C30</f>
        <v>1179</v>
      </c>
      <c r="E7">
        <f>属性拆分生成!D30</f>
        <v>402</v>
      </c>
      <c r="F7">
        <f>属性拆分生成!E30</f>
        <v>402</v>
      </c>
      <c r="G7">
        <v>57</v>
      </c>
      <c r="H7">
        <f>属性拆分生成!F30</f>
        <v>384</v>
      </c>
      <c r="I7">
        <v>0</v>
      </c>
      <c r="J7">
        <f t="shared" si="0"/>
        <v>176</v>
      </c>
    </row>
    <row r="8" spans="2:10">
      <c r="B8">
        <v>4</v>
      </c>
      <c r="C8">
        <f>'[2]宠物经验(副本关联表)'!$I21</f>
        <v>150</v>
      </c>
      <c r="D8">
        <f>属性拆分生成!C31</f>
        <v>1223</v>
      </c>
      <c r="E8">
        <f>属性拆分生成!D31</f>
        <v>417</v>
      </c>
      <c r="F8">
        <f>属性拆分生成!E31</f>
        <v>417</v>
      </c>
      <c r="G8">
        <v>58</v>
      </c>
      <c r="H8">
        <f>属性拆分生成!F31</f>
        <v>398</v>
      </c>
      <c r="I8">
        <v>0</v>
      </c>
      <c r="J8">
        <f t="shared" si="0"/>
        <v>183</v>
      </c>
    </row>
    <row r="9" spans="2:10">
      <c r="B9">
        <v>5</v>
      </c>
      <c r="C9">
        <f>'[2]宠物经验(副本关联表)'!$I22</f>
        <v>190</v>
      </c>
      <c r="D9">
        <f>属性拆分生成!C32</f>
        <v>1267</v>
      </c>
      <c r="E9">
        <f>属性拆分生成!D32</f>
        <v>432</v>
      </c>
      <c r="F9">
        <f>属性拆分生成!E32</f>
        <v>432</v>
      </c>
      <c r="G9">
        <v>59</v>
      </c>
      <c r="H9">
        <f>属性拆分生成!F32</f>
        <v>412</v>
      </c>
      <c r="I9">
        <v>0</v>
      </c>
      <c r="J9">
        <f t="shared" si="0"/>
        <v>190</v>
      </c>
    </row>
    <row r="10" spans="2:10">
      <c r="B10">
        <v>6</v>
      </c>
      <c r="C10">
        <f>'[2]宠物经验(副本关联表)'!$I23</f>
        <v>220</v>
      </c>
      <c r="D10">
        <f>属性拆分生成!C33</f>
        <v>1311</v>
      </c>
      <c r="E10">
        <f>属性拆分生成!D33</f>
        <v>447</v>
      </c>
      <c r="F10">
        <f>属性拆分生成!E33</f>
        <v>447</v>
      </c>
      <c r="G10">
        <v>60</v>
      </c>
      <c r="H10">
        <f>属性拆分生成!F33</f>
        <v>427</v>
      </c>
      <c r="I10">
        <v>0</v>
      </c>
      <c r="J10">
        <f t="shared" si="0"/>
        <v>196</v>
      </c>
    </row>
    <row r="11" spans="2:10">
      <c r="B11">
        <v>7</v>
      </c>
      <c r="C11">
        <f>'[2]宠物经验(副本关联表)'!$I24</f>
        <v>260</v>
      </c>
      <c r="D11">
        <f>属性拆分生成!C34</f>
        <v>1355</v>
      </c>
      <c r="E11">
        <f>属性拆分生成!D34</f>
        <v>462</v>
      </c>
      <c r="F11">
        <f>属性拆分生成!E34</f>
        <v>462</v>
      </c>
      <c r="G11">
        <v>61</v>
      </c>
      <c r="H11">
        <f>属性拆分生成!F34</f>
        <v>441</v>
      </c>
      <c r="I11">
        <v>0</v>
      </c>
      <c r="J11">
        <f t="shared" si="0"/>
        <v>203</v>
      </c>
    </row>
    <row r="12" spans="2:10">
      <c r="B12">
        <v>8</v>
      </c>
      <c r="C12">
        <f>'[2]宠物经验(副本关联表)'!$I25</f>
        <v>290</v>
      </c>
      <c r="D12">
        <f>属性拆分生成!C35</f>
        <v>1399</v>
      </c>
      <c r="E12">
        <f>属性拆分生成!D35</f>
        <v>477</v>
      </c>
      <c r="F12">
        <f>属性拆分生成!E35</f>
        <v>477</v>
      </c>
      <c r="G12">
        <v>62</v>
      </c>
      <c r="H12">
        <f>属性拆分生成!F35</f>
        <v>455</v>
      </c>
      <c r="I12">
        <v>0</v>
      </c>
      <c r="J12">
        <f t="shared" si="0"/>
        <v>209</v>
      </c>
    </row>
    <row r="13" spans="2:10">
      <c r="B13">
        <v>9</v>
      </c>
      <c r="C13">
        <f>'[2]宠物经验(副本关联表)'!$I26</f>
        <v>330</v>
      </c>
      <c r="D13">
        <f>属性拆分生成!C36</f>
        <v>1443</v>
      </c>
      <c r="E13">
        <f>属性拆分生成!D36</f>
        <v>492</v>
      </c>
      <c r="F13">
        <f>属性拆分生成!E36</f>
        <v>492</v>
      </c>
      <c r="G13">
        <v>63</v>
      </c>
      <c r="H13">
        <f>属性拆分生成!F36</f>
        <v>470</v>
      </c>
      <c r="I13">
        <v>0</v>
      </c>
      <c r="J13">
        <f t="shared" si="0"/>
        <v>216</v>
      </c>
    </row>
    <row r="14" spans="2:10">
      <c r="B14">
        <v>10</v>
      </c>
      <c r="C14">
        <f>'[2]宠物经验(副本关联表)'!$I27</f>
        <v>370</v>
      </c>
      <c r="D14">
        <f>属性拆分生成!C37</f>
        <v>1488</v>
      </c>
      <c r="E14">
        <f>属性拆分生成!D37</f>
        <v>507</v>
      </c>
      <c r="F14">
        <f>属性拆分生成!E37</f>
        <v>507</v>
      </c>
      <c r="G14">
        <v>64</v>
      </c>
      <c r="H14">
        <f>属性拆分生成!F37</f>
        <v>484</v>
      </c>
      <c r="I14">
        <v>0</v>
      </c>
      <c r="J14">
        <f t="shared" si="0"/>
        <v>223</v>
      </c>
    </row>
    <row r="15" spans="2:10">
      <c r="B15">
        <v>11</v>
      </c>
      <c r="C15">
        <f>'[2]宠物经验(副本关联表)'!$I28</f>
        <v>400</v>
      </c>
      <c r="D15">
        <f>属性拆分生成!C38</f>
        <v>1532</v>
      </c>
      <c r="E15">
        <f>属性拆分生成!D38</f>
        <v>523</v>
      </c>
      <c r="F15">
        <f>属性拆分生成!E38</f>
        <v>523</v>
      </c>
      <c r="G15">
        <v>66</v>
      </c>
      <c r="H15">
        <f>属性拆分生成!F38</f>
        <v>498</v>
      </c>
      <c r="I15">
        <v>0</v>
      </c>
      <c r="J15">
        <f t="shared" si="0"/>
        <v>229</v>
      </c>
    </row>
    <row r="16" spans="2:10">
      <c r="B16">
        <v>12</v>
      </c>
      <c r="C16">
        <f>'[2]宠物经验(副本关联表)'!$I29</f>
        <v>520</v>
      </c>
      <c r="D16">
        <f>属性拆分生成!C39</f>
        <v>1576</v>
      </c>
      <c r="E16">
        <f>属性拆分生成!D39</f>
        <v>538</v>
      </c>
      <c r="F16">
        <f>属性拆分生成!E39</f>
        <v>538</v>
      </c>
      <c r="G16">
        <v>67</v>
      </c>
      <c r="H16">
        <f>属性拆分生成!F39</f>
        <v>513</v>
      </c>
      <c r="I16">
        <v>0</v>
      </c>
      <c r="J16">
        <f t="shared" si="0"/>
        <v>236</v>
      </c>
    </row>
    <row r="17" spans="2:10">
      <c r="B17">
        <v>13</v>
      </c>
      <c r="C17">
        <f>'[2]宠物经验(副本关联表)'!$I30</f>
        <v>640</v>
      </c>
      <c r="D17">
        <f>属性拆分生成!C40</f>
        <v>1620</v>
      </c>
      <c r="E17">
        <f>属性拆分生成!D40</f>
        <v>553</v>
      </c>
      <c r="F17">
        <f>属性拆分生成!E40</f>
        <v>553</v>
      </c>
      <c r="G17">
        <v>68</v>
      </c>
      <c r="H17">
        <f>属性拆分生成!F40</f>
        <v>527</v>
      </c>
      <c r="I17">
        <v>0</v>
      </c>
      <c r="J17">
        <f t="shared" si="0"/>
        <v>243</v>
      </c>
    </row>
    <row r="18" spans="2:10">
      <c r="B18">
        <v>14</v>
      </c>
      <c r="C18">
        <f>'[2]宠物经验(副本关联表)'!$I31</f>
        <v>760</v>
      </c>
      <c r="D18">
        <f>属性拆分生成!C41</f>
        <v>1664</v>
      </c>
      <c r="E18">
        <f>属性拆分生成!D41</f>
        <v>568</v>
      </c>
      <c r="F18">
        <f>属性拆分生成!E41</f>
        <v>568</v>
      </c>
      <c r="G18">
        <v>69</v>
      </c>
      <c r="H18">
        <f>属性拆分生成!F41</f>
        <v>541</v>
      </c>
      <c r="I18">
        <v>0</v>
      </c>
      <c r="J18">
        <f t="shared" si="0"/>
        <v>249</v>
      </c>
    </row>
    <row r="19" spans="2:10">
      <c r="B19">
        <v>15</v>
      </c>
      <c r="C19">
        <f>'[2]宠物经验(副本关联表)'!$I32</f>
        <v>890</v>
      </c>
      <c r="D19">
        <f>属性拆分生成!C42</f>
        <v>1708</v>
      </c>
      <c r="E19">
        <f>属性拆分生成!D42</f>
        <v>583</v>
      </c>
      <c r="F19">
        <f>属性拆分生成!E42</f>
        <v>583</v>
      </c>
      <c r="G19">
        <v>70</v>
      </c>
      <c r="H19">
        <f>属性拆分生成!F42</f>
        <v>556</v>
      </c>
      <c r="I19">
        <v>0</v>
      </c>
      <c r="J19">
        <f t="shared" si="0"/>
        <v>256</v>
      </c>
    </row>
    <row r="20" spans="2:10">
      <c r="B20">
        <v>16</v>
      </c>
      <c r="C20">
        <f>'[2]宠物经验(副本关联表)'!$I33</f>
        <v>1010</v>
      </c>
      <c r="D20">
        <f>属性拆分生成!C43</f>
        <v>1752</v>
      </c>
      <c r="E20">
        <f>属性拆分生成!D43</f>
        <v>598</v>
      </c>
      <c r="F20">
        <f>属性拆分生成!E43</f>
        <v>598</v>
      </c>
      <c r="G20">
        <v>71</v>
      </c>
      <c r="H20">
        <f>属性拆分生成!F43</f>
        <v>570</v>
      </c>
      <c r="I20">
        <v>0</v>
      </c>
      <c r="J20">
        <f t="shared" si="0"/>
        <v>262</v>
      </c>
    </row>
    <row r="21" spans="2:10">
      <c r="B21">
        <v>17</v>
      </c>
      <c r="C21">
        <f>'[2]宠物经验(副本关联表)'!$I34</f>
        <v>1140</v>
      </c>
      <c r="D21">
        <f>属性拆分生成!C44</f>
        <v>1796</v>
      </c>
      <c r="E21">
        <f>属性拆分生成!D44</f>
        <v>613</v>
      </c>
      <c r="F21">
        <f>属性拆分生成!E44</f>
        <v>613</v>
      </c>
      <c r="G21">
        <v>72</v>
      </c>
      <c r="H21">
        <f>属性拆分生成!F44</f>
        <v>584</v>
      </c>
      <c r="I21">
        <v>0</v>
      </c>
      <c r="J21">
        <f t="shared" si="0"/>
        <v>269</v>
      </c>
    </row>
    <row r="22" spans="2:10">
      <c r="B22">
        <v>18</v>
      </c>
      <c r="C22">
        <f>'[2]宠物经验(副本关联表)'!$I35</f>
        <v>1270</v>
      </c>
      <c r="D22">
        <f>属性拆分生成!C45</f>
        <v>1840</v>
      </c>
      <c r="E22">
        <f>属性拆分生成!D45</f>
        <v>628</v>
      </c>
      <c r="F22">
        <f>属性拆分生成!E45</f>
        <v>628</v>
      </c>
      <c r="G22">
        <v>73</v>
      </c>
      <c r="H22">
        <f>属性拆分生成!F45</f>
        <v>599</v>
      </c>
      <c r="I22">
        <v>0</v>
      </c>
      <c r="J22">
        <f t="shared" si="0"/>
        <v>276</v>
      </c>
    </row>
    <row r="23" spans="2:10">
      <c r="B23">
        <v>19</v>
      </c>
      <c r="C23">
        <f>'[2]宠物经验(副本关联表)'!$I36</f>
        <v>1400</v>
      </c>
      <c r="D23">
        <f>属性拆分生成!C46</f>
        <v>1884</v>
      </c>
      <c r="E23">
        <f>属性拆分生成!D46</f>
        <v>643</v>
      </c>
      <c r="F23">
        <f>属性拆分生成!E46</f>
        <v>643</v>
      </c>
      <c r="G23">
        <v>74</v>
      </c>
      <c r="H23">
        <f>属性拆分生成!F46</f>
        <v>613</v>
      </c>
      <c r="I23">
        <v>0</v>
      </c>
      <c r="J23">
        <f t="shared" si="0"/>
        <v>282</v>
      </c>
    </row>
    <row r="24" spans="2:10">
      <c r="B24">
        <v>20</v>
      </c>
      <c r="C24">
        <f>'[2]宠物经验(副本关联表)'!$I37</f>
        <v>1540</v>
      </c>
      <c r="D24">
        <f>属性拆分生成!C47</f>
        <v>1928</v>
      </c>
      <c r="E24">
        <f>属性拆分生成!D47</f>
        <v>658</v>
      </c>
      <c r="F24">
        <f>属性拆分生成!E47</f>
        <v>658</v>
      </c>
      <c r="G24">
        <v>75</v>
      </c>
      <c r="H24">
        <f>属性拆分生成!F47</f>
        <v>628</v>
      </c>
      <c r="I24">
        <v>0</v>
      </c>
      <c r="J24">
        <f t="shared" si="0"/>
        <v>289</v>
      </c>
    </row>
    <row r="25" spans="2:10">
      <c r="B25">
        <v>21</v>
      </c>
      <c r="C25">
        <f>'[2]宠物经验(副本关联表)'!$I38</f>
        <v>1670</v>
      </c>
      <c r="D25">
        <f>属性拆分生成!C48</f>
        <v>1972</v>
      </c>
      <c r="E25">
        <f>属性拆分生成!D48</f>
        <v>673</v>
      </c>
      <c r="F25">
        <f>属性拆分生成!E48</f>
        <v>673</v>
      </c>
      <c r="G25">
        <v>77</v>
      </c>
      <c r="H25">
        <f>属性拆分生成!F48</f>
        <v>642</v>
      </c>
      <c r="I25">
        <v>0</v>
      </c>
      <c r="J25">
        <f t="shared" si="0"/>
        <v>295</v>
      </c>
    </row>
    <row r="26" spans="2:10">
      <c r="B26">
        <v>22</v>
      </c>
      <c r="C26">
        <f>'[2]宠物经验(副本关联表)'!$I39</f>
        <v>1810</v>
      </c>
      <c r="D26">
        <f>属性拆分生成!C49</f>
        <v>2016</v>
      </c>
      <c r="E26">
        <f>属性拆分生成!D49</f>
        <v>688</v>
      </c>
      <c r="F26">
        <f>属性拆分生成!E49</f>
        <v>688</v>
      </c>
      <c r="G26">
        <v>79</v>
      </c>
      <c r="H26">
        <f>属性拆分生成!F49</f>
        <v>656</v>
      </c>
      <c r="I26">
        <v>0</v>
      </c>
      <c r="J26">
        <f t="shared" si="0"/>
        <v>302</v>
      </c>
    </row>
    <row r="27" spans="2:10">
      <c r="B27">
        <v>23</v>
      </c>
      <c r="C27">
        <f>'[2]宠物经验(副本关联表)'!$I40</f>
        <v>1960</v>
      </c>
      <c r="D27">
        <f>属性拆分生成!C50</f>
        <v>2060</v>
      </c>
      <c r="E27">
        <f>属性拆分生成!D50</f>
        <v>703</v>
      </c>
      <c r="F27">
        <f>属性拆分生成!E50</f>
        <v>703</v>
      </c>
      <c r="G27">
        <v>81</v>
      </c>
      <c r="H27">
        <f>属性拆分生成!F50</f>
        <v>671</v>
      </c>
      <c r="I27">
        <v>0</v>
      </c>
      <c r="J27">
        <f t="shared" si="0"/>
        <v>309</v>
      </c>
    </row>
    <row r="28" spans="2:10">
      <c r="B28">
        <v>24</v>
      </c>
      <c r="C28">
        <f>'[2]宠物经验(副本关联表)'!$I41</f>
        <v>2100</v>
      </c>
      <c r="D28">
        <f>属性拆分生成!C51</f>
        <v>2104</v>
      </c>
      <c r="E28">
        <f>属性拆分生成!D51</f>
        <v>718</v>
      </c>
      <c r="F28">
        <f>属性拆分生成!E51</f>
        <v>718</v>
      </c>
      <c r="G28">
        <v>83</v>
      </c>
      <c r="H28">
        <f>属性拆分生成!F51</f>
        <v>685</v>
      </c>
      <c r="I28">
        <v>0</v>
      </c>
      <c r="J28">
        <f t="shared" si="0"/>
        <v>315</v>
      </c>
    </row>
    <row r="29" spans="2:10">
      <c r="B29">
        <v>25</v>
      </c>
      <c r="C29">
        <f>'[2]宠物经验(副本关联表)'!$I42</f>
        <v>2250</v>
      </c>
      <c r="D29">
        <f>属性拆分生成!C52</f>
        <v>2148</v>
      </c>
      <c r="E29">
        <f>属性拆分生成!D52</f>
        <v>733</v>
      </c>
      <c r="F29">
        <f>属性拆分生成!E52</f>
        <v>733</v>
      </c>
      <c r="G29">
        <v>85</v>
      </c>
      <c r="H29">
        <f>属性拆分生成!F52</f>
        <v>699</v>
      </c>
      <c r="I29">
        <v>0</v>
      </c>
      <c r="J29">
        <f t="shared" si="0"/>
        <v>322</v>
      </c>
    </row>
    <row r="30" spans="2:10">
      <c r="B30">
        <v>26</v>
      </c>
      <c r="C30">
        <f>'[2]宠物经验(副本关联表)'!$I43</f>
        <v>2400</v>
      </c>
      <c r="D30">
        <f>属性拆分生成!C53</f>
        <v>2193</v>
      </c>
      <c r="E30">
        <f>属性拆分生成!D53</f>
        <v>748</v>
      </c>
      <c r="F30">
        <f>属性拆分生成!E53</f>
        <v>748</v>
      </c>
      <c r="G30">
        <v>87</v>
      </c>
      <c r="H30">
        <f>属性拆分生成!F53</f>
        <v>714</v>
      </c>
      <c r="I30">
        <v>0</v>
      </c>
      <c r="J30">
        <f t="shared" si="0"/>
        <v>328</v>
      </c>
    </row>
    <row r="31" spans="2:10">
      <c r="B31">
        <v>27</v>
      </c>
      <c r="C31">
        <f>'[2]宠物经验(副本关联表)'!$I44</f>
        <v>2550</v>
      </c>
      <c r="D31">
        <f>属性拆分生成!C54</f>
        <v>2237</v>
      </c>
      <c r="E31">
        <f>属性拆分生成!D54</f>
        <v>763</v>
      </c>
      <c r="F31">
        <f>属性拆分生成!E54</f>
        <v>763</v>
      </c>
      <c r="G31">
        <v>89</v>
      </c>
      <c r="H31">
        <f>属性拆分生成!F54</f>
        <v>728</v>
      </c>
      <c r="I31">
        <v>0</v>
      </c>
      <c r="J31">
        <f t="shared" si="0"/>
        <v>335</v>
      </c>
    </row>
    <row r="32" spans="2:10">
      <c r="B32">
        <v>28</v>
      </c>
      <c r="C32">
        <f>'[2]宠物经验(副本关联表)'!$I45</f>
        <v>2710</v>
      </c>
      <c r="D32">
        <f>属性拆分生成!C55</f>
        <v>2281</v>
      </c>
      <c r="E32">
        <f>属性拆分生成!D55</f>
        <v>778</v>
      </c>
      <c r="F32">
        <f>属性拆分生成!E55</f>
        <v>778</v>
      </c>
      <c r="G32">
        <v>91</v>
      </c>
      <c r="H32">
        <f>属性拆分生成!F55</f>
        <v>742</v>
      </c>
      <c r="I32">
        <v>0</v>
      </c>
      <c r="J32">
        <f t="shared" si="0"/>
        <v>342</v>
      </c>
    </row>
    <row r="33" spans="2:10">
      <c r="B33">
        <v>29</v>
      </c>
      <c r="C33">
        <f>'[2]宠物经验(副本关联表)'!$I46</f>
        <v>2860</v>
      </c>
      <c r="D33">
        <f>属性拆分生成!C56</f>
        <v>2325</v>
      </c>
      <c r="E33">
        <f>属性拆分生成!D56</f>
        <v>793</v>
      </c>
      <c r="F33">
        <f>属性拆分生成!E56</f>
        <v>793</v>
      </c>
      <c r="G33">
        <v>93</v>
      </c>
      <c r="H33">
        <f>属性拆分生成!F56</f>
        <v>757</v>
      </c>
      <c r="I33">
        <v>0</v>
      </c>
      <c r="J33">
        <f t="shared" si="0"/>
        <v>348</v>
      </c>
    </row>
    <row r="34" spans="2:10">
      <c r="B34">
        <v>30</v>
      </c>
      <c r="C34">
        <f>'[2]宠物经验(副本关联表)'!$I47</f>
        <v>3030</v>
      </c>
      <c r="D34">
        <f>属性拆分生成!C57</f>
        <v>2369</v>
      </c>
      <c r="E34">
        <f>属性拆分生成!D57</f>
        <v>808</v>
      </c>
      <c r="F34">
        <f>属性拆分生成!E57</f>
        <v>808</v>
      </c>
      <c r="G34">
        <v>97</v>
      </c>
      <c r="H34">
        <f>属性拆分生成!F57</f>
        <v>771</v>
      </c>
      <c r="I34">
        <v>0</v>
      </c>
      <c r="J34">
        <f t="shared" si="0"/>
        <v>355</v>
      </c>
    </row>
    <row r="35" spans="2:10">
      <c r="B35">
        <v>31</v>
      </c>
      <c r="C35">
        <f>'[2]宠物经验(副本关联表)'!$I48</f>
        <v>3190</v>
      </c>
      <c r="D35">
        <f>属性拆分生成!C58</f>
        <v>2413</v>
      </c>
      <c r="E35">
        <f>属性拆分生成!D58</f>
        <v>824</v>
      </c>
      <c r="F35">
        <f>属性拆分生成!E58</f>
        <v>824</v>
      </c>
      <c r="G35">
        <v>98</v>
      </c>
      <c r="H35">
        <f>属性拆分生成!F58</f>
        <v>785</v>
      </c>
      <c r="I35">
        <v>0</v>
      </c>
      <c r="J35">
        <f t="shared" si="0"/>
        <v>361</v>
      </c>
    </row>
    <row r="36" spans="2:10">
      <c r="B36">
        <v>32</v>
      </c>
      <c r="C36">
        <f>'[2]宠物经验(副本关联表)'!$I49</f>
        <v>3360</v>
      </c>
      <c r="D36">
        <f>属性拆分生成!C59</f>
        <v>2457</v>
      </c>
      <c r="E36">
        <f>属性拆分生成!D59</f>
        <v>839</v>
      </c>
      <c r="F36">
        <f>属性拆分生成!E59</f>
        <v>839</v>
      </c>
      <c r="G36">
        <v>99</v>
      </c>
      <c r="H36">
        <f>属性拆分生成!F59</f>
        <v>800</v>
      </c>
      <c r="I36">
        <v>0</v>
      </c>
      <c r="J36">
        <f t="shared" si="0"/>
        <v>368</v>
      </c>
    </row>
    <row r="37" spans="2:10">
      <c r="B37">
        <v>33</v>
      </c>
      <c r="C37">
        <f>'[2]宠物经验(副本关联表)'!$I50</f>
        <v>3530</v>
      </c>
      <c r="D37">
        <f>属性拆分生成!C60</f>
        <v>2501</v>
      </c>
      <c r="E37">
        <f>属性拆分生成!D60</f>
        <v>854</v>
      </c>
      <c r="F37">
        <f>属性拆分生成!E60</f>
        <v>854</v>
      </c>
      <c r="G37">
        <v>100</v>
      </c>
      <c r="H37">
        <f>属性拆分生成!F60</f>
        <v>814</v>
      </c>
      <c r="I37">
        <v>0</v>
      </c>
      <c r="J37">
        <f t="shared" si="0"/>
        <v>375</v>
      </c>
    </row>
    <row r="38" spans="2:10">
      <c r="B38">
        <v>34</v>
      </c>
      <c r="C38">
        <f>'[2]宠物经验(副本关联表)'!$I51</f>
        <v>3700</v>
      </c>
      <c r="D38">
        <f>属性拆分生成!C61</f>
        <v>2545</v>
      </c>
      <c r="E38">
        <f>属性拆分生成!D61</f>
        <v>869</v>
      </c>
      <c r="F38">
        <f>属性拆分生成!E61</f>
        <v>869</v>
      </c>
      <c r="G38">
        <v>101</v>
      </c>
      <c r="H38">
        <f>属性拆分生成!F61</f>
        <v>828</v>
      </c>
      <c r="I38">
        <v>0</v>
      </c>
      <c r="J38">
        <f t="shared" si="0"/>
        <v>381</v>
      </c>
    </row>
    <row r="39" spans="2:10">
      <c r="B39">
        <v>35</v>
      </c>
      <c r="C39">
        <f>'[2]宠物经验(副本关联表)'!$I52</f>
        <v>3880</v>
      </c>
      <c r="D39">
        <f>属性拆分生成!C62</f>
        <v>2589</v>
      </c>
      <c r="E39">
        <f>属性拆分生成!D62</f>
        <v>884</v>
      </c>
      <c r="F39">
        <f>属性拆分生成!E62</f>
        <v>884</v>
      </c>
      <c r="G39">
        <v>102</v>
      </c>
      <c r="H39">
        <f>属性拆分生成!F62</f>
        <v>843</v>
      </c>
      <c r="I39">
        <v>0</v>
      </c>
      <c r="J39">
        <f t="shared" si="0"/>
        <v>388</v>
      </c>
    </row>
    <row r="40" spans="2:10">
      <c r="B40">
        <v>36</v>
      </c>
      <c r="C40">
        <f>'[2]宠物经验(副本关联表)'!$I53</f>
        <v>4060</v>
      </c>
      <c r="D40">
        <f>属性拆分生成!C63</f>
        <v>2633</v>
      </c>
      <c r="E40">
        <f>属性拆分生成!D63</f>
        <v>899</v>
      </c>
      <c r="F40">
        <f>属性拆分生成!E63</f>
        <v>899</v>
      </c>
      <c r="G40">
        <v>103</v>
      </c>
      <c r="H40">
        <f>属性拆分生成!F63</f>
        <v>857</v>
      </c>
      <c r="I40">
        <v>0</v>
      </c>
      <c r="J40">
        <f t="shared" si="0"/>
        <v>394</v>
      </c>
    </row>
    <row r="41" spans="2:10">
      <c r="B41">
        <v>37</v>
      </c>
      <c r="C41">
        <f>'[2]宠物经验(副本关联表)'!$I54</f>
        <v>4240</v>
      </c>
      <c r="D41">
        <f>属性拆分生成!C64</f>
        <v>2677</v>
      </c>
      <c r="E41">
        <f>属性拆分生成!D64</f>
        <v>914</v>
      </c>
      <c r="F41">
        <f>属性拆分生成!E64</f>
        <v>914</v>
      </c>
      <c r="G41">
        <v>104</v>
      </c>
      <c r="H41">
        <f>属性拆分生成!F64</f>
        <v>871</v>
      </c>
      <c r="I41">
        <v>0</v>
      </c>
      <c r="J41">
        <f t="shared" si="0"/>
        <v>401</v>
      </c>
    </row>
    <row r="42" spans="2:10">
      <c r="B42">
        <v>38</v>
      </c>
      <c r="C42">
        <f>'[2]宠物经验(副本关联表)'!$I55</f>
        <v>4430</v>
      </c>
      <c r="D42">
        <f>属性拆分生成!C65</f>
        <v>2721</v>
      </c>
      <c r="E42">
        <f>属性拆分生成!D65</f>
        <v>929</v>
      </c>
      <c r="F42">
        <f>属性拆分生成!E65</f>
        <v>929</v>
      </c>
      <c r="G42">
        <v>105</v>
      </c>
      <c r="H42">
        <f>属性拆分生成!F65</f>
        <v>886</v>
      </c>
      <c r="I42">
        <v>0</v>
      </c>
      <c r="J42">
        <f t="shared" si="0"/>
        <v>408</v>
      </c>
    </row>
    <row r="43" spans="2:10">
      <c r="B43">
        <v>39</v>
      </c>
      <c r="C43">
        <f>'[2]宠物经验(副本关联表)'!$I56</f>
        <v>4620</v>
      </c>
      <c r="D43">
        <f>属性拆分生成!C66</f>
        <v>2765</v>
      </c>
      <c r="E43">
        <f>属性拆分生成!D66</f>
        <v>944</v>
      </c>
      <c r="F43">
        <f>属性拆分生成!E66</f>
        <v>944</v>
      </c>
      <c r="G43">
        <v>106</v>
      </c>
      <c r="H43">
        <f>属性拆分生成!F66</f>
        <v>900</v>
      </c>
      <c r="I43">
        <v>0</v>
      </c>
      <c r="J43">
        <f t="shared" si="0"/>
        <v>414</v>
      </c>
    </row>
    <row r="44" spans="2:10">
      <c r="B44">
        <v>40</v>
      </c>
      <c r="C44">
        <f>'[2]宠物经验(副本关联表)'!$I57</f>
        <v>4810</v>
      </c>
      <c r="D44">
        <f>属性拆分生成!C67</f>
        <v>2809</v>
      </c>
      <c r="E44">
        <f>属性拆分生成!D67</f>
        <v>959</v>
      </c>
      <c r="F44">
        <f>属性拆分生成!E67</f>
        <v>959</v>
      </c>
      <c r="G44">
        <v>108</v>
      </c>
      <c r="H44">
        <f>属性拆分生成!F67</f>
        <v>914</v>
      </c>
      <c r="I44">
        <v>0</v>
      </c>
      <c r="J44">
        <f t="shared" si="0"/>
        <v>421</v>
      </c>
    </row>
    <row r="45" spans="2:10">
      <c r="B45">
        <v>41</v>
      </c>
      <c r="C45">
        <f>'[2]宠物经验(副本关联表)'!$I58</f>
        <v>5000</v>
      </c>
      <c r="D45">
        <f>属性拆分生成!C68</f>
        <v>2853</v>
      </c>
      <c r="E45">
        <f>属性拆分生成!D68</f>
        <v>974</v>
      </c>
      <c r="F45">
        <f>属性拆分生成!E68</f>
        <v>974</v>
      </c>
      <c r="G45">
        <v>110</v>
      </c>
      <c r="H45">
        <f>属性拆分生成!F68</f>
        <v>929</v>
      </c>
      <c r="I45">
        <v>0</v>
      </c>
      <c r="J45">
        <f t="shared" si="0"/>
        <v>427</v>
      </c>
    </row>
    <row r="46" spans="2:10">
      <c r="B46">
        <v>42</v>
      </c>
      <c r="C46">
        <f>'[2]宠物经验(副本关联表)'!$I59</f>
        <v>5630</v>
      </c>
      <c r="D46">
        <f>属性拆分生成!C69</f>
        <v>2897</v>
      </c>
      <c r="E46">
        <f>属性拆分生成!D69</f>
        <v>989</v>
      </c>
      <c r="F46">
        <f>属性拆分生成!E69</f>
        <v>989</v>
      </c>
      <c r="G46">
        <v>112</v>
      </c>
      <c r="H46">
        <f>属性拆分生成!F69</f>
        <v>943</v>
      </c>
      <c r="I46">
        <v>0</v>
      </c>
      <c r="J46">
        <f t="shared" si="0"/>
        <v>434</v>
      </c>
    </row>
    <row r="47" spans="2:10">
      <c r="B47">
        <v>43</v>
      </c>
      <c r="C47">
        <f>'[2]宠物经验(副本关联表)'!$I60</f>
        <v>6330</v>
      </c>
      <c r="D47">
        <f>属性拆分生成!C70</f>
        <v>2942</v>
      </c>
      <c r="E47">
        <f>属性拆分生成!D70</f>
        <v>1004</v>
      </c>
      <c r="F47">
        <f>属性拆分生成!E70</f>
        <v>1004</v>
      </c>
      <c r="G47">
        <v>114</v>
      </c>
      <c r="H47">
        <f>属性拆分生成!F70</f>
        <v>957</v>
      </c>
      <c r="I47">
        <v>0</v>
      </c>
      <c r="J47">
        <f t="shared" si="0"/>
        <v>441</v>
      </c>
    </row>
    <row r="48" spans="2:10">
      <c r="B48">
        <v>44</v>
      </c>
      <c r="C48">
        <f>'[2]宠物经验(副本关联表)'!$I61</f>
        <v>7100</v>
      </c>
      <c r="D48">
        <f>属性拆分生成!C71</f>
        <v>2986</v>
      </c>
      <c r="E48">
        <f>属性拆分生成!D71</f>
        <v>1019</v>
      </c>
      <c r="F48">
        <f>属性拆分生成!E71</f>
        <v>1019</v>
      </c>
      <c r="G48">
        <v>116</v>
      </c>
      <c r="H48">
        <f>属性拆分生成!F71</f>
        <v>972</v>
      </c>
      <c r="I48">
        <v>0</v>
      </c>
      <c r="J48">
        <f t="shared" si="0"/>
        <v>447</v>
      </c>
    </row>
    <row r="49" spans="2:10">
      <c r="B49">
        <v>45</v>
      </c>
      <c r="C49">
        <f>'[2]宠物经验(副本关联表)'!$I62</f>
        <v>7940</v>
      </c>
      <c r="D49">
        <f>属性拆分生成!C72</f>
        <v>3030</v>
      </c>
      <c r="E49">
        <f>属性拆分生成!D72</f>
        <v>1034</v>
      </c>
      <c r="F49">
        <f>属性拆分生成!E72</f>
        <v>1034</v>
      </c>
      <c r="G49">
        <v>118</v>
      </c>
      <c r="H49">
        <f>属性拆分生成!F72</f>
        <v>986</v>
      </c>
      <c r="I49">
        <v>0</v>
      </c>
      <c r="J49">
        <f t="shared" si="0"/>
        <v>454</v>
      </c>
    </row>
    <row r="50" spans="2:10">
      <c r="B50">
        <v>46</v>
      </c>
      <c r="C50">
        <f>'[2]宠物经验(副本关联表)'!$I63</f>
        <v>8840</v>
      </c>
      <c r="D50">
        <f>属性拆分生成!C73</f>
        <v>3074</v>
      </c>
      <c r="E50">
        <f>属性拆分生成!D73</f>
        <v>1049</v>
      </c>
      <c r="F50">
        <f>属性拆分生成!E73</f>
        <v>1049</v>
      </c>
      <c r="G50">
        <v>120</v>
      </c>
      <c r="H50">
        <f>属性拆分生成!F73</f>
        <v>1000</v>
      </c>
      <c r="I50">
        <v>0</v>
      </c>
      <c r="J50">
        <f t="shared" si="0"/>
        <v>461</v>
      </c>
    </row>
    <row r="51" spans="2:10">
      <c r="B51">
        <v>47</v>
      </c>
      <c r="C51">
        <f>'[2]宠物经验(副本关联表)'!$I64</f>
        <v>9830</v>
      </c>
      <c r="D51">
        <f>属性拆分生成!C74</f>
        <v>3118</v>
      </c>
      <c r="E51">
        <f>属性拆分生成!D74</f>
        <v>1064</v>
      </c>
      <c r="F51">
        <f>属性拆分生成!E74</f>
        <v>1064</v>
      </c>
      <c r="G51">
        <v>122</v>
      </c>
      <c r="H51">
        <f>属性拆分生成!F74</f>
        <v>1015</v>
      </c>
      <c r="I51">
        <v>0</v>
      </c>
      <c r="J51">
        <f t="shared" si="0"/>
        <v>467</v>
      </c>
    </row>
    <row r="52" spans="2:10">
      <c r="B52">
        <v>48</v>
      </c>
      <c r="C52">
        <f>'[2]宠物经验(副本关联表)'!$I65</f>
        <v>10880</v>
      </c>
      <c r="D52">
        <f>属性拆分生成!C75</f>
        <v>3162</v>
      </c>
      <c r="E52">
        <f>属性拆分生成!D75</f>
        <v>1079</v>
      </c>
      <c r="F52">
        <f>属性拆分生成!E75</f>
        <v>1079</v>
      </c>
      <c r="G52">
        <v>124</v>
      </c>
      <c r="H52">
        <f>属性拆分生成!F75</f>
        <v>1029</v>
      </c>
      <c r="I52">
        <v>0</v>
      </c>
      <c r="J52">
        <f t="shared" si="0"/>
        <v>474</v>
      </c>
    </row>
    <row r="53" spans="2:10">
      <c r="B53">
        <v>49</v>
      </c>
      <c r="C53">
        <f>'[2]宠物经验(副本关联表)'!$I66</f>
        <v>12030</v>
      </c>
      <c r="D53">
        <f>属性拆分生成!C76</f>
        <v>3206</v>
      </c>
      <c r="E53">
        <f>属性拆分生成!D76</f>
        <v>1094</v>
      </c>
      <c r="F53">
        <f>属性拆分生成!E76</f>
        <v>1094</v>
      </c>
      <c r="G53">
        <v>126</v>
      </c>
      <c r="H53">
        <f>属性拆分生成!F76</f>
        <v>1043</v>
      </c>
      <c r="I53">
        <v>0</v>
      </c>
      <c r="J53">
        <f t="shared" si="0"/>
        <v>480</v>
      </c>
    </row>
    <row r="54" spans="2:10">
      <c r="B54">
        <v>50</v>
      </c>
      <c r="C54">
        <v>5000</v>
      </c>
      <c r="D54">
        <f>属性拆分生成!C77</f>
        <v>3250</v>
      </c>
      <c r="E54">
        <f>属性拆分生成!D77</f>
        <v>1109</v>
      </c>
      <c r="F54">
        <f>属性拆分生成!E77</f>
        <v>1109</v>
      </c>
      <c r="G54">
        <v>130</v>
      </c>
      <c r="H54">
        <f>属性拆分生成!F77</f>
        <v>1058</v>
      </c>
      <c r="I54">
        <v>0</v>
      </c>
      <c r="J54">
        <f t="shared" si="0"/>
        <v>487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f t="shared" si="0"/>
        <v>150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f t="shared" si="0"/>
        <v>150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f t="shared" si="0"/>
        <v>150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f t="shared" si="0"/>
        <v>150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f t="shared" si="0"/>
        <v>150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f t="shared" si="0"/>
        <v>150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f t="shared" si="0"/>
        <v>150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f t="shared" si="0"/>
        <v>150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f t="shared" si="0"/>
        <v>150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f t="shared" si="0"/>
        <v>150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f t="shared" si="0"/>
        <v>150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f t="shared" si="0"/>
        <v>150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f t="shared" si="0"/>
        <v>150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f t="shared" si="0"/>
        <v>150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f t="shared" si="0"/>
        <v>150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f t="shared" ref="J70:J103" si="1">INT(D70*0.15)</f>
        <v>150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f t="shared" si="1"/>
        <v>150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f t="shared" si="1"/>
        <v>150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f t="shared" si="1"/>
        <v>150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f t="shared" si="1"/>
        <v>150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f t="shared" si="1"/>
        <v>150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f t="shared" si="1"/>
        <v>150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f t="shared" si="1"/>
        <v>150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f t="shared" si="1"/>
        <v>150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f t="shared" si="1"/>
        <v>150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f t="shared" si="1"/>
        <v>150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f t="shared" si="1"/>
        <v>150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f t="shared" si="1"/>
        <v>150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f t="shared" si="1"/>
        <v>150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f t="shared" si="1"/>
        <v>150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f t="shared" si="1"/>
        <v>150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f t="shared" si="1"/>
        <v>150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f t="shared" si="1"/>
        <v>150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f t="shared" si="1"/>
        <v>150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f t="shared" si="1"/>
        <v>150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f t="shared" si="1"/>
        <v>150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f t="shared" si="1"/>
        <v>150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f t="shared" si="1"/>
        <v>150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f t="shared" si="1"/>
        <v>150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f t="shared" si="1"/>
        <v>150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f t="shared" si="1"/>
        <v>150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f t="shared" si="1"/>
        <v>150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f t="shared" si="1"/>
        <v>150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f t="shared" si="1"/>
        <v>150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f t="shared" si="1"/>
        <v>150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f t="shared" si="1"/>
        <v>150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f t="shared" si="1"/>
        <v>150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f t="shared" si="1"/>
        <v>150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f t="shared" si="1"/>
        <v>150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topLeftCell="B1" workbookViewId="0">
      <selection activeCell="J40" sqref="J40"/>
    </sheetView>
  </sheetViews>
  <sheetFormatPr defaultRowHeight="13.5"/>
  <cols>
    <col min="11" max="11" width="14.625" customWidth="1"/>
    <col min="13" max="13" width="21.625" bestFit="1" customWidth="1"/>
    <col min="14" max="14" width="47.125" bestFit="1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0</v>
      </c>
      <c r="D7">
        <f>属性拆分生成!R27</f>
        <v>0</v>
      </c>
      <c r="E7">
        <f>属性拆分生成!S27</f>
        <v>0</v>
      </c>
      <c r="F7" s="2">
        <v>10</v>
      </c>
      <c r="G7">
        <f>属性拆分生成!T27</f>
        <v>0</v>
      </c>
      <c r="H7">
        <v>0</v>
      </c>
      <c r="I7">
        <v>0</v>
      </c>
      <c r="J7">
        <f>属性拆分生成!P3</f>
        <v>0.05</v>
      </c>
      <c r="K7">
        <f>属性拆分生成!V27</f>
        <v>10</v>
      </c>
      <c r="L7">
        <f>[3]升阶消耗!$I22</f>
        <v>300</v>
      </c>
      <c r="M7" t="str">
        <f>CONCATENATE("3_10017_",[4]宠物进阶石通用价格对应!$L18)</f>
        <v>3_10017_10</v>
      </c>
    </row>
    <row r="8" spans="2:14">
      <c r="B8">
        <v>2</v>
      </c>
      <c r="C8">
        <f>属性拆分生成!Q28</f>
        <v>130</v>
      </c>
      <c r="D8">
        <f>属性拆分生成!R28</f>
        <v>44</v>
      </c>
      <c r="E8">
        <f>属性拆分生成!S28</f>
        <v>44</v>
      </c>
      <c r="F8" s="2">
        <v>28</v>
      </c>
      <c r="G8">
        <f>属性拆分生成!T28</f>
        <v>42</v>
      </c>
      <c r="H8">
        <v>0</v>
      </c>
      <c r="I8">
        <v>0</v>
      </c>
      <c r="J8">
        <f>属性拆分生成!P3</f>
        <v>0.05</v>
      </c>
      <c r="K8">
        <f>属性拆分生成!V28</f>
        <v>15</v>
      </c>
      <c r="L8">
        <f>[3]升阶消耗!$I23</f>
        <v>2000</v>
      </c>
      <c r="M8" t="str">
        <f>CONCATENATE("3_10016_",[4]宠物进阶石通用价格对应!K19)</f>
        <v>3_10016_25</v>
      </c>
    </row>
    <row r="9" spans="2:14">
      <c r="B9">
        <v>3</v>
      </c>
      <c r="C9">
        <f>属性拆分生成!Q29</f>
        <v>130</v>
      </c>
      <c r="D9">
        <f>属性拆分生成!R29</f>
        <v>44</v>
      </c>
      <c r="E9">
        <f>属性拆分生成!S29</f>
        <v>44</v>
      </c>
      <c r="F9" s="2">
        <v>41</v>
      </c>
      <c r="G9">
        <f>属性拆分生成!T29</f>
        <v>42</v>
      </c>
      <c r="H9">
        <v>0</v>
      </c>
      <c r="I9">
        <v>0</v>
      </c>
      <c r="J9">
        <f>属性拆分生成!P$4</f>
        <v>0.16</v>
      </c>
      <c r="K9">
        <f>属性拆分生成!V29</f>
        <v>20</v>
      </c>
      <c r="L9">
        <f>[3]升阶消耗!$I24</f>
        <v>4000</v>
      </c>
      <c r="M9" t="str">
        <f>CONCATENATE("3_10017_",[4]宠物进阶石通用价格对应!$L20)</f>
        <v>3_10017_25</v>
      </c>
      <c r="N9" t="s">
        <v>422</v>
      </c>
    </row>
    <row r="10" spans="2:14">
      <c r="B10">
        <v>4</v>
      </c>
      <c r="C10">
        <f>属性拆分生成!Q30</f>
        <v>349</v>
      </c>
      <c r="D10">
        <f>属性拆分生成!R30</f>
        <v>119</v>
      </c>
      <c r="E10">
        <f>属性拆分生成!S30</f>
        <v>119</v>
      </c>
      <c r="F10" s="2">
        <v>54</v>
      </c>
      <c r="G10">
        <f>属性拆分生成!T30</f>
        <v>113</v>
      </c>
      <c r="H10">
        <v>0</v>
      </c>
      <c r="I10">
        <v>0</v>
      </c>
      <c r="J10">
        <f>属性拆分生成!P$4</f>
        <v>0.16</v>
      </c>
      <c r="K10">
        <f>属性拆分生成!V30</f>
        <v>25</v>
      </c>
      <c r="L10">
        <f>[3]升阶消耗!$I25</f>
        <v>8000</v>
      </c>
      <c r="M10" t="str">
        <f>CONCATENATE("3_10016_",[4]宠物进阶石通用价格对应!K21)</f>
        <v>3_10016_55</v>
      </c>
    </row>
    <row r="11" spans="2:14">
      <c r="B11">
        <v>5</v>
      </c>
      <c r="C11">
        <f>属性拆分生成!Q31</f>
        <v>610</v>
      </c>
      <c r="D11">
        <f>属性拆分生成!R31</f>
        <v>208</v>
      </c>
      <c r="E11">
        <f>属性拆分生成!S31</f>
        <v>208</v>
      </c>
      <c r="F11" s="2">
        <v>67</v>
      </c>
      <c r="G11">
        <f>属性拆分生成!T31</f>
        <v>198</v>
      </c>
      <c r="H11">
        <v>0</v>
      </c>
      <c r="I11">
        <v>0</v>
      </c>
      <c r="J11">
        <f>属性拆分生成!P$4</f>
        <v>0.16</v>
      </c>
      <c r="K11">
        <f>属性拆分生成!V31</f>
        <v>30</v>
      </c>
      <c r="L11">
        <f>[3]升阶消耗!$I26</f>
        <v>20000</v>
      </c>
      <c r="M11" t="str">
        <f>CONCATENATE("3_10016_",[4]宠物进阶石通用价格对应!K22)</f>
        <v>3_10016_150</v>
      </c>
    </row>
    <row r="12" spans="2:14">
      <c r="B12">
        <v>6</v>
      </c>
      <c r="C12">
        <f>属性拆分生成!Q32</f>
        <v>610</v>
      </c>
      <c r="D12">
        <f>属性拆分生成!R32</f>
        <v>208</v>
      </c>
      <c r="E12">
        <f>属性拆分生成!S32</f>
        <v>208</v>
      </c>
      <c r="F12" s="2">
        <v>80</v>
      </c>
      <c r="G12">
        <f>属性拆分生成!T32</f>
        <v>198</v>
      </c>
      <c r="H12">
        <v>0</v>
      </c>
      <c r="I12">
        <v>0</v>
      </c>
      <c r="J12">
        <f>属性拆分生成!P$5</f>
        <v>0.33999999999999997</v>
      </c>
      <c r="K12">
        <f>属性拆分生成!V32</f>
        <v>35</v>
      </c>
      <c r="L12">
        <f>[3]升阶消耗!$I27</f>
        <v>30000</v>
      </c>
      <c r="M12" t="str">
        <f>CONCATENATE("3_10017_",[4]宠物进阶石通用价格对应!$L23)</f>
        <v>3_10017_90</v>
      </c>
      <c r="N12" t="s">
        <v>423</v>
      </c>
    </row>
    <row r="13" spans="2:14">
      <c r="B13">
        <v>7</v>
      </c>
      <c r="C13">
        <f>属性拆分生成!Q33</f>
        <v>960</v>
      </c>
      <c r="D13">
        <f>属性拆分生成!R33</f>
        <v>327</v>
      </c>
      <c r="E13">
        <f>属性拆分生成!S33</f>
        <v>327</v>
      </c>
      <c r="F13" s="2">
        <v>93</v>
      </c>
      <c r="G13">
        <f>属性拆分生成!T33</f>
        <v>312</v>
      </c>
      <c r="H13">
        <v>0</v>
      </c>
      <c r="I13">
        <v>0</v>
      </c>
      <c r="J13">
        <f>属性拆分生成!P$5</f>
        <v>0.33999999999999997</v>
      </c>
      <c r="K13">
        <f>属性拆分生成!V33</f>
        <v>40</v>
      </c>
      <c r="L13">
        <f>[3]升阶消耗!$I28</f>
        <v>50000</v>
      </c>
      <c r="M13" t="str">
        <f>CONCATENATE("3_10016_",[4]宠物进阶石通用价格对应!K24)</f>
        <v>3_10016_170</v>
      </c>
    </row>
    <row r="14" spans="2:14">
      <c r="B14">
        <v>8</v>
      </c>
      <c r="C14">
        <f>属性拆分生成!Q34</f>
        <v>1352</v>
      </c>
      <c r="D14">
        <f>属性拆分生成!R34</f>
        <v>461</v>
      </c>
      <c r="E14">
        <f>属性拆分生成!S34</f>
        <v>461</v>
      </c>
      <c r="F14" s="2">
        <v>106</v>
      </c>
      <c r="G14">
        <f>属性拆分生成!T34</f>
        <v>440</v>
      </c>
      <c r="H14">
        <v>0</v>
      </c>
      <c r="I14">
        <v>0</v>
      </c>
      <c r="J14">
        <f>属性拆分生成!P$5</f>
        <v>0.33999999999999997</v>
      </c>
      <c r="K14">
        <f>属性拆分生成!V34</f>
        <v>45</v>
      </c>
      <c r="L14">
        <f>[3]升阶消耗!$I29</f>
        <v>80000</v>
      </c>
      <c r="M14" t="str">
        <f>CONCATENATE("3_10016_",[4]宠物进阶石通用价格对应!K25)</f>
        <v>3_10016_350</v>
      </c>
    </row>
    <row r="15" spans="2:14">
      <c r="B15">
        <v>9</v>
      </c>
      <c r="C15">
        <f>属性拆分生成!Q35</f>
        <v>1789</v>
      </c>
      <c r="D15">
        <f>属性拆分生成!R35</f>
        <v>610</v>
      </c>
      <c r="E15">
        <f>属性拆分生成!S35</f>
        <v>610</v>
      </c>
      <c r="F15" s="2">
        <v>119</v>
      </c>
      <c r="G15">
        <f>属性拆分生成!T35</f>
        <v>582</v>
      </c>
      <c r="H15">
        <v>0</v>
      </c>
      <c r="I15">
        <v>0</v>
      </c>
      <c r="J15">
        <f>属性拆分生成!P$5</f>
        <v>0.33999999999999997</v>
      </c>
      <c r="K15">
        <f>属性拆分生成!V35</f>
        <v>50</v>
      </c>
      <c r="L15">
        <f>[3]升阶消耗!$I30</f>
        <v>100000</v>
      </c>
      <c r="M15" t="str">
        <f>CONCATENATE("3_10016_",[4]宠物进阶石通用价格对应!K26)</f>
        <v>3_10016_600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f>属性拆分生成!P$6</f>
        <v>0.62</v>
      </c>
      <c r="K16">
        <v>999</v>
      </c>
      <c r="L16">
        <f>[3]升阶消耗!$I31</f>
        <v>0</v>
      </c>
      <c r="M16" t="str">
        <f>CONCATENATE("3_10017_",[4]宠物进阶石通用价格对应!$L27)</f>
        <v>3_10017_350</v>
      </c>
      <c r="N16" t="s">
        <v>424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f>属性拆分生成!P$6</f>
        <v>0.62</v>
      </c>
      <c r="K17">
        <v>999</v>
      </c>
      <c r="L17">
        <f>[3]升阶消耗!$I32</f>
        <v>0</v>
      </c>
      <c r="M17" t="str">
        <f>CONCATENATE("3_10016_",[4]宠物进阶石通用价格对应!K28,",","3_10017_",[4]宠物进阶石通用价格对应!$L28)</f>
        <v>3_10016_,3_10017_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f>属性拆分生成!P$6</f>
        <v>0.62</v>
      </c>
      <c r="K18">
        <v>999</v>
      </c>
      <c r="L18">
        <f>[3]升阶消耗!$I33</f>
        <v>0</v>
      </c>
      <c r="M18" t="str">
        <f>CONCATENATE("3_10016_",[4]宠物进阶石通用价格对应!K29,",","3_10017_",[4]宠物进阶石通用价格对应!$L29)</f>
        <v>3_10016_,3_10017_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f>属性拆分生成!P$6</f>
        <v>0.62</v>
      </c>
      <c r="K19">
        <v>999</v>
      </c>
      <c r="L19">
        <f>[3]升阶消耗!$I34</f>
        <v>0</v>
      </c>
      <c r="M19" t="str">
        <f>CONCATENATE("3_10016_",[4]宠物进阶石通用价格对应!K30,",","3_10017_",[4]宠物进阶石通用价格对应!$L30)</f>
        <v>3_10016_,3_10017_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f>属性拆分生成!P$6</f>
        <v>0.62</v>
      </c>
      <c r="K20">
        <v>999</v>
      </c>
      <c r="L20">
        <f>[3]升阶消耗!$I35</f>
        <v>0</v>
      </c>
      <c r="M20" t="str">
        <f>CONCATENATE("3_10016_",[4]宠物进阶石通用价格对应!K31,",","3_10017_",[4]宠物进阶石通用价格对应!$L31)</f>
        <v>3_10016_,3_10017_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f>属性拆分生成!P$7</f>
        <v>1.02</v>
      </c>
      <c r="K21">
        <v>999</v>
      </c>
      <c r="L21">
        <f>[3]升阶消耗!$I36</f>
        <v>0</v>
      </c>
      <c r="M21" t="str">
        <f>CONCATENATE("3_10016_",[4]宠物进阶石通用价格对应!K32,",","3_10017_",[4]宠物进阶石通用价格对应!$L32)</f>
        <v>3_10016_,3_10017_</v>
      </c>
      <c r="N21" t="s">
        <v>425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G48" sqref="G48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151</v>
      </c>
      <c r="C2" t="s">
        <v>149</v>
      </c>
      <c r="D2" t="s">
        <v>162</v>
      </c>
      <c r="E2" t="s">
        <v>169</v>
      </c>
      <c r="F2" t="s">
        <v>221</v>
      </c>
      <c r="G2" t="s">
        <v>167</v>
      </c>
      <c r="H2" t="s">
        <v>222</v>
      </c>
      <c r="I2" t="s">
        <v>168</v>
      </c>
      <c r="J2" t="s">
        <v>170</v>
      </c>
    </row>
    <row r="3" spans="1:20">
      <c r="A3">
        <v>1</v>
      </c>
      <c r="B3" t="s">
        <v>150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152</v>
      </c>
      <c r="C4" s="6">
        <f>属性拆分生成!$D$4</f>
        <v>1.4</v>
      </c>
      <c r="D4" s="6">
        <f>属性拆分生成!H4</f>
        <v>1.42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163</v>
      </c>
      <c r="C5" s="6">
        <f>属性拆分生成!$D$4</f>
        <v>1.4</v>
      </c>
      <c r="D5" s="6">
        <f>属性拆分生成!H4</f>
        <v>1.42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156</v>
      </c>
      <c r="C6" s="6">
        <f>属性拆分生成!$D$6</f>
        <v>1.8</v>
      </c>
      <c r="D6" s="6">
        <f>属性拆分生成!H6</f>
        <v>2.048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153</v>
      </c>
      <c r="C7" s="6">
        <f>属性拆分生成!$D$6</f>
        <v>1.8</v>
      </c>
      <c r="D7" s="6">
        <f>属性拆分生成!H6</f>
        <v>2.048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157</v>
      </c>
      <c r="C8" s="6">
        <f>属性拆分生成!D8</f>
        <v>2.2000000000000002</v>
      </c>
      <c r="D8" s="6">
        <f>属性拆分生成!H8</f>
        <v>3.1680000000000001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158</v>
      </c>
      <c r="C9" s="6">
        <f>属性拆分生成!D10</f>
        <v>2.6</v>
      </c>
      <c r="D9" s="6">
        <f>属性拆分生成!H10</f>
        <v>4.024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160</v>
      </c>
      <c r="C10" s="6">
        <f>属性拆分生成!D12</f>
        <v>3</v>
      </c>
      <c r="D10" s="6">
        <f>属性拆分生成!H12</f>
        <v>5.32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325</v>
      </c>
    </row>
    <row r="11" spans="1:20">
      <c r="A11">
        <v>60</v>
      </c>
      <c r="B11" t="s">
        <v>161</v>
      </c>
      <c r="C11" s="6">
        <f>属性拆分生成!$D$14</f>
        <v>3.4</v>
      </c>
      <c r="D11" s="6">
        <f>属性拆分生成!$H$14</f>
        <v>7.008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164</v>
      </c>
      <c r="C12" s="6">
        <f>属性拆分生成!$D$14</f>
        <v>3.4</v>
      </c>
      <c r="D12" s="6">
        <f>属性拆分生成!$H$14</f>
        <v>7.008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159</v>
      </c>
      <c r="C13" s="6">
        <f>属性拆分生成!D16</f>
        <v>3.8</v>
      </c>
      <c r="D13" s="6">
        <f>属性拆分生成!H15</f>
        <v>7.3719999999999999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154</v>
      </c>
      <c r="C14" s="6">
        <f>属性拆分生成!D18</f>
        <v>4.2</v>
      </c>
      <c r="D14" s="6">
        <f>属性拆分生成!H16</f>
        <v>8.2159999999999993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155</v>
      </c>
      <c r="C15" s="6">
        <f>属性拆分生成!D20</f>
        <v>4.5999999999999996</v>
      </c>
      <c r="D15" s="6">
        <f>属性拆分生成!H17</f>
        <v>8.6199999999999992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263</v>
      </c>
      <c r="C16" s="6">
        <f>属性拆分生成!D22</f>
        <v>5</v>
      </c>
      <c r="D16" s="6">
        <f>属性拆分生成!H18</f>
        <v>10.784000000000001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190</v>
      </c>
    </row>
    <row r="20" spans="1:20">
      <c r="B20" t="s">
        <v>173</v>
      </c>
      <c r="C20">
        <f>属性拆分生成!K20</f>
        <v>1091</v>
      </c>
      <c r="D20">
        <f>属性拆分生成!K21</f>
        <v>372</v>
      </c>
      <c r="E20">
        <f>属性拆分生成!K22</f>
        <v>372</v>
      </c>
      <c r="F20">
        <f>属性拆分生成!K23</f>
        <v>355</v>
      </c>
      <c r="T20">
        <f>R20*0.2</f>
        <v>0</v>
      </c>
    </row>
    <row r="21" spans="1:20">
      <c r="B21" t="s">
        <v>176</v>
      </c>
      <c r="C21">
        <f>C20*$E$3</f>
        <v>545.5</v>
      </c>
      <c r="D21">
        <f t="shared" ref="D21:F21" si="1">D20*$E$3</f>
        <v>186</v>
      </c>
      <c r="E21">
        <f t="shared" si="1"/>
        <v>186</v>
      </c>
      <c r="F21">
        <f t="shared" si="1"/>
        <v>177.5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171</v>
      </c>
      <c r="C24">
        <f>ROUND(C25,0)</f>
        <v>424</v>
      </c>
      <c r="D24">
        <f t="shared" ref="D24:F24" si="3">ROUND(D25,0)</f>
        <v>145</v>
      </c>
      <c r="E24">
        <f t="shared" si="3"/>
        <v>145</v>
      </c>
      <c r="F24">
        <f t="shared" si="3"/>
        <v>138</v>
      </c>
      <c r="T24">
        <f t="shared" si="2"/>
        <v>0</v>
      </c>
    </row>
    <row r="25" spans="1:20">
      <c r="A25" t="s">
        <v>172</v>
      </c>
      <c r="B25" t="s">
        <v>174</v>
      </c>
      <c r="C25">
        <f>C20*$F$5</f>
        <v>424.39899999999989</v>
      </c>
      <c r="D25">
        <f t="shared" ref="D25:F25" si="4">D20*$F$5</f>
        <v>144.70799999999997</v>
      </c>
      <c r="E25">
        <f t="shared" si="4"/>
        <v>144.70799999999997</v>
      </c>
      <c r="F25">
        <f t="shared" si="4"/>
        <v>138.09499999999997</v>
      </c>
      <c r="T25">
        <f t="shared" si="2"/>
        <v>0</v>
      </c>
    </row>
    <row r="26" spans="1:20">
      <c r="B26" t="s">
        <v>177</v>
      </c>
      <c r="C26" s="51">
        <f>C24/9</f>
        <v>47.111111111111114</v>
      </c>
      <c r="D26" s="51">
        <f t="shared" ref="D26:F26" si="5">D24/9</f>
        <v>16.111111111111111</v>
      </c>
      <c r="E26" s="51">
        <f t="shared" si="5"/>
        <v>16.111111111111111</v>
      </c>
      <c r="F26" s="51">
        <f t="shared" si="5"/>
        <v>15.333333333333334</v>
      </c>
    </row>
    <row r="27" spans="1:20">
      <c r="B27" t="s">
        <v>178</v>
      </c>
      <c r="C27" s="50">
        <f>C$26+C26</f>
        <v>94.222222222222229</v>
      </c>
      <c r="D27" s="50">
        <f t="shared" ref="D27:F27" si="6">D$26+D26</f>
        <v>32.222222222222221</v>
      </c>
      <c r="E27" s="50">
        <f t="shared" si="6"/>
        <v>32.222222222222221</v>
      </c>
      <c r="F27" s="50">
        <f t="shared" si="6"/>
        <v>30.666666666666668</v>
      </c>
    </row>
    <row r="28" spans="1:20">
      <c r="B28" t="s">
        <v>179</v>
      </c>
      <c r="C28" s="50">
        <f t="shared" ref="C28:C34" si="7">C$26+C27</f>
        <v>141.33333333333334</v>
      </c>
      <c r="D28" s="50">
        <f t="shared" ref="D28:D34" si="8">D$26+D27</f>
        <v>48.333333333333329</v>
      </c>
      <c r="E28" s="50">
        <f t="shared" ref="E28:E34" si="9">E$26+E27</f>
        <v>48.333333333333329</v>
      </c>
      <c r="F28" s="50">
        <f t="shared" ref="F28:F34" si="10">F$26+F27</f>
        <v>46</v>
      </c>
    </row>
    <row r="29" spans="1:20">
      <c r="B29" t="s">
        <v>180</v>
      </c>
      <c r="C29" s="50">
        <f t="shared" si="7"/>
        <v>188.44444444444446</v>
      </c>
      <c r="D29" s="50">
        <f t="shared" si="8"/>
        <v>64.444444444444443</v>
      </c>
      <c r="E29" s="50">
        <f t="shared" si="9"/>
        <v>64.444444444444443</v>
      </c>
      <c r="F29" s="50">
        <f t="shared" si="10"/>
        <v>61.333333333333336</v>
      </c>
    </row>
    <row r="30" spans="1:20">
      <c r="B30" t="s">
        <v>181</v>
      </c>
      <c r="C30" s="50">
        <f t="shared" si="7"/>
        <v>235.55555555555557</v>
      </c>
      <c r="D30" s="50">
        <f t="shared" si="8"/>
        <v>80.555555555555557</v>
      </c>
      <c r="E30" s="50">
        <f t="shared" si="9"/>
        <v>80.555555555555557</v>
      </c>
      <c r="F30" s="50">
        <f t="shared" si="10"/>
        <v>76.666666666666671</v>
      </c>
    </row>
    <row r="31" spans="1:20">
      <c r="B31" t="s">
        <v>182</v>
      </c>
      <c r="C31" s="50">
        <f t="shared" si="7"/>
        <v>282.66666666666669</v>
      </c>
      <c r="D31" s="50">
        <f t="shared" si="8"/>
        <v>96.666666666666671</v>
      </c>
      <c r="E31" s="50">
        <f t="shared" si="9"/>
        <v>96.666666666666671</v>
      </c>
      <c r="F31" s="50">
        <f t="shared" si="10"/>
        <v>92</v>
      </c>
    </row>
    <row r="32" spans="1:20">
      <c r="B32" t="s">
        <v>183</v>
      </c>
      <c r="C32" s="50">
        <f t="shared" si="7"/>
        <v>329.77777777777783</v>
      </c>
      <c r="D32" s="50">
        <f t="shared" si="8"/>
        <v>112.77777777777779</v>
      </c>
      <c r="E32" s="50">
        <f t="shared" si="9"/>
        <v>112.77777777777779</v>
      </c>
      <c r="F32" s="50">
        <f t="shared" si="10"/>
        <v>107.33333333333333</v>
      </c>
    </row>
    <row r="33" spans="1:21">
      <c r="B33" t="s">
        <v>184</v>
      </c>
      <c r="C33" s="50">
        <f t="shared" si="7"/>
        <v>376.88888888888891</v>
      </c>
      <c r="D33" s="50">
        <f t="shared" si="8"/>
        <v>128.88888888888889</v>
      </c>
      <c r="E33" s="50">
        <f t="shared" si="9"/>
        <v>128.88888888888889</v>
      </c>
      <c r="F33" s="50">
        <f t="shared" si="10"/>
        <v>122.66666666666666</v>
      </c>
    </row>
    <row r="34" spans="1:21">
      <c r="B34" t="s">
        <v>185</v>
      </c>
      <c r="C34" s="50">
        <f t="shared" si="7"/>
        <v>424</v>
      </c>
      <c r="D34" s="50">
        <f t="shared" si="8"/>
        <v>145</v>
      </c>
      <c r="E34" s="50">
        <f t="shared" si="9"/>
        <v>145</v>
      </c>
      <c r="F34" s="50">
        <f t="shared" si="10"/>
        <v>138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186</v>
      </c>
      <c r="B36" t="s">
        <v>171</v>
      </c>
      <c r="C36">
        <f>ROUND(C37,0)</f>
        <v>651</v>
      </c>
      <c r="D36">
        <f t="shared" ref="D36:F36" si="11">ROUND(D37,0)</f>
        <v>222</v>
      </c>
      <c r="E36">
        <f t="shared" si="11"/>
        <v>222</v>
      </c>
      <c r="F36">
        <f t="shared" si="11"/>
        <v>212</v>
      </c>
    </row>
    <row r="37" spans="1:21">
      <c r="B37" t="s">
        <v>174</v>
      </c>
      <c r="C37">
        <f>($F$6-$F$5)*C20</f>
        <v>650.63596060000032</v>
      </c>
      <c r="D37">
        <f t="shared" ref="D37:F37" si="12">($F$6-$F$5)*D20</f>
        <v>221.84837520000011</v>
      </c>
      <c r="E37">
        <f t="shared" si="12"/>
        <v>221.84837520000011</v>
      </c>
      <c r="F37">
        <f t="shared" si="12"/>
        <v>211.7101430000001</v>
      </c>
    </row>
    <row r="38" spans="1:21">
      <c r="B38" t="s">
        <v>177</v>
      </c>
      <c r="C38" s="51">
        <f>C36/9</f>
        <v>72.333333333333329</v>
      </c>
      <c r="D38" s="51">
        <f t="shared" ref="D38:F38" si="13">D36/9</f>
        <v>24.666666666666668</v>
      </c>
      <c r="E38" s="51">
        <f t="shared" si="13"/>
        <v>24.666666666666668</v>
      </c>
      <c r="F38" s="51">
        <f t="shared" si="13"/>
        <v>23.555555555555557</v>
      </c>
    </row>
    <row r="39" spans="1:21">
      <c r="B39" t="s">
        <v>178</v>
      </c>
      <c r="C39" s="50">
        <f>C$38+C38</f>
        <v>144.66666666666666</v>
      </c>
      <c r="D39" s="50">
        <f t="shared" ref="D39:F39" si="14">D$38+D38</f>
        <v>49.333333333333336</v>
      </c>
      <c r="E39" s="50">
        <f t="shared" si="14"/>
        <v>49.333333333333336</v>
      </c>
      <c r="F39" s="50">
        <f t="shared" si="14"/>
        <v>47.111111111111114</v>
      </c>
    </row>
    <row r="40" spans="1:21">
      <c r="B40" t="s">
        <v>179</v>
      </c>
      <c r="C40" s="50">
        <f t="shared" ref="C40:C46" si="15">C$38+C39</f>
        <v>217</v>
      </c>
      <c r="D40" s="50">
        <f t="shared" ref="D40:D46" si="16">D$38+D39</f>
        <v>74</v>
      </c>
      <c r="E40" s="50">
        <f t="shared" ref="E40:E46" si="17">E$38+E39</f>
        <v>74</v>
      </c>
      <c r="F40" s="50">
        <f t="shared" ref="F40:F46" si="18">F$38+F39</f>
        <v>70.666666666666671</v>
      </c>
    </row>
    <row r="41" spans="1:21">
      <c r="B41" t="s">
        <v>180</v>
      </c>
      <c r="C41" s="50">
        <f t="shared" si="15"/>
        <v>289.33333333333331</v>
      </c>
      <c r="D41" s="50">
        <f t="shared" si="16"/>
        <v>98.666666666666671</v>
      </c>
      <c r="E41" s="50">
        <f t="shared" si="17"/>
        <v>98.666666666666671</v>
      </c>
      <c r="F41" s="50">
        <f t="shared" si="18"/>
        <v>94.222222222222229</v>
      </c>
    </row>
    <row r="42" spans="1:21">
      <c r="B42" t="s">
        <v>181</v>
      </c>
      <c r="C42" s="50">
        <f t="shared" si="15"/>
        <v>361.66666666666663</v>
      </c>
      <c r="D42" s="50">
        <f t="shared" si="16"/>
        <v>123.33333333333334</v>
      </c>
      <c r="E42" s="50">
        <f t="shared" si="17"/>
        <v>123.33333333333334</v>
      </c>
      <c r="F42" s="50">
        <f t="shared" si="18"/>
        <v>117.77777777777779</v>
      </c>
    </row>
    <row r="43" spans="1:21">
      <c r="B43" t="s">
        <v>182</v>
      </c>
      <c r="C43" s="50">
        <f t="shared" si="15"/>
        <v>433.99999999999994</v>
      </c>
      <c r="D43" s="50">
        <f t="shared" si="16"/>
        <v>148</v>
      </c>
      <c r="E43" s="50">
        <f t="shared" si="17"/>
        <v>148</v>
      </c>
      <c r="F43" s="50">
        <f t="shared" si="18"/>
        <v>141.33333333333334</v>
      </c>
    </row>
    <row r="44" spans="1:21">
      <c r="B44" t="s">
        <v>183</v>
      </c>
      <c r="C44" s="50">
        <f t="shared" si="15"/>
        <v>506.33333333333326</v>
      </c>
      <c r="D44" s="50">
        <f t="shared" si="16"/>
        <v>172.66666666666666</v>
      </c>
      <c r="E44" s="50">
        <f t="shared" si="17"/>
        <v>172.66666666666666</v>
      </c>
      <c r="F44" s="50">
        <f t="shared" si="18"/>
        <v>164.88888888888891</v>
      </c>
    </row>
    <row r="45" spans="1:21">
      <c r="B45" t="s">
        <v>184</v>
      </c>
      <c r="C45" s="50">
        <f t="shared" si="15"/>
        <v>578.66666666666663</v>
      </c>
      <c r="D45" s="50">
        <f t="shared" si="16"/>
        <v>197.33333333333331</v>
      </c>
      <c r="E45" s="50">
        <f t="shared" si="17"/>
        <v>197.33333333333331</v>
      </c>
      <c r="F45" s="50">
        <f t="shared" si="18"/>
        <v>188.44444444444446</v>
      </c>
    </row>
    <row r="46" spans="1:21">
      <c r="B46" t="s">
        <v>185</v>
      </c>
      <c r="C46" s="50">
        <f t="shared" si="15"/>
        <v>651</v>
      </c>
      <c r="D46" s="50">
        <f t="shared" si="16"/>
        <v>221.99999999999997</v>
      </c>
      <c r="E46" s="50">
        <f t="shared" si="17"/>
        <v>221.99999999999997</v>
      </c>
      <c r="F46" s="50">
        <f t="shared" si="18"/>
        <v>212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187</v>
      </c>
      <c r="B48" t="s">
        <v>171</v>
      </c>
      <c r="C48">
        <f>ROUND(C49,0)</f>
        <v>1020</v>
      </c>
      <c r="D48">
        <f t="shared" ref="D48:F48" si="19">ROUND(D49,0)</f>
        <v>348</v>
      </c>
      <c r="E48">
        <f t="shared" si="19"/>
        <v>348</v>
      </c>
      <c r="F48">
        <f t="shared" si="19"/>
        <v>332</v>
      </c>
    </row>
    <row r="49" spans="1:21">
      <c r="B49" t="s">
        <v>174</v>
      </c>
      <c r="C49">
        <f>($F$8-$F$6)*C20</f>
        <v>1019.7345443978007</v>
      </c>
      <c r="D49">
        <f t="shared" ref="D49:F49" si="20">($F$8-$F$6)*D20</f>
        <v>347.70050459760029</v>
      </c>
      <c r="E49">
        <f t="shared" si="20"/>
        <v>347.70050459760029</v>
      </c>
      <c r="F49">
        <f t="shared" si="20"/>
        <v>331.81096540900023</v>
      </c>
    </row>
    <row r="50" spans="1:21">
      <c r="B50" t="s">
        <v>177</v>
      </c>
      <c r="C50" s="51">
        <f>C48/9</f>
        <v>113.33333333333333</v>
      </c>
      <c r="D50" s="51">
        <f t="shared" ref="D50:F50" si="21">D48/9</f>
        <v>38.666666666666664</v>
      </c>
      <c r="E50" s="51">
        <f t="shared" si="21"/>
        <v>38.666666666666664</v>
      </c>
      <c r="F50" s="51">
        <f t="shared" si="21"/>
        <v>36.888888888888886</v>
      </c>
    </row>
    <row r="51" spans="1:21">
      <c r="B51" t="s">
        <v>178</v>
      </c>
      <c r="C51" s="50">
        <f>C$50+C50</f>
        <v>226.66666666666666</v>
      </c>
      <c r="D51" s="50">
        <f t="shared" ref="D51:F51" si="22">D$50+D50</f>
        <v>77.333333333333329</v>
      </c>
      <c r="E51" s="50">
        <f t="shared" si="22"/>
        <v>77.333333333333329</v>
      </c>
      <c r="F51" s="50">
        <f t="shared" si="22"/>
        <v>73.777777777777771</v>
      </c>
    </row>
    <row r="52" spans="1:21">
      <c r="B52" t="s">
        <v>179</v>
      </c>
      <c r="C52" s="50">
        <f t="shared" ref="C52:C58" si="23">C$50+C51</f>
        <v>340</v>
      </c>
      <c r="D52" s="50">
        <f t="shared" ref="D52:D58" si="24">D$50+D51</f>
        <v>116</v>
      </c>
      <c r="E52" s="50">
        <f t="shared" ref="E52:E58" si="25">E$50+E51</f>
        <v>116</v>
      </c>
      <c r="F52" s="50">
        <f t="shared" ref="F52:F58" si="26">F$50+F51</f>
        <v>110.66666666666666</v>
      </c>
    </row>
    <row r="53" spans="1:21">
      <c r="B53" t="s">
        <v>180</v>
      </c>
      <c r="C53" s="50">
        <f t="shared" si="23"/>
        <v>453.33333333333331</v>
      </c>
      <c r="D53" s="50">
        <f t="shared" si="24"/>
        <v>154.66666666666666</v>
      </c>
      <c r="E53" s="50">
        <f t="shared" si="25"/>
        <v>154.66666666666666</v>
      </c>
      <c r="F53" s="50">
        <f t="shared" si="26"/>
        <v>147.55555555555554</v>
      </c>
    </row>
    <row r="54" spans="1:21">
      <c r="B54" t="s">
        <v>181</v>
      </c>
      <c r="C54" s="50">
        <f t="shared" si="23"/>
        <v>566.66666666666663</v>
      </c>
      <c r="D54" s="50">
        <f t="shared" si="24"/>
        <v>193.33333333333331</v>
      </c>
      <c r="E54" s="50">
        <f t="shared" si="25"/>
        <v>193.33333333333331</v>
      </c>
      <c r="F54" s="50">
        <f t="shared" si="26"/>
        <v>184.44444444444443</v>
      </c>
    </row>
    <row r="55" spans="1:21">
      <c r="B55" t="s">
        <v>182</v>
      </c>
      <c r="C55" s="50">
        <f t="shared" si="23"/>
        <v>680</v>
      </c>
      <c r="D55" s="50">
        <f t="shared" si="24"/>
        <v>231.99999999999997</v>
      </c>
      <c r="E55" s="50">
        <f t="shared" si="25"/>
        <v>231.99999999999997</v>
      </c>
      <c r="F55" s="50">
        <f t="shared" si="26"/>
        <v>221.33333333333331</v>
      </c>
    </row>
    <row r="56" spans="1:21">
      <c r="B56" t="s">
        <v>183</v>
      </c>
      <c r="C56" s="50">
        <f t="shared" si="23"/>
        <v>793.33333333333337</v>
      </c>
      <c r="D56" s="50">
        <f t="shared" si="24"/>
        <v>270.66666666666663</v>
      </c>
      <c r="E56" s="50">
        <f t="shared" si="25"/>
        <v>270.66666666666663</v>
      </c>
      <c r="F56" s="50">
        <f t="shared" si="26"/>
        <v>258.22222222222217</v>
      </c>
    </row>
    <row r="57" spans="1:21">
      <c r="B57" t="s">
        <v>184</v>
      </c>
      <c r="C57" s="50">
        <f t="shared" si="23"/>
        <v>906.66666666666674</v>
      </c>
      <c r="D57" s="50">
        <f t="shared" si="24"/>
        <v>309.33333333333331</v>
      </c>
      <c r="E57" s="50">
        <f t="shared" si="25"/>
        <v>309.33333333333331</v>
      </c>
      <c r="F57" s="50">
        <f t="shared" si="26"/>
        <v>295.11111111111109</v>
      </c>
    </row>
    <row r="58" spans="1:21">
      <c r="B58" t="s">
        <v>185</v>
      </c>
      <c r="C58" s="50">
        <f t="shared" si="23"/>
        <v>1020.0000000000001</v>
      </c>
      <c r="D58" s="50">
        <f t="shared" si="24"/>
        <v>348</v>
      </c>
      <c r="E58" s="50">
        <f t="shared" si="25"/>
        <v>348</v>
      </c>
      <c r="F58" s="50">
        <f t="shared" si="26"/>
        <v>332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188</v>
      </c>
      <c r="B60" t="s">
        <v>171</v>
      </c>
      <c r="C60">
        <f>ROUND(C61,0)</f>
        <v>2574</v>
      </c>
      <c r="D60">
        <f t="shared" ref="D60" si="27">ROUND(D61,0)</f>
        <v>878</v>
      </c>
      <c r="E60">
        <f t="shared" ref="E60" si="28">ROUND(E61,0)</f>
        <v>878</v>
      </c>
      <c r="F60">
        <f t="shared" ref="F60" si="29">ROUND(F61,0)</f>
        <v>838</v>
      </c>
    </row>
    <row r="61" spans="1:21">
      <c r="B61" t="s">
        <v>174</v>
      </c>
      <c r="C61">
        <f>($F$11-$F$8)*C20</f>
        <v>2574.1003168971333</v>
      </c>
      <c r="D61">
        <f t="shared" ref="D61:F61" si="30">($F$11-$F$8)*D20</f>
        <v>877.69506680635527</v>
      </c>
      <c r="E61">
        <f t="shared" si="30"/>
        <v>877.69506680635527</v>
      </c>
      <c r="F61">
        <f t="shared" si="30"/>
        <v>837.58534601144117</v>
      </c>
    </row>
    <row r="62" spans="1:21">
      <c r="B62" t="s">
        <v>177</v>
      </c>
      <c r="C62" s="51">
        <f>C60/9</f>
        <v>286</v>
      </c>
      <c r="D62" s="51">
        <f t="shared" ref="D62:F62" si="31">D60/9</f>
        <v>97.555555555555557</v>
      </c>
      <c r="E62" s="51">
        <f t="shared" si="31"/>
        <v>97.555555555555557</v>
      </c>
      <c r="F62" s="51">
        <f t="shared" si="31"/>
        <v>93.111111111111114</v>
      </c>
    </row>
    <row r="63" spans="1:21">
      <c r="B63" t="s">
        <v>178</v>
      </c>
      <c r="C63" s="50">
        <f>C$62+C62</f>
        <v>572</v>
      </c>
      <c r="D63" s="50">
        <f t="shared" ref="D63:F63" si="32">D$62+D62</f>
        <v>195.11111111111111</v>
      </c>
      <c r="E63" s="50">
        <f t="shared" si="32"/>
        <v>195.11111111111111</v>
      </c>
      <c r="F63" s="50">
        <f t="shared" si="32"/>
        <v>186.22222222222223</v>
      </c>
    </row>
    <row r="64" spans="1:21">
      <c r="B64" t="s">
        <v>179</v>
      </c>
      <c r="C64" s="50">
        <f t="shared" ref="C64:C70" si="33">C$62+C63</f>
        <v>858</v>
      </c>
      <c r="D64" s="50">
        <f t="shared" ref="D64:D70" si="34">D$62+D63</f>
        <v>292.66666666666669</v>
      </c>
      <c r="E64" s="50">
        <f t="shared" ref="E64:E70" si="35">E$62+E63</f>
        <v>292.66666666666669</v>
      </c>
      <c r="F64" s="50">
        <f t="shared" ref="F64:F70" si="36">F$62+F63</f>
        <v>279.33333333333337</v>
      </c>
    </row>
    <row r="65" spans="1:21">
      <c r="B65" t="s">
        <v>180</v>
      </c>
      <c r="C65" s="50">
        <f t="shared" si="33"/>
        <v>1144</v>
      </c>
      <c r="D65" s="50">
        <f t="shared" si="34"/>
        <v>390.22222222222223</v>
      </c>
      <c r="E65" s="50">
        <f t="shared" si="35"/>
        <v>390.22222222222223</v>
      </c>
      <c r="F65" s="50">
        <f t="shared" si="36"/>
        <v>372.44444444444446</v>
      </c>
    </row>
    <row r="66" spans="1:21">
      <c r="B66" t="s">
        <v>181</v>
      </c>
      <c r="C66" s="50">
        <f t="shared" si="33"/>
        <v>1430</v>
      </c>
      <c r="D66" s="50">
        <f t="shared" si="34"/>
        <v>487.77777777777777</v>
      </c>
      <c r="E66" s="50">
        <f t="shared" si="35"/>
        <v>487.77777777777777</v>
      </c>
      <c r="F66" s="50">
        <f t="shared" si="36"/>
        <v>465.55555555555554</v>
      </c>
    </row>
    <row r="67" spans="1:21">
      <c r="B67" t="s">
        <v>182</v>
      </c>
      <c r="C67" s="50">
        <f t="shared" si="33"/>
        <v>1716</v>
      </c>
      <c r="D67" s="50">
        <f t="shared" si="34"/>
        <v>585.33333333333337</v>
      </c>
      <c r="E67" s="50">
        <f t="shared" si="35"/>
        <v>585.33333333333337</v>
      </c>
      <c r="F67" s="50">
        <f t="shared" si="36"/>
        <v>558.66666666666663</v>
      </c>
    </row>
    <row r="68" spans="1:21">
      <c r="B68" t="s">
        <v>183</v>
      </c>
      <c r="C68" s="50">
        <f t="shared" si="33"/>
        <v>2002</v>
      </c>
      <c r="D68" s="50">
        <f t="shared" si="34"/>
        <v>682.88888888888891</v>
      </c>
      <c r="E68" s="50">
        <f t="shared" si="35"/>
        <v>682.88888888888891</v>
      </c>
      <c r="F68" s="50">
        <f t="shared" si="36"/>
        <v>651.77777777777771</v>
      </c>
    </row>
    <row r="69" spans="1:21">
      <c r="B69" t="s">
        <v>184</v>
      </c>
      <c r="C69" s="50">
        <f t="shared" si="33"/>
        <v>2288</v>
      </c>
      <c r="D69" s="50">
        <f t="shared" si="34"/>
        <v>780.44444444444446</v>
      </c>
      <c r="E69" s="50">
        <f t="shared" si="35"/>
        <v>780.44444444444446</v>
      </c>
      <c r="F69" s="50">
        <f t="shared" si="36"/>
        <v>744.8888888888888</v>
      </c>
    </row>
    <row r="70" spans="1:21">
      <c r="B70" t="s">
        <v>185</v>
      </c>
      <c r="C70" s="50">
        <f t="shared" si="33"/>
        <v>2574</v>
      </c>
      <c r="D70" s="50">
        <f t="shared" si="34"/>
        <v>878</v>
      </c>
      <c r="E70" s="50">
        <f t="shared" si="35"/>
        <v>878</v>
      </c>
      <c r="F70" s="50">
        <f t="shared" si="36"/>
        <v>837.99999999999989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189</v>
      </c>
      <c r="B72" t="s">
        <v>171</v>
      </c>
      <c r="C72">
        <f>ROUND(C73,0)</f>
        <v>5623</v>
      </c>
      <c r="D72">
        <f t="shared" ref="D72" si="37">ROUND(D73,0)</f>
        <v>1917</v>
      </c>
      <c r="E72">
        <f t="shared" ref="E72" si="38">ROUND(E73,0)</f>
        <v>1917</v>
      </c>
      <c r="F72">
        <f t="shared" ref="F72" si="39">ROUND(F73,0)</f>
        <v>1830</v>
      </c>
    </row>
    <row r="73" spans="1:21">
      <c r="B73" t="s">
        <v>174</v>
      </c>
      <c r="C73">
        <f>($F$15-$F$12)*C20</f>
        <v>5622.5983323253586</v>
      </c>
      <c r="D73">
        <f t="shared" ref="D73:F73" si="40">($F$15-$F$12)*D20</f>
        <v>1917.1462691338527</v>
      </c>
      <c r="E73">
        <f t="shared" si="40"/>
        <v>1917.1462691338527</v>
      </c>
      <c r="F73">
        <f t="shared" si="40"/>
        <v>1829.5347460820369</v>
      </c>
    </row>
    <row r="74" spans="1:21">
      <c r="B74" t="s">
        <v>177</v>
      </c>
      <c r="C74" s="51">
        <f>C72/9</f>
        <v>624.77777777777783</v>
      </c>
      <c r="D74" s="51">
        <f t="shared" ref="D74:F74" si="41">D72/9</f>
        <v>213</v>
      </c>
      <c r="E74" s="51">
        <f t="shared" si="41"/>
        <v>213</v>
      </c>
      <c r="F74" s="51">
        <f t="shared" si="41"/>
        <v>203.33333333333334</v>
      </c>
    </row>
    <row r="75" spans="1:21">
      <c r="B75" t="s">
        <v>178</v>
      </c>
      <c r="C75" s="50">
        <f>C$74+C74</f>
        <v>1249.5555555555557</v>
      </c>
      <c r="D75" s="50">
        <f t="shared" ref="D75:F75" si="42">D$74+D74</f>
        <v>426</v>
      </c>
      <c r="E75" s="50">
        <f t="shared" si="42"/>
        <v>426</v>
      </c>
      <c r="F75" s="50">
        <f t="shared" si="42"/>
        <v>406.66666666666669</v>
      </c>
    </row>
    <row r="76" spans="1:21">
      <c r="B76" t="s">
        <v>179</v>
      </c>
      <c r="C76" s="50">
        <f t="shared" ref="C76:C82" si="43">C$74+C75</f>
        <v>1874.3333333333335</v>
      </c>
      <c r="D76" s="50">
        <f t="shared" ref="D76:D82" si="44">D$74+D75</f>
        <v>639</v>
      </c>
      <c r="E76" s="50">
        <f t="shared" ref="E76:E82" si="45">E$74+E75</f>
        <v>639</v>
      </c>
      <c r="F76" s="50">
        <f t="shared" ref="F76:F82" si="46">F$74+F75</f>
        <v>610</v>
      </c>
    </row>
    <row r="77" spans="1:21">
      <c r="B77" t="s">
        <v>180</v>
      </c>
      <c r="C77" s="50">
        <f t="shared" si="43"/>
        <v>2499.1111111111113</v>
      </c>
      <c r="D77" s="50">
        <f t="shared" si="44"/>
        <v>852</v>
      </c>
      <c r="E77" s="50">
        <f t="shared" si="45"/>
        <v>852</v>
      </c>
      <c r="F77" s="50">
        <f t="shared" si="46"/>
        <v>813.33333333333337</v>
      </c>
    </row>
    <row r="78" spans="1:21">
      <c r="B78" t="s">
        <v>181</v>
      </c>
      <c r="C78" s="50">
        <f t="shared" si="43"/>
        <v>3123.8888888888891</v>
      </c>
      <c r="D78" s="50">
        <f t="shared" si="44"/>
        <v>1065</v>
      </c>
      <c r="E78" s="50">
        <f t="shared" si="45"/>
        <v>1065</v>
      </c>
      <c r="F78" s="50">
        <f t="shared" si="46"/>
        <v>1016.6666666666667</v>
      </c>
    </row>
    <row r="79" spans="1:21">
      <c r="B79" t="s">
        <v>182</v>
      </c>
      <c r="C79" s="50">
        <f t="shared" si="43"/>
        <v>3748.666666666667</v>
      </c>
      <c r="D79" s="50">
        <f t="shared" si="44"/>
        <v>1278</v>
      </c>
      <c r="E79" s="50">
        <f t="shared" si="45"/>
        <v>1278</v>
      </c>
      <c r="F79" s="50">
        <f t="shared" si="46"/>
        <v>1220</v>
      </c>
    </row>
    <row r="80" spans="1:21">
      <c r="B80" t="s">
        <v>183</v>
      </c>
      <c r="C80" s="50">
        <f t="shared" si="43"/>
        <v>4373.4444444444453</v>
      </c>
      <c r="D80" s="50">
        <f t="shared" si="44"/>
        <v>1491</v>
      </c>
      <c r="E80" s="50">
        <f t="shared" si="45"/>
        <v>1491</v>
      </c>
      <c r="F80" s="50">
        <f t="shared" si="46"/>
        <v>1423.3333333333333</v>
      </c>
    </row>
    <row r="81" spans="2:6">
      <c r="B81" t="s">
        <v>184</v>
      </c>
      <c r="C81" s="50">
        <f t="shared" si="43"/>
        <v>4998.2222222222226</v>
      </c>
      <c r="D81" s="50">
        <f t="shared" si="44"/>
        <v>1704</v>
      </c>
      <c r="E81" s="50">
        <f t="shared" si="45"/>
        <v>1704</v>
      </c>
      <c r="F81" s="50">
        <f t="shared" si="46"/>
        <v>1626.6666666666665</v>
      </c>
    </row>
    <row r="82" spans="2:6">
      <c r="B82" t="s">
        <v>185</v>
      </c>
      <c r="C82" s="50">
        <f t="shared" si="43"/>
        <v>5623</v>
      </c>
      <c r="D82" s="50">
        <f t="shared" si="44"/>
        <v>1917</v>
      </c>
      <c r="E82" s="50">
        <f t="shared" si="45"/>
        <v>1917</v>
      </c>
      <c r="F82" s="50">
        <f t="shared" si="46"/>
        <v>1829.9999999999998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V1" sqref="U1:V1048576"/>
    </sheetView>
  </sheetViews>
  <sheetFormatPr defaultRowHeight="13.5"/>
  <cols>
    <col min="4" max="4" width="9.5" bestFit="1" customWidth="1"/>
  </cols>
  <sheetData>
    <row r="3" spans="1:12">
      <c r="C3" t="s">
        <v>222</v>
      </c>
      <c r="D3" t="s">
        <v>168</v>
      </c>
      <c r="E3" t="s">
        <v>327</v>
      </c>
      <c r="F3" t="s">
        <v>328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326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325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329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330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331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332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332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333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333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333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333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334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362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361</v>
      </c>
      <c r="C20" s="20">
        <v>1.8</v>
      </c>
      <c r="D20" s="20">
        <v>0.35</v>
      </c>
      <c r="E20" s="20">
        <v>0.35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335</v>
      </c>
    </row>
    <row r="22" spans="1:12">
      <c r="B22" t="s">
        <v>336</v>
      </c>
      <c r="C22" t="s">
        <v>337</v>
      </c>
      <c r="D22" t="s">
        <v>338</v>
      </c>
      <c r="E22" t="s">
        <v>339</v>
      </c>
      <c r="F22" t="s">
        <v>340</v>
      </c>
      <c r="G22" t="s">
        <v>341</v>
      </c>
      <c r="H22" t="s">
        <v>342</v>
      </c>
      <c r="I22" t="s">
        <v>343</v>
      </c>
      <c r="J22" s="12" t="s">
        <v>344</v>
      </c>
      <c r="K22" t="s">
        <v>345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6</v>
      </c>
      <c r="F23" s="20">
        <f>INT($F$20*I7*$C$19)</f>
        <v>5</v>
      </c>
      <c r="G23" s="20">
        <v>5</v>
      </c>
      <c r="H23" s="20">
        <v>5</v>
      </c>
      <c r="I23" s="20">
        <v>6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12</v>
      </c>
      <c r="F24" s="20">
        <f t="shared" ref="F24:F28" si="3">INT($F$20*I8*$C$19)</f>
        <v>10</v>
      </c>
      <c r="G24" s="20">
        <v>7</v>
      </c>
      <c r="H24" s="20">
        <v>6</v>
      </c>
      <c r="I24" s="20">
        <v>9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22</v>
      </c>
      <c r="F25" s="20">
        <f t="shared" si="3"/>
        <v>20</v>
      </c>
      <c r="G25" s="20">
        <v>9</v>
      </c>
      <c r="H25" s="20">
        <v>8</v>
      </c>
      <c r="I25" s="20">
        <v>13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37</v>
      </c>
      <c r="F26" s="20">
        <f t="shared" si="3"/>
        <v>34</v>
      </c>
      <c r="G26" s="20">
        <v>12</v>
      </c>
      <c r="H26" s="20">
        <v>10</v>
      </c>
      <c r="I26" s="20">
        <v>19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60</v>
      </c>
      <c r="F27" s="20">
        <f t="shared" si="3"/>
        <v>54</v>
      </c>
      <c r="G27" s="20">
        <v>15</v>
      </c>
      <c r="H27" s="20">
        <v>12</v>
      </c>
      <c r="I27" s="20">
        <v>26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101</v>
      </c>
      <c r="F28" s="20">
        <f t="shared" si="3"/>
        <v>91</v>
      </c>
      <c r="G28" s="20">
        <v>20</v>
      </c>
      <c r="H28" s="20">
        <v>15</v>
      </c>
      <c r="I28" s="20">
        <v>34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K163" sqref="K163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234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235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236</v>
      </c>
      <c r="B4" t="s">
        <v>70</v>
      </c>
      <c r="C4" t="s">
        <v>71</v>
      </c>
      <c r="D4" t="s">
        <v>72</v>
      </c>
      <c r="E4" t="s">
        <v>223</v>
      </c>
      <c r="F4" t="s">
        <v>69</v>
      </c>
    </row>
    <row r="5" spans="1:6">
      <c r="A5">
        <v>101</v>
      </c>
      <c r="B5" s="52">
        <f>装备拆分数值生成!L3</f>
        <v>12.888888888888889</v>
      </c>
      <c r="C5" s="52">
        <f>装备拆分数值生成!M3</f>
        <v>6.4444444444444446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23.555555555555557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6.1333333333333337</v>
      </c>
      <c r="F7" s="52">
        <f>装备拆分数值生成!K5</f>
        <v>0</v>
      </c>
    </row>
    <row r="8" spans="1:6">
      <c r="A8">
        <v>104</v>
      </c>
      <c r="B8" s="52">
        <f>装备拆分数值生成!L6</f>
        <v>3.2222222222222223</v>
      </c>
      <c r="C8" s="52">
        <f>装备拆分数值生成!M6</f>
        <v>0</v>
      </c>
      <c r="D8" s="52">
        <v>0</v>
      </c>
      <c r="E8" s="52">
        <f>装备拆分数值生成!N6</f>
        <v>4.5999999999999996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1.6111111111111112</v>
      </c>
      <c r="D9" s="52">
        <v>0</v>
      </c>
      <c r="E9" s="52">
        <f>装备拆分数值生成!N7</f>
        <v>0</v>
      </c>
      <c r="F9" s="52">
        <f>装备拆分数值生成!K7</f>
        <v>18.844444444444445</v>
      </c>
    </row>
    <row r="10" spans="1:6">
      <c r="A10">
        <v>106</v>
      </c>
      <c r="B10" s="52">
        <f>装备拆分数值生成!L8</f>
        <v>6.4444444444444446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4.7111111111111112</v>
      </c>
    </row>
    <row r="11" spans="1:6">
      <c r="A11">
        <v>111</v>
      </c>
      <c r="B11" s="52">
        <f>装备拆分数值生成!L11</f>
        <v>19.733333333333334</v>
      </c>
      <c r="C11" s="52">
        <f>装备拆分数值生成!M11</f>
        <v>9.8666666666666671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36.166666666666664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9.4222222222222225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4.9333333333333336</v>
      </c>
      <c r="C14" s="52">
        <f>装备拆分数值生成!M14</f>
        <v>0</v>
      </c>
      <c r="D14" s="52">
        <v>0</v>
      </c>
      <c r="E14" s="52">
        <f>装备拆分数值生成!N14</f>
        <v>7.0666666666666673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2.4666666666666668</v>
      </c>
      <c r="D15" s="52">
        <v>0</v>
      </c>
      <c r="E15" s="52">
        <f>装备拆分数值生成!N15</f>
        <v>0</v>
      </c>
      <c r="F15" s="52">
        <f>装备拆分数值生成!K15</f>
        <v>28.933333333333334</v>
      </c>
    </row>
    <row r="16" spans="1:6">
      <c r="A16">
        <v>116</v>
      </c>
      <c r="B16" s="52">
        <f>装备拆分数值生成!L16</f>
        <v>9.8666666666666671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7.2333333333333334</v>
      </c>
    </row>
    <row r="17" spans="1:6">
      <c r="A17">
        <v>121</v>
      </c>
      <c r="B17" s="52">
        <f>装备拆分数值生成!L19</f>
        <v>30.933333333333334</v>
      </c>
      <c r="C17" s="52">
        <f>装备拆分数值生成!M19</f>
        <v>15.466666666666667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56.666666666666664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14.755555555555555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7.7333333333333334</v>
      </c>
      <c r="C20" s="52">
        <f>装备拆分数值生成!M22</f>
        <v>0</v>
      </c>
      <c r="D20" s="52">
        <v>0</v>
      </c>
      <c r="E20" s="52">
        <f>装备拆分数值生成!N22</f>
        <v>11.066666666666665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3.8666666666666667</v>
      </c>
      <c r="D21" s="52">
        <v>0</v>
      </c>
      <c r="E21" s="52">
        <f>装备拆分数值生成!N23</f>
        <v>0</v>
      </c>
      <c r="F21" s="52">
        <f>装备拆分数值生成!K23</f>
        <v>45.333333333333336</v>
      </c>
    </row>
    <row r="22" spans="1:6">
      <c r="A22">
        <v>126</v>
      </c>
      <c r="B22" s="52">
        <f>装备拆分数值生成!L24</f>
        <v>15.466666666666667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11.333333333333334</v>
      </c>
    </row>
    <row r="23" spans="1:6">
      <c r="A23">
        <v>131</v>
      </c>
      <c r="B23" s="52">
        <f>装备拆分数值生成!L27</f>
        <v>78.044444444444451</v>
      </c>
      <c r="C23" s="52">
        <f>装备拆分数值生成!M27</f>
        <v>39.022222222222226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143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37.244444444444447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19.511111111111113</v>
      </c>
      <c r="C26" s="52">
        <f>装备拆分数值生成!M30</f>
        <v>0</v>
      </c>
      <c r="D26" s="52">
        <v>0</v>
      </c>
      <c r="E26" s="52">
        <f>装备拆分数值生成!N30</f>
        <v>27.933333333333334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9.7555555555555564</v>
      </c>
      <c r="D27" s="52">
        <v>0</v>
      </c>
      <c r="E27" s="52">
        <f>装备拆分数值生成!N31</f>
        <v>0</v>
      </c>
      <c r="F27" s="52">
        <f>装备拆分数值生成!K31</f>
        <v>114.4</v>
      </c>
    </row>
    <row r="28" spans="1:6">
      <c r="A28">
        <v>136</v>
      </c>
      <c r="B28" s="52">
        <f>装备拆分数值生成!L32</f>
        <v>39.022222222222226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28.6</v>
      </c>
    </row>
    <row r="29" spans="1:6">
      <c r="A29">
        <v>141</v>
      </c>
      <c r="B29" s="52">
        <f>装备拆分数值生成!L35</f>
        <v>170.4</v>
      </c>
      <c r="C29" s="52">
        <f>装备拆分数值生成!M35</f>
        <v>85.2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312.38888888888891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81.333333333333343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42.6</v>
      </c>
      <c r="C32" s="52">
        <f>装备拆分数值生成!M38</f>
        <v>0</v>
      </c>
      <c r="D32" s="52">
        <v>0</v>
      </c>
      <c r="E32" s="52">
        <f>装备拆分数值生成!N38</f>
        <v>61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21.3</v>
      </c>
      <c r="D33" s="52">
        <v>0</v>
      </c>
      <c r="E33" s="52">
        <f>装备拆分数值生成!N39</f>
        <v>0</v>
      </c>
      <c r="F33" s="52">
        <f>装备拆分数值生成!K39</f>
        <v>249.91111111111115</v>
      </c>
    </row>
    <row r="34" spans="1:6">
      <c r="A34">
        <v>146</v>
      </c>
      <c r="B34" s="52">
        <f>装备拆分数值生成!L40</f>
        <v>85.2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62.477777777777789</v>
      </c>
    </row>
    <row r="35" spans="1:6">
      <c r="A35">
        <f>A5+100</f>
        <v>201</v>
      </c>
      <c r="B35" s="52">
        <f>装备拆分数值生成!S3</f>
        <v>6.4444444444444446</v>
      </c>
      <c r="C35" s="52">
        <f>装备拆分数值生成!T3</f>
        <v>12.888888888888889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23.555555555555557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6.1333333333333337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3.2222222222222223</v>
      </c>
      <c r="D38" s="52">
        <v>0</v>
      </c>
      <c r="E38" s="52">
        <f>装备拆分数值生成!U6</f>
        <v>4.5999999999999996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1.6111111111111112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18.844444444444445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6.4444444444444446</v>
      </c>
      <c r="D40" s="52">
        <v>0</v>
      </c>
      <c r="E40" s="52">
        <f>装备拆分数值生成!U8</f>
        <v>0</v>
      </c>
      <c r="F40" s="52">
        <f>装备拆分数值生成!R8</f>
        <v>4.7111111111111112</v>
      </c>
    </row>
    <row r="41" spans="1:6">
      <c r="A41">
        <f t="shared" si="0"/>
        <v>211</v>
      </c>
      <c r="B41" s="52">
        <f>装备拆分数值生成!S11</f>
        <v>9.8666666666666671</v>
      </c>
      <c r="C41" s="52">
        <f>装备拆分数值生成!T11</f>
        <v>19.733333333333334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36.166666666666664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9.4222222222222225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4.9333333333333336</v>
      </c>
      <c r="D44" s="52">
        <v>0</v>
      </c>
      <c r="E44" s="52">
        <f>装备拆分数值生成!U14</f>
        <v>7.0666666666666673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2.4666666666666668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28.933333333333334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9.8666666666666671</v>
      </c>
      <c r="D46" s="52">
        <v>0</v>
      </c>
      <c r="E46" s="52">
        <f>装备拆分数值生成!U16</f>
        <v>0</v>
      </c>
      <c r="F46" s="52">
        <f>装备拆分数值生成!R16</f>
        <v>7.2333333333333334</v>
      </c>
    </row>
    <row r="47" spans="1:6">
      <c r="A47">
        <f t="shared" si="0"/>
        <v>221</v>
      </c>
      <c r="B47" s="52">
        <f>装备拆分数值生成!S19</f>
        <v>15.466666666666667</v>
      </c>
      <c r="C47" s="52">
        <f>装备拆分数值生成!T19</f>
        <v>30.933333333333334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56.666666666666664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14.755555555555555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7.7333333333333334</v>
      </c>
      <c r="D50" s="52">
        <v>0</v>
      </c>
      <c r="E50" s="52">
        <f>装备拆分数值生成!U22</f>
        <v>11.066666666666665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3.8666666666666667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45.333333333333336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15.466666666666667</v>
      </c>
      <c r="D52" s="52">
        <v>0</v>
      </c>
      <c r="E52" s="52">
        <f>装备拆分数值生成!U24</f>
        <v>0</v>
      </c>
      <c r="F52" s="52">
        <f>装备拆分数值生成!R24</f>
        <v>11.333333333333334</v>
      </c>
    </row>
    <row r="53" spans="1:6">
      <c r="A53">
        <f t="shared" si="0"/>
        <v>231</v>
      </c>
      <c r="B53" s="52">
        <f>装备拆分数值生成!S27</f>
        <v>39.022222222222226</v>
      </c>
      <c r="C53" s="52">
        <f>装备拆分数值生成!T27</f>
        <v>78.044444444444451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143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37.244444444444447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19.511111111111113</v>
      </c>
      <c r="D56" s="52">
        <v>0</v>
      </c>
      <c r="E56" s="52">
        <f>装备拆分数值生成!U30</f>
        <v>27.933333333333334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9.7555555555555564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114.4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39.022222222222226</v>
      </c>
      <c r="D58" s="52">
        <v>0</v>
      </c>
      <c r="E58" s="52">
        <f>装备拆分数值生成!U32</f>
        <v>0</v>
      </c>
      <c r="F58" s="52">
        <f>装备拆分数值生成!R32</f>
        <v>28.6</v>
      </c>
    </row>
    <row r="59" spans="1:6">
      <c r="A59">
        <f t="shared" si="0"/>
        <v>241</v>
      </c>
      <c r="B59" s="52">
        <f>装备拆分数值生成!S35</f>
        <v>85.2</v>
      </c>
      <c r="C59" s="52">
        <f>装备拆分数值生成!T35</f>
        <v>170.4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312.38888888888891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81.333333333333343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42.6</v>
      </c>
      <c r="D62" s="52">
        <v>0</v>
      </c>
      <c r="E62" s="52">
        <f>装备拆分数值生成!U38</f>
        <v>61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21.3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249.91111111111115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85.2</v>
      </c>
      <c r="D64" s="52">
        <v>0</v>
      </c>
      <c r="E64" s="52">
        <f>装备拆分数值生成!U40</f>
        <v>0</v>
      </c>
      <c r="F64" s="52">
        <f>装备拆分数值生成!R40</f>
        <v>62.477777777777789</v>
      </c>
    </row>
    <row r="65" spans="1:6">
      <c r="A65">
        <f t="shared" si="0"/>
        <v>301</v>
      </c>
      <c r="B65" s="52">
        <f>装备拆分数值生成!Z3</f>
        <v>8.8611111111111125</v>
      </c>
      <c r="C65" s="52">
        <f>装备拆分数值生成!AA3</f>
        <v>8.8611111111111125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37.68888888888889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9.1999999999999993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6.9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23.555555555555557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1.5333333333333334</v>
      </c>
      <c r="F70" s="52">
        <f>装备拆分数值生成!Y8</f>
        <v>9.4222222222222225</v>
      </c>
    </row>
    <row r="71" spans="1:6">
      <c r="A71">
        <f t="shared" si="0"/>
        <v>311</v>
      </c>
      <c r="B71" s="52">
        <f>装备拆分数值生成!Z11</f>
        <v>13.566666666666668</v>
      </c>
      <c r="C71" s="52">
        <f>装备拆分数值生成!AA11</f>
        <v>13.566666666666668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57.866666666666667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14.133333333333335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10.600000000000001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36.166666666666664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2.3555555555555556</v>
      </c>
      <c r="F76" s="52">
        <f>装备拆分数值生成!Y16</f>
        <v>14.466666666666667</v>
      </c>
    </row>
    <row r="77" spans="1:6">
      <c r="A77">
        <f t="shared" si="0"/>
        <v>321</v>
      </c>
      <c r="B77" s="52">
        <f>装备拆分数值生成!Z19</f>
        <v>21.266666666666666</v>
      </c>
      <c r="C77" s="52">
        <f>装备拆分数值生成!AA19</f>
        <v>21.266666666666666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90.666666666666671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22.133333333333329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16.599999999999998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56.666666666666664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3.6888888888888887</v>
      </c>
      <c r="F82" s="52">
        <f>装备拆分数值生成!Y24</f>
        <v>22.666666666666668</v>
      </c>
    </row>
    <row r="83" spans="1:6">
      <c r="A83">
        <f t="shared" si="0"/>
        <v>331</v>
      </c>
      <c r="B83" s="52">
        <f>装备拆分数值生成!Z27</f>
        <v>53.655555555555559</v>
      </c>
      <c r="C83" s="52">
        <f>装备拆分数值生成!AA27</f>
        <v>53.655555555555559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228.8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55.866666666666667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41.900000000000006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143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9.3111111111111118</v>
      </c>
      <c r="F88" s="52">
        <f>装备拆分数值生成!Y32</f>
        <v>57.2</v>
      </c>
    </row>
    <row r="89" spans="1:6">
      <c r="A89">
        <f>A59+100</f>
        <v>341</v>
      </c>
      <c r="B89" s="52">
        <f>装备拆分数值生成!Z35</f>
        <v>117.15</v>
      </c>
      <c r="C89" s="52">
        <f>装备拆分数值生成!AA35</f>
        <v>117.15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499.82222222222231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122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91.5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312.38888888888891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20.333333333333336</v>
      </c>
      <c r="F94" s="52">
        <f>装备拆分数值生成!Y40</f>
        <v>124.95555555555558</v>
      </c>
    </row>
    <row r="95" spans="1:6">
      <c r="A95">
        <f t="shared" si="0"/>
        <v>401</v>
      </c>
      <c r="B95" s="52">
        <f>装备拆分数值生成!AG3</f>
        <v>9.6666666666666661</v>
      </c>
      <c r="C95" s="52">
        <f>装备拆分数值生成!AH3</f>
        <v>9.6666666666666661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23.555555555555557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7.666666666666667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4.5999999999999996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3.2222222222222223</v>
      </c>
      <c r="D99" s="52">
        <v>0</v>
      </c>
      <c r="E99" s="52">
        <f>装备拆分数值生成!AI7</f>
        <v>0</v>
      </c>
      <c r="F99" s="52">
        <f>装备拆分数值生成!AF7</f>
        <v>14.133333333333335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4.5999999999999996</v>
      </c>
      <c r="F100" s="52">
        <f>装备拆分数值生成!AF8</f>
        <v>9.4222222222222225</v>
      </c>
    </row>
    <row r="101" spans="1:6">
      <c r="A101">
        <f t="shared" si="1"/>
        <v>411</v>
      </c>
      <c r="B101" s="52">
        <f>装备拆分数值生成!AG11</f>
        <v>14.8</v>
      </c>
      <c r="C101" s="52">
        <f>装备拆分数值生成!AH11</f>
        <v>14.8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36.166666666666664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11.777777777777779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7.0666666666666673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4.9333333333333336</v>
      </c>
      <c r="D105" s="52">
        <v>0</v>
      </c>
      <c r="E105" s="52">
        <f>装备拆分数值生成!AI15</f>
        <v>0</v>
      </c>
      <c r="F105" s="52">
        <f>装备拆分数值生成!AF15</f>
        <v>21.7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7.0666666666666673</v>
      </c>
      <c r="F106" s="52">
        <f>装备拆分数值生成!AF16</f>
        <v>14.466666666666667</v>
      </c>
    </row>
    <row r="107" spans="1:6">
      <c r="A107">
        <f t="shared" si="1"/>
        <v>421</v>
      </c>
      <c r="B107" s="52">
        <f>装备拆分数值生成!AG19</f>
        <v>23.2</v>
      </c>
      <c r="C107" s="52">
        <f>装备拆分数值生成!AH19</f>
        <v>23.2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56.666666666666664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18.444444444444443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11.066666666666665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7.7333333333333334</v>
      </c>
      <c r="D111" s="52">
        <v>0</v>
      </c>
      <c r="E111" s="52">
        <f>装备拆分数值生成!AI23</f>
        <v>0</v>
      </c>
      <c r="F111" s="52">
        <f>装备拆分数值生成!AF23</f>
        <v>34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11.066666666666665</v>
      </c>
      <c r="F112" s="52">
        <f>装备拆分数值生成!AF24</f>
        <v>22.666666666666668</v>
      </c>
    </row>
    <row r="113" spans="1:6">
      <c r="A113">
        <f t="shared" si="1"/>
        <v>431</v>
      </c>
      <c r="B113" s="52">
        <f>装备拆分数值生成!AG27</f>
        <v>58.533333333333331</v>
      </c>
      <c r="C113" s="52">
        <f>装备拆分数值生成!AH27</f>
        <v>58.533333333333331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143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46.555555555555557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27.933333333333334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19.511111111111113</v>
      </c>
      <c r="D117" s="52">
        <v>0</v>
      </c>
      <c r="E117" s="52">
        <f>装备拆分数值生成!AI31</f>
        <v>0</v>
      </c>
      <c r="F117" s="52">
        <f>装备拆分数值生成!AF31</f>
        <v>85.8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27.933333333333334</v>
      </c>
      <c r="F118" s="52">
        <f>装备拆分数值生成!AF32</f>
        <v>57.2</v>
      </c>
    </row>
    <row r="119" spans="1:6">
      <c r="A119">
        <f>A89+100</f>
        <v>441</v>
      </c>
      <c r="B119" s="52">
        <f>装备拆分数值生成!AG35</f>
        <v>127.8</v>
      </c>
      <c r="C119" s="52">
        <f>装备拆分数值生成!AH35</f>
        <v>127.8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312.38888888888891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101.66666666666667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61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42.6</v>
      </c>
      <c r="D123" s="52">
        <v>0</v>
      </c>
      <c r="E123" s="52">
        <f>装备拆分数值生成!AI39</f>
        <v>0</v>
      </c>
      <c r="F123" s="52">
        <f>装备拆分数值生成!AF39</f>
        <v>187.43333333333334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61</v>
      </c>
      <c r="F124" s="52">
        <f>装备拆分数值生成!AF40</f>
        <v>124.95555555555558</v>
      </c>
    </row>
    <row r="125" spans="1:6">
      <c r="A125">
        <v>10101</v>
      </c>
      <c r="B125" s="52">
        <f>装备拆分数值生成!L42</f>
        <v>148.80000000000001</v>
      </c>
      <c r="C125" s="52">
        <f>装备拆分数值生成!M42</f>
        <v>74.400000000000006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272.75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71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37.200000000000003</v>
      </c>
      <c r="C128" s="52">
        <f>装备拆分数值生成!M45</f>
        <v>0</v>
      </c>
      <c r="D128" s="52">
        <v>0</v>
      </c>
      <c r="E128" s="52">
        <f>装备拆分数值生成!N45</f>
        <v>53.25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18.600000000000001</v>
      </c>
      <c r="D129" s="52">
        <v>0</v>
      </c>
      <c r="E129" s="52">
        <f>装备拆分数值生成!N46</f>
        <v>0</v>
      </c>
      <c r="F129" s="52">
        <f>装备拆分数值生成!K46</f>
        <v>218.20000000000002</v>
      </c>
    </row>
    <row r="130" spans="1:6">
      <c r="A130">
        <v>10106</v>
      </c>
      <c r="B130" s="52">
        <f>装备拆分数值生成!L47</f>
        <v>74.400000000000006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54.550000000000004</v>
      </c>
    </row>
    <row r="131" spans="1:6">
      <c r="A131">
        <v>10111</v>
      </c>
      <c r="B131" s="52">
        <f>装备拆分数值生成!L48</f>
        <v>280.44038399999999</v>
      </c>
      <c r="C131" s="52">
        <f>装备拆分数值生成!M48</f>
        <v>140.220192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514.04647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133.81227999999999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70.110095999999999</v>
      </c>
      <c r="C134" s="52">
        <f>装备拆分数值生成!M51</f>
        <v>0</v>
      </c>
      <c r="D134" s="52">
        <v>0</v>
      </c>
      <c r="E134" s="52">
        <f>装备拆分数值生成!N51</f>
        <v>100.35920999999999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35.055047999999999</v>
      </c>
      <c r="D135" s="52">
        <v>0</v>
      </c>
      <c r="E135" s="52">
        <f>装备拆分数值生成!N52</f>
        <v>0</v>
      </c>
      <c r="F135" s="52">
        <f>装备拆分数值生成!K52</f>
        <v>411.23717600000003</v>
      </c>
    </row>
    <row r="136" spans="1:6">
      <c r="A136">
        <v>10116</v>
      </c>
      <c r="B136" s="52">
        <f>装备拆分数值生成!L53</f>
        <v>140.220192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102.80929400000001</v>
      </c>
    </row>
    <row r="137" spans="1:6">
      <c r="A137">
        <v>10121</v>
      </c>
      <c r="B137" s="52">
        <f>装备拆分数值生成!L54</f>
        <v>503.71099257600008</v>
      </c>
      <c r="C137" s="52">
        <f>装备拆分数值生成!M54</f>
        <v>251.85549628800004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923.30089533000012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240.34597092000004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125.92774814400002</v>
      </c>
      <c r="C140" s="52">
        <f>装备拆分数值生成!M57</f>
        <v>0</v>
      </c>
      <c r="D140" s="52">
        <v>0</v>
      </c>
      <c r="E140" s="52">
        <f>装备拆分数值生成!N57</f>
        <v>180.25947819000001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62.96387407200001</v>
      </c>
      <c r="D141" s="52">
        <v>0</v>
      </c>
      <c r="E141" s="52">
        <f>装备拆分数值生成!N58</f>
        <v>0</v>
      </c>
      <c r="F141" s="52">
        <f>装备拆分数值生成!K58</f>
        <v>738.64071626400016</v>
      </c>
    </row>
    <row r="142" spans="1:6">
      <c r="A142">
        <v>10126</v>
      </c>
      <c r="B142" s="52">
        <f>装备拆分数值生成!L59</f>
        <v>251.85549628800004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184.66017906600004</v>
      </c>
    </row>
    <row r="143" spans="1:6">
      <c r="A143">
        <v>10131</v>
      </c>
      <c r="B143" s="52">
        <f>装备拆分数值生成!L60</f>
        <v>1062.6343067271362</v>
      </c>
      <c r="C143" s="52">
        <f>装备拆分数值生成!M60</f>
        <v>531.31715336356808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1947.8058276870054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507.03653076362008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265.65857668178404</v>
      </c>
      <c r="C146" s="52">
        <f>装备拆分数值生成!M63</f>
        <v>0</v>
      </c>
      <c r="D146" s="52">
        <v>0</v>
      </c>
      <c r="E146" s="52">
        <f>装备拆分数值生成!N63</f>
        <v>380.27739807271502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132.82928834089202</v>
      </c>
      <c r="D147" s="52">
        <v>0</v>
      </c>
      <c r="E147" s="52">
        <f>装备拆分数值生成!N64</f>
        <v>0</v>
      </c>
      <c r="F147" s="52">
        <f>装备拆分数值生成!K64</f>
        <v>1558.2446621496044</v>
      </c>
    </row>
    <row r="148" spans="1:6">
      <c r="A148">
        <v>10136</v>
      </c>
      <c r="B148" s="52">
        <f>装备拆分数值生成!L65</f>
        <v>531.31715336356808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389.56116553740111</v>
      </c>
    </row>
    <row r="149" spans="1:6">
      <c r="A149">
        <v>10141</v>
      </c>
      <c r="B149" s="52">
        <f>装备拆分数值生成!L66</f>
        <v>2135.396335808387</v>
      </c>
      <c r="C149" s="52">
        <f>装备拆分数值生成!M66</f>
        <v>1067.6981679041935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3914.1757432240424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1018.905509693518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533.84908395209675</v>
      </c>
      <c r="C152" s="52">
        <f>装备拆分数值生成!M69</f>
        <v>0</v>
      </c>
      <c r="D152" s="52">
        <v>0</v>
      </c>
      <c r="E152" s="52">
        <f>装备拆分数值生成!N69</f>
        <v>764.17913227013844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266.92454197604837</v>
      </c>
      <c r="D153" s="52">
        <v>0</v>
      </c>
      <c r="E153" s="52">
        <f>装备拆分数值生成!N70</f>
        <v>0</v>
      </c>
      <c r="F153" s="52">
        <f>装备拆分数值生成!K70</f>
        <v>3131.3405945792342</v>
      </c>
    </row>
    <row r="154" spans="1:6">
      <c r="A154">
        <v>10146</v>
      </c>
      <c r="B154" s="52">
        <f>装备拆分数值生成!L71</f>
        <v>1067.6981679041935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782.83514864480856</v>
      </c>
    </row>
    <row r="155" spans="1:6">
      <c r="A155">
        <f>A125+100</f>
        <v>10201</v>
      </c>
      <c r="B155" s="52">
        <f>装备拆分数值生成!S42</f>
        <v>74.400000000000006</v>
      </c>
      <c r="C155" s="52">
        <f>装备拆分数值生成!T42</f>
        <v>148.80000000000001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272.75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71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37.200000000000003</v>
      </c>
      <c r="D158" s="52">
        <v>0</v>
      </c>
      <c r="E158" s="52">
        <f>装备拆分数值生成!U45</f>
        <v>53.25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18.600000000000001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218.20000000000002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74.400000000000006</v>
      </c>
      <c r="D160" s="52">
        <v>0</v>
      </c>
      <c r="E160" s="52">
        <f>装备拆分数值生成!U47</f>
        <v>0</v>
      </c>
      <c r="F160" s="52">
        <f>装备拆分数值生成!R47</f>
        <v>54.550000000000004</v>
      </c>
    </row>
    <row r="161" spans="1:6">
      <c r="A161">
        <f t="shared" si="2"/>
        <v>10211</v>
      </c>
      <c r="B161" s="52">
        <f>装备拆分数值生成!S48</f>
        <v>140.220192</v>
      </c>
      <c r="C161" s="52">
        <f>装备拆分数值生成!T48</f>
        <v>280.44038399999999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514.04647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133.81227999999999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70.110095999999999</v>
      </c>
      <c r="D164" s="52">
        <v>0</v>
      </c>
      <c r="E164" s="52">
        <f>装备拆分数值生成!U51</f>
        <v>100.35920999999999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35.055047999999999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411.23717600000003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140.220192</v>
      </c>
      <c r="D166" s="52">
        <v>0</v>
      </c>
      <c r="E166" s="52">
        <f>装备拆分数值生成!U53</f>
        <v>0</v>
      </c>
      <c r="F166" s="52">
        <f>装备拆分数值生成!R53</f>
        <v>102.80929400000001</v>
      </c>
    </row>
    <row r="167" spans="1:6">
      <c r="A167">
        <f t="shared" si="2"/>
        <v>10221</v>
      </c>
      <c r="B167" s="52">
        <f>装备拆分数值生成!S54</f>
        <v>251.85549628800004</v>
      </c>
      <c r="C167" s="52">
        <f>装备拆分数值生成!T54</f>
        <v>503.71099257600008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923.30089533000012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240.34597092000004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125.92774814400002</v>
      </c>
      <c r="D170" s="52">
        <v>0</v>
      </c>
      <c r="E170" s="52">
        <f>装备拆分数值生成!U57</f>
        <v>180.25947819000001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62.96387407200001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738.64071626400016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251.85549628800004</v>
      </c>
      <c r="D172" s="52">
        <v>0</v>
      </c>
      <c r="E172" s="52">
        <f>装备拆分数值生成!U59</f>
        <v>0</v>
      </c>
      <c r="F172" s="52">
        <f>装备拆分数值生成!R59</f>
        <v>184.66017906600004</v>
      </c>
    </row>
    <row r="173" spans="1:6">
      <c r="A173">
        <f t="shared" si="2"/>
        <v>10231</v>
      </c>
      <c r="B173" s="52">
        <f>装备拆分数值生成!S60</f>
        <v>531.31715336356808</v>
      </c>
      <c r="C173" s="52">
        <f>装备拆分数值生成!T60</f>
        <v>1062.6343067271362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1947.8058276870054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507.03653076362008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265.65857668178404</v>
      </c>
      <c r="D176" s="52">
        <v>0</v>
      </c>
      <c r="E176" s="52">
        <f>装备拆分数值生成!U63</f>
        <v>380.27739807271502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132.82928834089202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1558.2446621496044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531.31715336356808</v>
      </c>
      <c r="D178" s="52">
        <v>0</v>
      </c>
      <c r="E178" s="52">
        <f>装备拆分数值生成!U65</f>
        <v>0</v>
      </c>
      <c r="F178" s="52">
        <f>装备拆分数值生成!R65</f>
        <v>389.56116553740111</v>
      </c>
    </row>
    <row r="179" spans="1:6">
      <c r="A179">
        <f t="shared" si="2"/>
        <v>10241</v>
      </c>
      <c r="B179" s="52">
        <f>装备拆分数值生成!S66</f>
        <v>1067.6981679041935</v>
      </c>
      <c r="C179" s="52">
        <f>装备拆分数值生成!T66</f>
        <v>2135.396335808387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3914.1757432240424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1018.905509693518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533.84908395209675</v>
      </c>
      <c r="D182" s="52">
        <v>0</v>
      </c>
      <c r="E182" s="52">
        <f>装备拆分数值生成!U69</f>
        <v>764.17913227013844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266.92454197604837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3131.3405945792342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1067.6981679041935</v>
      </c>
      <c r="D184" s="52">
        <v>0</v>
      </c>
      <c r="E184" s="52">
        <f>装备拆分数值生成!U71</f>
        <v>0</v>
      </c>
      <c r="F184" s="52">
        <f>装备拆分数值生成!R71</f>
        <v>782.83514864480856</v>
      </c>
    </row>
    <row r="185" spans="1:6">
      <c r="A185">
        <f t="shared" si="2"/>
        <v>10301</v>
      </c>
      <c r="B185" s="52">
        <f>装备拆分数值生成!Z42</f>
        <v>102.30000000000001</v>
      </c>
      <c r="C185" s="52">
        <f>装备拆分数值生成!AA42</f>
        <v>102.30000000000001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436.40000000000003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106.5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79.875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272.75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17.75</v>
      </c>
      <c r="F190" s="52">
        <f>装备拆分数值生成!Y47</f>
        <v>109.10000000000001</v>
      </c>
    </row>
    <row r="191" spans="1:6">
      <c r="A191">
        <f t="shared" si="2"/>
        <v>10311</v>
      </c>
      <c r="B191" s="52">
        <f>装备拆分数值生成!Z48</f>
        <v>192.80276400000002</v>
      </c>
      <c r="C191" s="52">
        <f>装备拆分数值生成!AA48</f>
        <v>192.80276400000002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822.47435200000007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200.71841999999998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150.538815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514.04647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33.453069999999997</v>
      </c>
      <c r="F196" s="52">
        <f>装备拆分数值生成!Y53</f>
        <v>205.61858800000002</v>
      </c>
    </row>
    <row r="197" spans="1:6">
      <c r="A197">
        <f t="shared" si="2"/>
        <v>10321</v>
      </c>
      <c r="B197" s="52">
        <f>装备拆分数值生成!Z54</f>
        <v>346.30130739600008</v>
      </c>
      <c r="C197" s="52">
        <f>装备拆分数值生成!AA54</f>
        <v>346.30130739600008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1477.2814325280003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360.51895638000002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270.38921728500003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923.30089533000012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60.08649273000001</v>
      </c>
      <c r="F202" s="52">
        <f>装备拆分数值生成!Y59</f>
        <v>369.32035813200008</v>
      </c>
    </row>
    <row r="203" spans="1:6">
      <c r="A203">
        <f t="shared" si="2"/>
        <v>10331</v>
      </c>
      <c r="B203" s="52">
        <f>装备拆分数值生成!Z60</f>
        <v>730.56108587490621</v>
      </c>
      <c r="C203" s="52">
        <f>装备拆分数值生成!AA60</f>
        <v>730.56108587490621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1477.2814325280003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360.51895638000002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270.38921728500003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923.30089533000012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60.08649273000001</v>
      </c>
      <c r="F208" s="52">
        <f>装备拆分数值生成!Y59</f>
        <v>369.32035813200008</v>
      </c>
    </row>
    <row r="209" spans="1:6">
      <c r="A209">
        <f t="shared" si="2"/>
        <v>10341</v>
      </c>
      <c r="B209" s="52">
        <f>装备拆分数值生成!Z66</f>
        <v>1468.084980868266</v>
      </c>
      <c r="C209" s="52">
        <f>装备拆分数值生成!AA66</f>
        <v>1468.084980868266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6262.6811891584684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1528.3582645402769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1146.2686984052077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3914.1757432240424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254.72637742337949</v>
      </c>
      <c r="F214" s="52">
        <f>装备拆分数值生成!Y71</f>
        <v>1565.6702972896171</v>
      </c>
    </row>
    <row r="215" spans="1:6">
      <c r="A215">
        <f t="shared" si="2"/>
        <v>10401</v>
      </c>
      <c r="B215" s="52">
        <f>装备拆分数值生成!AG42</f>
        <v>111.6</v>
      </c>
      <c r="C215" s="52">
        <f>装备拆分数值生成!AH42</f>
        <v>111.6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272.75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88.75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53.25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37.200000000000003</v>
      </c>
      <c r="D219" s="52">
        <v>0</v>
      </c>
      <c r="E219" s="52">
        <f>装备拆分数值生成!AI46</f>
        <v>0</v>
      </c>
      <c r="F219" s="52">
        <f>装备拆分数值生成!AF46</f>
        <v>163.65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53.25</v>
      </c>
      <c r="F220" s="52">
        <f>装备拆分数值生成!AF47</f>
        <v>109.10000000000001</v>
      </c>
    </row>
    <row r="221" spans="1:6">
      <c r="A221">
        <f t="shared" si="3"/>
        <v>10411</v>
      </c>
      <c r="B221" s="52">
        <f>装备拆分数值生成!AG48</f>
        <v>210.330288</v>
      </c>
      <c r="C221" s="52">
        <f>装备拆分数值生成!AH48</f>
        <v>210.330288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514.04647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167.26534999999998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100.35920999999999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70.110095999999999</v>
      </c>
      <c r="D225" s="52">
        <v>0</v>
      </c>
      <c r="E225" s="52">
        <f>装备拆分数值生成!AI52</f>
        <v>0</v>
      </c>
      <c r="F225" s="52">
        <f>装备拆分数值生成!AF52</f>
        <v>308.42788200000001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100.35920999999999</v>
      </c>
      <c r="F226" s="52">
        <f>装备拆分数值生成!AF53</f>
        <v>205.61858800000002</v>
      </c>
    </row>
    <row r="227" spans="1:6">
      <c r="A227">
        <f t="shared" si="3"/>
        <v>10421</v>
      </c>
      <c r="B227" s="52">
        <f>装备拆分数值生成!AG54</f>
        <v>377.78324443200006</v>
      </c>
      <c r="C227" s="52">
        <f>装备拆分数值生成!AH54</f>
        <v>377.78324443200006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923.30089533000012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300.43246365000005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180.25947819000001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125.92774814400002</v>
      </c>
      <c r="D231" s="52">
        <v>0</v>
      </c>
      <c r="E231" s="52">
        <f>装备拆分数值生成!AI58</f>
        <v>0</v>
      </c>
      <c r="F231" s="52">
        <f>装备拆分数值生成!AF58</f>
        <v>553.98053719800009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180.25947819000001</v>
      </c>
      <c r="F232" s="52">
        <f>装备拆分数值生成!AF59</f>
        <v>369.32035813200008</v>
      </c>
    </row>
    <row r="233" spans="1:6">
      <c r="A233">
        <f t="shared" si="4"/>
        <v>10431</v>
      </c>
      <c r="B233" s="52">
        <f>装备拆分数值生成!AG60</f>
        <v>796.97573004535218</v>
      </c>
      <c r="C233" s="52">
        <f>装备拆分数值生成!AH60</f>
        <v>796.97573004535218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1947.8058276870054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633.79566345452508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380.27739807271502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265.65857668178404</v>
      </c>
      <c r="D237" s="52">
        <v>0</v>
      </c>
      <c r="E237" s="52">
        <f>装备拆分数值生成!AI64</f>
        <v>0</v>
      </c>
      <c r="F237" s="52">
        <f>装备拆分数值生成!AF64</f>
        <v>1168.6834966122033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380.27739807271502</v>
      </c>
      <c r="F238" s="52">
        <f>装备拆分数值生成!AF65</f>
        <v>779.12233107480222</v>
      </c>
    </row>
    <row r="239" spans="1:6">
      <c r="A239">
        <f t="shared" si="4"/>
        <v>10441</v>
      </c>
      <c r="B239" s="52">
        <f>装备拆分数值生成!AG66</f>
        <v>1601.5472518562899</v>
      </c>
      <c r="C239" s="52">
        <f>装备拆分数值生成!AH66</f>
        <v>1601.5472518562899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3914.1757432240424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1273.6318871168974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764.17913227013844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533.84908395209675</v>
      </c>
      <c r="D243" s="52">
        <v>0</v>
      </c>
      <c r="E243" s="52">
        <f>装备拆分数值生成!AI70</f>
        <v>0</v>
      </c>
      <c r="F243" s="52">
        <f>装备拆分数值生成!AF70</f>
        <v>2348.5054459344256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764.17913227013844</v>
      </c>
      <c r="F244" s="52">
        <f>装备拆分数值生成!AF71</f>
        <v>1565.6702972896171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topLeftCell="J1" workbookViewId="0">
      <selection activeCell="S48" sqref="S48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175</v>
      </c>
    </row>
    <row r="2" spans="2:35">
      <c r="I2" t="s">
        <v>191</v>
      </c>
      <c r="K2" t="s">
        <v>69</v>
      </c>
      <c r="L2" t="s">
        <v>70</v>
      </c>
      <c r="M2" t="s">
        <v>71</v>
      </c>
      <c r="N2" t="s">
        <v>223</v>
      </c>
      <c r="P2" t="s">
        <v>231</v>
      </c>
      <c r="R2" t="s">
        <v>69</v>
      </c>
      <c r="S2" t="s">
        <v>70</v>
      </c>
      <c r="T2" t="s">
        <v>71</v>
      </c>
      <c r="U2" t="s">
        <v>223</v>
      </c>
      <c r="W2" t="s">
        <v>232</v>
      </c>
      <c r="Y2" t="s">
        <v>69</v>
      </c>
      <c r="Z2" t="s">
        <v>70</v>
      </c>
      <c r="AA2" t="s">
        <v>71</v>
      </c>
      <c r="AB2" t="s">
        <v>223</v>
      </c>
      <c r="AD2" t="s">
        <v>233</v>
      </c>
      <c r="AF2" t="s">
        <v>69</v>
      </c>
      <c r="AG2" t="s">
        <v>70</v>
      </c>
      <c r="AH2" t="s">
        <v>71</v>
      </c>
      <c r="AI2" t="s">
        <v>223</v>
      </c>
    </row>
    <row r="3" spans="2:35">
      <c r="J3" t="s">
        <v>224</v>
      </c>
      <c r="K3" s="55">
        <f>D7*装备能力拆分!C$26</f>
        <v>0</v>
      </c>
      <c r="L3" s="55">
        <f>E7*装备能力拆分!D$26</f>
        <v>12.888888888888889</v>
      </c>
      <c r="M3" s="55">
        <f>F7*装备能力拆分!E$26</f>
        <v>6.4444444444444446</v>
      </c>
      <c r="N3" s="55">
        <f>G7*装备能力拆分!F$26</f>
        <v>0</v>
      </c>
      <c r="O3" s="52"/>
      <c r="Q3" t="s">
        <v>224</v>
      </c>
      <c r="R3" s="56">
        <f>D16*装备能力拆分!C$26</f>
        <v>0</v>
      </c>
      <c r="S3" s="56">
        <f>E16*装备能力拆分!D$26</f>
        <v>6.4444444444444446</v>
      </c>
      <c r="T3" s="56">
        <f>F16*装备能力拆分!E$26</f>
        <v>12.888888888888889</v>
      </c>
      <c r="U3" s="56">
        <f>G16*装备能力拆分!F$26</f>
        <v>0</v>
      </c>
      <c r="X3" t="s">
        <v>224</v>
      </c>
      <c r="Y3" s="55">
        <f>D25*装备能力拆分!C$26</f>
        <v>0</v>
      </c>
      <c r="Z3" s="55">
        <f>E25*装备能力拆分!D$26</f>
        <v>8.8611111111111125</v>
      </c>
      <c r="AA3" s="55">
        <f>F25*装备能力拆分!E$26</f>
        <v>8.8611111111111125</v>
      </c>
      <c r="AB3" s="55">
        <f>G25*装备能力拆分!F$26</f>
        <v>0</v>
      </c>
      <c r="AE3" t="s">
        <v>224</v>
      </c>
      <c r="AF3" s="56">
        <f>D34*装备能力拆分!C$26</f>
        <v>0</v>
      </c>
      <c r="AG3" s="56">
        <f>E34*装备能力拆分!D$26</f>
        <v>9.6666666666666661</v>
      </c>
      <c r="AH3" s="56">
        <f>F34*装备能力拆分!E$26</f>
        <v>9.6666666666666661</v>
      </c>
      <c r="AI3" s="56">
        <f>G34*装备能力拆分!F$26</f>
        <v>0</v>
      </c>
    </row>
    <row r="4" spans="2:35">
      <c r="J4" t="s">
        <v>192</v>
      </c>
      <c r="K4" s="55">
        <f>D8*装备能力拆分!C$26</f>
        <v>23.555555555555557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192</v>
      </c>
      <c r="R4" s="56">
        <f>D17*装备能力拆分!C$26</f>
        <v>23.555555555555557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192</v>
      </c>
      <c r="Y4" s="55">
        <f>D26*装备能力拆分!C$26</f>
        <v>37.68888888888889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192</v>
      </c>
      <c r="AF4" s="56">
        <f>D35*装备能力拆分!C$26</f>
        <v>23.555555555555557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136</v>
      </c>
      <c r="D5" s="3">
        <f>SUM(D7:D12)</f>
        <v>1</v>
      </c>
      <c r="E5" s="3">
        <f>SUM(E7:E12)</f>
        <v>1.4</v>
      </c>
      <c r="F5" s="3">
        <f>SUM(F7:F12)</f>
        <v>0.5</v>
      </c>
      <c r="G5" s="3">
        <f>SUM(G7:G12)</f>
        <v>0.7</v>
      </c>
      <c r="H5">
        <f>E5+F5/(G5*D5)</f>
        <v>2.1142857142857143</v>
      </c>
      <c r="J5" t="s">
        <v>193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6.1333333333333337</v>
      </c>
      <c r="O5" s="52"/>
      <c r="Q5" t="s">
        <v>193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6.1333333333333337</v>
      </c>
      <c r="X5" t="s">
        <v>193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9.1999999999999993</v>
      </c>
      <c r="AE5" t="s">
        <v>193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7.666666666666667</v>
      </c>
    </row>
    <row r="6" spans="2:35">
      <c r="B6" t="s">
        <v>147</v>
      </c>
      <c r="D6" t="s">
        <v>145</v>
      </c>
      <c r="E6" t="s">
        <v>144</v>
      </c>
      <c r="F6" t="s">
        <v>143</v>
      </c>
      <c r="G6" t="s">
        <v>146</v>
      </c>
      <c r="J6" t="s">
        <v>194</v>
      </c>
      <c r="K6" s="55">
        <f>D10*装备能力拆分!C$26</f>
        <v>0</v>
      </c>
      <c r="L6" s="55">
        <f>E10*装备能力拆分!D$26</f>
        <v>3.2222222222222223</v>
      </c>
      <c r="M6" s="55">
        <f>F10*装备能力拆分!E$26</f>
        <v>0</v>
      </c>
      <c r="N6" s="55">
        <f>G10*装备能力拆分!F$26</f>
        <v>4.5999999999999996</v>
      </c>
      <c r="O6" s="52"/>
      <c r="Q6" t="s">
        <v>194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3.2222222222222223</v>
      </c>
      <c r="U6" s="56">
        <f>G19*装备能力拆分!F$26</f>
        <v>4.5999999999999996</v>
      </c>
      <c r="X6" t="s">
        <v>194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6.9</v>
      </c>
      <c r="AE6" t="s">
        <v>194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4.5999999999999996</v>
      </c>
    </row>
    <row r="7" spans="2:35">
      <c r="C7" t="s">
        <v>137</v>
      </c>
      <c r="E7">
        <v>0.8</v>
      </c>
      <c r="F7">
        <v>0.4</v>
      </c>
      <c r="J7" t="s">
        <v>195</v>
      </c>
      <c r="K7" s="55">
        <f>D11*装备能力拆分!C$26</f>
        <v>18.844444444444445</v>
      </c>
      <c r="L7" s="55">
        <f>E11*装备能力拆分!D$26</f>
        <v>0</v>
      </c>
      <c r="M7" s="55">
        <f>F11*装备能力拆分!E$26</f>
        <v>1.6111111111111112</v>
      </c>
      <c r="N7" s="55">
        <f>G11*装备能力拆分!F$26</f>
        <v>0</v>
      </c>
      <c r="O7" s="52"/>
      <c r="Q7" t="s">
        <v>195</v>
      </c>
      <c r="R7" s="56">
        <f>D20*装备能力拆分!C$26</f>
        <v>18.844444444444445</v>
      </c>
      <c r="S7" s="56">
        <f>E20*装备能力拆分!D$26</f>
        <v>1.6111111111111112</v>
      </c>
      <c r="T7" s="56">
        <f>F20*装备能力拆分!E$26</f>
        <v>0</v>
      </c>
      <c r="U7" s="56">
        <f>G20*装备能力拆分!F$26</f>
        <v>0</v>
      </c>
      <c r="X7" t="s">
        <v>195</v>
      </c>
      <c r="Y7" s="55">
        <f>D29*装备能力拆分!C$26</f>
        <v>23.555555555555557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195</v>
      </c>
      <c r="AF7" s="56">
        <f>D38*装备能力拆分!C$26</f>
        <v>14.133333333333335</v>
      </c>
      <c r="AG7" s="56">
        <f>E38*装备能力拆分!D$26</f>
        <v>0</v>
      </c>
      <c r="AH7" s="56">
        <f>F38*装备能力拆分!E$26</f>
        <v>3.2222222222222223</v>
      </c>
      <c r="AI7" s="56">
        <f>G38*装备能力拆分!F$26</f>
        <v>0</v>
      </c>
    </row>
    <row r="8" spans="2:35">
      <c r="C8" t="s">
        <v>138</v>
      </c>
      <c r="D8">
        <v>0.5</v>
      </c>
      <c r="J8" t="s">
        <v>196</v>
      </c>
      <c r="K8" s="55">
        <f>D12*装备能力拆分!C$26</f>
        <v>4.7111111111111112</v>
      </c>
      <c r="L8" s="55">
        <f>E12*装备能力拆分!D$26</f>
        <v>6.4444444444444446</v>
      </c>
      <c r="M8" s="55">
        <f>F12*装备能力拆分!E$26</f>
        <v>0</v>
      </c>
      <c r="N8" s="55">
        <f>G12*装备能力拆分!F$26</f>
        <v>0</v>
      </c>
      <c r="O8" s="52"/>
      <c r="Q8" t="s">
        <v>196</v>
      </c>
      <c r="R8" s="56">
        <f>D21*装备能力拆分!C$26</f>
        <v>4.7111111111111112</v>
      </c>
      <c r="S8" s="56">
        <f>E21*装备能力拆分!D$26</f>
        <v>0</v>
      </c>
      <c r="T8" s="56">
        <f>F21*装备能力拆分!E$26</f>
        <v>6.4444444444444446</v>
      </c>
      <c r="U8" s="56">
        <f>G21*装备能力拆分!F$26</f>
        <v>0</v>
      </c>
      <c r="X8" t="s">
        <v>196</v>
      </c>
      <c r="Y8" s="55">
        <f>D30*装备能力拆分!C$26</f>
        <v>9.4222222222222225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1.5333333333333334</v>
      </c>
      <c r="AE8" t="s">
        <v>196</v>
      </c>
      <c r="AF8" s="55">
        <f>D39*装备能力拆分!C$26</f>
        <v>9.4222222222222225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4.5999999999999996</v>
      </c>
    </row>
    <row r="9" spans="2:35">
      <c r="C9" t="s">
        <v>139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140</v>
      </c>
      <c r="E10">
        <v>0.2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141</v>
      </c>
      <c r="D11">
        <v>0.4</v>
      </c>
      <c r="F11">
        <v>0.1</v>
      </c>
      <c r="J11" t="s">
        <v>197</v>
      </c>
      <c r="K11" s="55">
        <f>D7*装备能力拆分!C$38</f>
        <v>0</v>
      </c>
      <c r="L11" s="55">
        <f>E7*装备能力拆分!D$38</f>
        <v>19.733333333333334</v>
      </c>
      <c r="M11" s="55">
        <f>F7*装备能力拆分!E$38</f>
        <v>9.8666666666666671</v>
      </c>
      <c r="N11" s="55">
        <f>G7*装备能力拆分!F$38</f>
        <v>0</v>
      </c>
      <c r="O11" s="52"/>
      <c r="Q11" t="s">
        <v>197</v>
      </c>
      <c r="R11" s="56">
        <f>D16*装备能力拆分!C$38</f>
        <v>0</v>
      </c>
      <c r="S11" s="56">
        <f>E16*装备能力拆分!D$38</f>
        <v>9.8666666666666671</v>
      </c>
      <c r="T11" s="56">
        <f>F16*装备能力拆分!E$38</f>
        <v>19.733333333333334</v>
      </c>
      <c r="U11" s="56">
        <f>G16*装备能力拆分!F$38</f>
        <v>0</v>
      </c>
      <c r="X11" t="s">
        <v>197</v>
      </c>
      <c r="Y11" s="55">
        <f>D25*装备能力拆分!C$38</f>
        <v>0</v>
      </c>
      <c r="Z11" s="55">
        <f>E25*装备能力拆分!D$38</f>
        <v>13.566666666666668</v>
      </c>
      <c r="AA11" s="55">
        <f>F25*装备能力拆分!E$38</f>
        <v>13.566666666666668</v>
      </c>
      <c r="AB11" s="55">
        <f>G25*装备能力拆分!F$38</f>
        <v>0</v>
      </c>
      <c r="AE11" t="s">
        <v>197</v>
      </c>
      <c r="AF11" s="55">
        <f>D34*装备能力拆分!C$38</f>
        <v>0</v>
      </c>
      <c r="AG11" s="55">
        <f>E34*装备能力拆分!D$38</f>
        <v>14.8</v>
      </c>
      <c r="AH11" s="55">
        <f>F34*装备能力拆分!E$38</f>
        <v>14.8</v>
      </c>
      <c r="AI11" s="55">
        <f>G34*装备能力拆分!F$38</f>
        <v>0</v>
      </c>
    </row>
    <row r="12" spans="2:35">
      <c r="C12" t="s">
        <v>142</v>
      </c>
      <c r="D12">
        <v>0.1</v>
      </c>
      <c r="E12">
        <v>0.4</v>
      </c>
      <c r="J12" t="s">
        <v>198</v>
      </c>
      <c r="K12" s="55">
        <f>D8*装备能力拆分!C$38</f>
        <v>36.166666666666664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198</v>
      </c>
      <c r="R12" s="56">
        <f>D17*装备能力拆分!C$38</f>
        <v>36.166666666666664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198</v>
      </c>
      <c r="Y12" s="55">
        <f>D26*装备能力拆分!C$38</f>
        <v>57.866666666666667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198</v>
      </c>
      <c r="AF12" s="55">
        <f>D35*装备能力拆分!C$38</f>
        <v>36.166666666666664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199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9.4222222222222225</v>
      </c>
      <c r="O13" s="52"/>
      <c r="Q13" t="s">
        <v>199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9.4222222222222225</v>
      </c>
      <c r="X13" t="s">
        <v>199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14.133333333333335</v>
      </c>
      <c r="AE13" t="s">
        <v>199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11.777777777777779</v>
      </c>
    </row>
    <row r="14" spans="2:35">
      <c r="D14">
        <f>SUM(D16:D21)</f>
        <v>1</v>
      </c>
      <c r="E14">
        <f>SUM(E16:E21)</f>
        <v>0.5</v>
      </c>
      <c r="F14">
        <f>SUM(F16:F21)</f>
        <v>1.4</v>
      </c>
      <c r="G14">
        <f>SUM(G16:G21)</f>
        <v>0.7</v>
      </c>
      <c r="H14">
        <f>E14+F14/(G14*D14)</f>
        <v>2.5</v>
      </c>
      <c r="J14" t="s">
        <v>200</v>
      </c>
      <c r="K14" s="55">
        <f>D10*装备能力拆分!C$38</f>
        <v>0</v>
      </c>
      <c r="L14" s="55">
        <f>E10*装备能力拆分!D$38</f>
        <v>4.9333333333333336</v>
      </c>
      <c r="M14" s="55">
        <f>F10*装备能力拆分!E$38</f>
        <v>0</v>
      </c>
      <c r="N14" s="55">
        <f>G10*装备能力拆分!F$38</f>
        <v>7.0666666666666673</v>
      </c>
      <c r="O14" s="52"/>
      <c r="Q14" t="s">
        <v>200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4.9333333333333336</v>
      </c>
      <c r="U14" s="55">
        <f>G19*装备能力拆分!F$38</f>
        <v>7.0666666666666673</v>
      </c>
      <c r="X14" t="s">
        <v>200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10.600000000000001</v>
      </c>
      <c r="AE14" t="s">
        <v>200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7.0666666666666673</v>
      </c>
    </row>
    <row r="15" spans="2:35">
      <c r="B15" t="s">
        <v>148</v>
      </c>
      <c r="D15" t="s">
        <v>145</v>
      </c>
      <c r="E15" t="s">
        <v>144</v>
      </c>
      <c r="F15" t="s">
        <v>143</v>
      </c>
      <c r="G15" t="s">
        <v>146</v>
      </c>
      <c r="J15" t="s">
        <v>201</v>
      </c>
      <c r="K15" s="55">
        <f>D11*装备能力拆分!C$38</f>
        <v>28.933333333333334</v>
      </c>
      <c r="L15" s="55">
        <f>E11*装备能力拆分!D$38</f>
        <v>0</v>
      </c>
      <c r="M15" s="55">
        <f>F11*装备能力拆分!E$38</f>
        <v>2.4666666666666668</v>
      </c>
      <c r="N15" s="55">
        <f>G11*装备能力拆分!F$38</f>
        <v>0</v>
      </c>
      <c r="O15" s="52"/>
      <c r="Q15" t="s">
        <v>201</v>
      </c>
      <c r="R15" s="55">
        <f>D20*装备能力拆分!C$38</f>
        <v>28.933333333333334</v>
      </c>
      <c r="S15" s="55">
        <f>E20*装备能力拆分!D$38</f>
        <v>2.4666666666666668</v>
      </c>
      <c r="T15" s="55">
        <f>F20*装备能力拆分!E$38</f>
        <v>0</v>
      </c>
      <c r="U15" s="55">
        <f>G20*装备能力拆分!F$38</f>
        <v>0</v>
      </c>
      <c r="X15" t="s">
        <v>201</v>
      </c>
      <c r="Y15" s="55">
        <f>D29*装备能力拆分!C$38</f>
        <v>36.166666666666664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201</v>
      </c>
      <c r="AF15" s="55">
        <f>D38*装备能力拆分!C$38</f>
        <v>21.7</v>
      </c>
      <c r="AG15" s="55">
        <f>E38*装备能力拆分!D$38</f>
        <v>0</v>
      </c>
      <c r="AH15" s="55">
        <f>F38*装备能力拆分!E$38</f>
        <v>4.9333333333333336</v>
      </c>
      <c r="AI15" s="55">
        <f>G38*装备能力拆分!F$38</f>
        <v>0</v>
      </c>
    </row>
    <row r="16" spans="2:35">
      <c r="C16" t="s">
        <v>137</v>
      </c>
      <c r="E16">
        <v>0.4</v>
      </c>
      <c r="F16">
        <v>0.8</v>
      </c>
      <c r="J16" t="s">
        <v>202</v>
      </c>
      <c r="K16" s="55">
        <f>D12*装备能力拆分!C$38</f>
        <v>7.2333333333333334</v>
      </c>
      <c r="L16" s="55">
        <f>E12*装备能力拆分!D$38</f>
        <v>9.8666666666666671</v>
      </c>
      <c r="M16" s="55">
        <f>F12*装备能力拆分!E$38</f>
        <v>0</v>
      </c>
      <c r="N16" s="55">
        <f>G12*装备能力拆分!F$38</f>
        <v>0</v>
      </c>
      <c r="O16" s="52"/>
      <c r="Q16" t="s">
        <v>202</v>
      </c>
      <c r="R16" s="55">
        <f>D21*装备能力拆分!C$38</f>
        <v>7.2333333333333334</v>
      </c>
      <c r="S16" s="55">
        <f>E21*装备能力拆分!D$38</f>
        <v>0</v>
      </c>
      <c r="T16" s="55">
        <f>F21*装备能力拆分!E$38</f>
        <v>9.8666666666666671</v>
      </c>
      <c r="U16" s="55">
        <f>G21*装备能力拆分!F$38</f>
        <v>0</v>
      </c>
      <c r="X16" t="s">
        <v>202</v>
      </c>
      <c r="Y16" s="55">
        <f>D30*装备能力拆分!C$38</f>
        <v>14.466666666666667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2.3555555555555556</v>
      </c>
      <c r="AE16" t="s">
        <v>202</v>
      </c>
      <c r="AF16" s="55">
        <f>D39*装备能力拆分!C$38</f>
        <v>14.466666666666667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7.0666666666666673</v>
      </c>
    </row>
    <row r="17" spans="2:35">
      <c r="C17" t="s">
        <v>138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139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140</v>
      </c>
      <c r="F19">
        <v>0.2</v>
      </c>
      <c r="G19">
        <v>0.3</v>
      </c>
      <c r="J19" t="s">
        <v>203</v>
      </c>
      <c r="K19" s="55">
        <f>D7*装备能力拆分!C$50</f>
        <v>0</v>
      </c>
      <c r="L19" s="55">
        <f>E7*装备能力拆分!D$50</f>
        <v>30.933333333333334</v>
      </c>
      <c r="M19" s="55">
        <f>F7*装备能力拆分!E$50</f>
        <v>15.466666666666667</v>
      </c>
      <c r="N19" s="55">
        <f>G7*装备能力拆分!F$50</f>
        <v>0</v>
      </c>
      <c r="O19" s="52"/>
      <c r="Q19" t="s">
        <v>203</v>
      </c>
      <c r="R19" s="55">
        <f>D16*装备能力拆分!C$50</f>
        <v>0</v>
      </c>
      <c r="S19" s="55">
        <f>E16*装备能力拆分!D$50</f>
        <v>15.466666666666667</v>
      </c>
      <c r="T19" s="55">
        <f>F16*装备能力拆分!E$50</f>
        <v>30.933333333333334</v>
      </c>
      <c r="U19" s="55">
        <f>G16*装备能力拆分!F$50</f>
        <v>0</v>
      </c>
      <c r="X19" t="s">
        <v>203</v>
      </c>
      <c r="Y19" s="55">
        <f>D25*装备能力拆分!C$50</f>
        <v>0</v>
      </c>
      <c r="Z19" s="55">
        <f>E25*装备能力拆分!D$50</f>
        <v>21.266666666666666</v>
      </c>
      <c r="AA19" s="55">
        <f>F25*装备能力拆分!E$50</f>
        <v>21.266666666666666</v>
      </c>
      <c r="AB19" s="55">
        <f>G25*装备能力拆分!F$50</f>
        <v>0</v>
      </c>
      <c r="AE19" t="s">
        <v>203</v>
      </c>
      <c r="AF19" s="55">
        <f>D34*装备能力拆分!C$50</f>
        <v>0</v>
      </c>
      <c r="AG19" s="55">
        <f>E34*装备能力拆分!D$50</f>
        <v>23.2</v>
      </c>
      <c r="AH19" s="55">
        <f>F34*装备能力拆分!E$50</f>
        <v>23.2</v>
      </c>
      <c r="AI19" s="55">
        <f>G34*装备能力拆分!F$50</f>
        <v>0</v>
      </c>
    </row>
    <row r="20" spans="2:35">
      <c r="C20" t="s">
        <v>141</v>
      </c>
      <c r="D20">
        <v>0.4</v>
      </c>
      <c r="E20">
        <v>0.1</v>
      </c>
      <c r="J20" t="s">
        <v>204</v>
      </c>
      <c r="K20" s="55">
        <f>D8*装备能力拆分!C$50</f>
        <v>56.666666666666664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204</v>
      </c>
      <c r="R20" s="55">
        <f>D17*装备能力拆分!C$50</f>
        <v>56.666666666666664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204</v>
      </c>
      <c r="Y20" s="55">
        <f>D26*装备能力拆分!C$50</f>
        <v>90.666666666666671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204</v>
      </c>
      <c r="AF20" s="55">
        <f>D35*装备能力拆分!C$50</f>
        <v>56.666666666666664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142</v>
      </c>
      <c r="D21">
        <v>0.1</v>
      </c>
      <c r="F21">
        <v>0.4</v>
      </c>
      <c r="J21" t="s">
        <v>205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14.755555555555555</v>
      </c>
      <c r="O21" s="52"/>
      <c r="Q21" t="s">
        <v>205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14.755555555555555</v>
      </c>
      <c r="X21" t="s">
        <v>205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22.133333333333329</v>
      </c>
      <c r="AE21" t="s">
        <v>205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18.444444444444443</v>
      </c>
    </row>
    <row r="22" spans="2:35">
      <c r="J22" t="s">
        <v>206</v>
      </c>
      <c r="K22" s="55">
        <f>D10*装备能力拆分!C$50</f>
        <v>0</v>
      </c>
      <c r="L22" s="55">
        <f>E10*装备能力拆分!D$50</f>
        <v>7.7333333333333334</v>
      </c>
      <c r="M22" s="55">
        <f>F10*装备能力拆分!E$50</f>
        <v>0</v>
      </c>
      <c r="N22" s="55">
        <f>G10*装备能力拆分!F$50</f>
        <v>11.066666666666665</v>
      </c>
      <c r="O22" s="52"/>
      <c r="Q22" t="s">
        <v>206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7.7333333333333334</v>
      </c>
      <c r="U22" s="55">
        <f>G19*装备能力拆分!F$50</f>
        <v>11.066666666666665</v>
      </c>
      <c r="X22" t="s">
        <v>206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16.599999999999998</v>
      </c>
      <c r="AE22" t="s">
        <v>206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11.066666666666665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207</v>
      </c>
      <c r="K23" s="55">
        <f>D11*装备能力拆分!C$50</f>
        <v>45.333333333333336</v>
      </c>
      <c r="L23" s="55">
        <f>E11*装备能力拆分!D$50</f>
        <v>0</v>
      </c>
      <c r="M23" s="55">
        <f>F11*装备能力拆分!E$50</f>
        <v>3.8666666666666667</v>
      </c>
      <c r="N23" s="55">
        <f>G11*装备能力拆分!F$50</f>
        <v>0</v>
      </c>
      <c r="O23" s="52"/>
      <c r="Q23" t="s">
        <v>207</v>
      </c>
      <c r="R23" s="55">
        <f>D20*装备能力拆分!C$50</f>
        <v>45.333333333333336</v>
      </c>
      <c r="S23" s="55">
        <f>E20*装备能力拆分!D$50</f>
        <v>3.8666666666666667</v>
      </c>
      <c r="T23" s="55">
        <f>F20*装备能力拆分!E$50</f>
        <v>0</v>
      </c>
      <c r="U23" s="55">
        <f>G20*装备能力拆分!F$50</f>
        <v>0</v>
      </c>
      <c r="X23" t="s">
        <v>207</v>
      </c>
      <c r="Y23" s="55">
        <f>D29*装备能力拆分!C$50</f>
        <v>56.666666666666664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207</v>
      </c>
      <c r="AF23" s="55">
        <f>D38*装备能力拆分!C$50</f>
        <v>34</v>
      </c>
      <c r="AG23" s="55">
        <f>E38*装备能力拆分!D$50</f>
        <v>0</v>
      </c>
      <c r="AH23" s="55">
        <f>F38*装备能力拆分!E$50</f>
        <v>7.7333333333333334</v>
      </c>
      <c r="AI23" s="55">
        <f>G38*装备能力拆分!F$50</f>
        <v>0</v>
      </c>
    </row>
    <row r="24" spans="2:35">
      <c r="B24" t="s">
        <v>166</v>
      </c>
      <c r="D24" t="s">
        <v>145</v>
      </c>
      <c r="E24" t="s">
        <v>144</v>
      </c>
      <c r="F24" t="s">
        <v>143</v>
      </c>
      <c r="G24" t="s">
        <v>146</v>
      </c>
      <c r="J24" t="s">
        <v>208</v>
      </c>
      <c r="K24" s="55">
        <f>D12*装备能力拆分!C$50</f>
        <v>11.333333333333334</v>
      </c>
      <c r="L24" s="55">
        <f>E12*装备能力拆分!D$50</f>
        <v>15.466666666666667</v>
      </c>
      <c r="M24" s="55">
        <f>F12*装备能力拆分!E$50</f>
        <v>0</v>
      </c>
      <c r="N24" s="55">
        <f>G12*装备能力拆分!F$50</f>
        <v>0</v>
      </c>
      <c r="O24" s="52"/>
      <c r="Q24" t="s">
        <v>208</v>
      </c>
      <c r="R24" s="55">
        <f>D21*装备能力拆分!C$50</f>
        <v>11.333333333333334</v>
      </c>
      <c r="S24" s="55">
        <f>E21*装备能力拆分!D$50</f>
        <v>0</v>
      </c>
      <c r="T24" s="55">
        <f>F21*装备能力拆分!E$50</f>
        <v>15.466666666666667</v>
      </c>
      <c r="U24" s="55">
        <f>G21*装备能力拆分!F$50</f>
        <v>0</v>
      </c>
      <c r="X24" t="s">
        <v>208</v>
      </c>
      <c r="Y24" s="55">
        <f>D30*装备能力拆分!C$50</f>
        <v>22.666666666666668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3.6888888888888887</v>
      </c>
      <c r="AE24" t="s">
        <v>208</v>
      </c>
      <c r="AF24" s="55">
        <f>D39*装备能力拆分!C$50</f>
        <v>22.666666666666668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11.066666666666665</v>
      </c>
    </row>
    <row r="25" spans="2:35">
      <c r="C25" t="s">
        <v>137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138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139</v>
      </c>
      <c r="G27">
        <v>0.6</v>
      </c>
      <c r="J27" t="s">
        <v>209</v>
      </c>
      <c r="K27" s="55">
        <f>D7*装备能力拆分!C$62</f>
        <v>0</v>
      </c>
      <c r="L27" s="55">
        <f>E7*装备能力拆分!D$62</f>
        <v>78.044444444444451</v>
      </c>
      <c r="M27" s="55">
        <f>F7*装备能力拆分!E$62</f>
        <v>39.022222222222226</v>
      </c>
      <c r="N27" s="55">
        <f>G7*装备能力拆分!F$62</f>
        <v>0</v>
      </c>
      <c r="O27" s="52"/>
      <c r="Q27" t="s">
        <v>209</v>
      </c>
      <c r="R27" s="55">
        <f>D16*装备能力拆分!C$62</f>
        <v>0</v>
      </c>
      <c r="S27" s="55">
        <f>E16*装备能力拆分!D$62</f>
        <v>39.022222222222226</v>
      </c>
      <c r="T27" s="55">
        <f>F16*装备能力拆分!E$62</f>
        <v>78.044444444444451</v>
      </c>
      <c r="U27" s="55">
        <f>G16*装备能力拆分!F$62</f>
        <v>0</v>
      </c>
      <c r="X27" t="s">
        <v>209</v>
      </c>
      <c r="Y27" s="55">
        <f>D25*装备能力拆分!C$62</f>
        <v>0</v>
      </c>
      <c r="Z27" s="55">
        <f>E25*装备能力拆分!D$62</f>
        <v>53.655555555555559</v>
      </c>
      <c r="AA27" s="55">
        <f>F25*装备能力拆分!E$62</f>
        <v>53.655555555555559</v>
      </c>
      <c r="AB27" s="55">
        <f>G25*装备能力拆分!F$62</f>
        <v>0</v>
      </c>
      <c r="AE27" t="s">
        <v>209</v>
      </c>
      <c r="AF27" s="55">
        <f>D34*装备能力拆分!C$62</f>
        <v>0</v>
      </c>
      <c r="AG27" s="55">
        <f>E34*装备能力拆分!D$62</f>
        <v>58.533333333333331</v>
      </c>
      <c r="AH27" s="55">
        <f>F34*装备能力拆分!E$62</f>
        <v>58.533333333333331</v>
      </c>
      <c r="AI27" s="55">
        <f>G34*装备能力拆分!F$62</f>
        <v>0</v>
      </c>
    </row>
    <row r="28" spans="2:35">
      <c r="C28" t="s">
        <v>140</v>
      </c>
      <c r="G28">
        <v>0.45</v>
      </c>
      <c r="J28" t="s">
        <v>210</v>
      </c>
      <c r="K28" s="55">
        <f>D8*装备能力拆分!C$62</f>
        <v>143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210</v>
      </c>
      <c r="R28" s="55">
        <f>D17*装备能力拆分!C$62</f>
        <v>143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210</v>
      </c>
      <c r="Y28" s="55">
        <f>D26*装备能力拆分!C$62</f>
        <v>228.8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210</v>
      </c>
      <c r="AF28" s="55">
        <f>D35*装备能力拆分!C$62</f>
        <v>143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141</v>
      </c>
      <c r="D29">
        <v>0.5</v>
      </c>
      <c r="J29" t="s">
        <v>211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37.244444444444447</v>
      </c>
      <c r="O29" s="52"/>
      <c r="Q29" t="s">
        <v>211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37.244444444444447</v>
      </c>
      <c r="X29" t="s">
        <v>211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55.866666666666667</v>
      </c>
      <c r="AE29" t="s">
        <v>211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46.555555555555557</v>
      </c>
    </row>
    <row r="30" spans="2:35">
      <c r="C30" t="s">
        <v>142</v>
      </c>
      <c r="D30">
        <v>0.2</v>
      </c>
      <c r="G30">
        <v>0.1</v>
      </c>
      <c r="J30" t="s">
        <v>212</v>
      </c>
      <c r="K30" s="55">
        <f>D10*装备能力拆分!C$62</f>
        <v>0</v>
      </c>
      <c r="L30" s="55">
        <f>E10*装备能力拆分!D$62</f>
        <v>19.511111111111113</v>
      </c>
      <c r="M30" s="55">
        <f>F10*装备能力拆分!E$62</f>
        <v>0</v>
      </c>
      <c r="N30" s="55">
        <f>G10*装备能力拆分!F$62</f>
        <v>27.933333333333334</v>
      </c>
      <c r="O30" s="52"/>
      <c r="Q30" t="s">
        <v>212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19.511111111111113</v>
      </c>
      <c r="U30" s="55">
        <f>G19*装备能力拆分!F$62</f>
        <v>27.933333333333334</v>
      </c>
      <c r="X30" t="s">
        <v>212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41.900000000000006</v>
      </c>
      <c r="AE30" t="s">
        <v>212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27.933333333333334</v>
      </c>
    </row>
    <row r="31" spans="2:35">
      <c r="J31" t="s">
        <v>213</v>
      </c>
      <c r="K31" s="55">
        <f>D11*装备能力拆分!C$62</f>
        <v>114.4</v>
      </c>
      <c r="L31" s="55">
        <f>E11*装备能力拆分!D$62</f>
        <v>0</v>
      </c>
      <c r="M31" s="55">
        <f>F11*装备能力拆分!E$62</f>
        <v>9.7555555555555564</v>
      </c>
      <c r="N31" s="55">
        <f>G11*装备能力拆分!F$62</f>
        <v>0</v>
      </c>
      <c r="O31" s="52"/>
      <c r="Q31" t="s">
        <v>213</v>
      </c>
      <c r="R31" s="55">
        <f>D20*装备能力拆分!C$62</f>
        <v>114.4</v>
      </c>
      <c r="S31" s="55">
        <f>E20*装备能力拆分!D$62</f>
        <v>9.7555555555555564</v>
      </c>
      <c r="T31" s="55">
        <f>F20*装备能力拆分!E$62</f>
        <v>0</v>
      </c>
      <c r="U31" s="55">
        <f>G20*装备能力拆分!F$62</f>
        <v>0</v>
      </c>
      <c r="X31" t="s">
        <v>213</v>
      </c>
      <c r="Y31" s="55">
        <f>D29*装备能力拆分!C$62</f>
        <v>143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213</v>
      </c>
      <c r="AF31" s="55">
        <f>D38*装备能力拆分!C$62</f>
        <v>85.8</v>
      </c>
      <c r="AG31" s="55">
        <f>E38*装备能力拆分!D$62</f>
        <v>0</v>
      </c>
      <c r="AH31" s="55">
        <f>F38*装备能力拆分!E$62</f>
        <v>19.511111111111113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214</v>
      </c>
      <c r="K32" s="55">
        <f>D12*装备能力拆分!C$62</f>
        <v>28.6</v>
      </c>
      <c r="L32" s="55">
        <f>E12*装备能力拆分!D$62</f>
        <v>39.022222222222226</v>
      </c>
      <c r="M32" s="55">
        <f>F12*装备能力拆分!E$62</f>
        <v>0</v>
      </c>
      <c r="N32" s="55">
        <f>G12*装备能力拆分!F$62</f>
        <v>0</v>
      </c>
      <c r="O32" s="52"/>
      <c r="Q32" t="s">
        <v>214</v>
      </c>
      <c r="R32" s="55">
        <f>D21*装备能力拆分!C$62</f>
        <v>28.6</v>
      </c>
      <c r="S32" s="55">
        <f>E21*装备能力拆分!D$62</f>
        <v>0</v>
      </c>
      <c r="T32" s="55">
        <f>F21*装备能力拆分!E$62</f>
        <v>39.022222222222226</v>
      </c>
      <c r="U32" s="55">
        <f>G21*装备能力拆分!F$62</f>
        <v>0</v>
      </c>
      <c r="X32" t="s">
        <v>214</v>
      </c>
      <c r="Y32" s="55">
        <f>D30*装备能力拆分!C$62</f>
        <v>57.2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9.3111111111111118</v>
      </c>
      <c r="AE32" t="s">
        <v>214</v>
      </c>
      <c r="AF32" s="55">
        <f>D39*装备能力拆分!C$62</f>
        <v>57.2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27.933333333333334</v>
      </c>
    </row>
    <row r="33" spans="2:35">
      <c r="B33" t="s">
        <v>165</v>
      </c>
      <c r="D33" t="s">
        <v>145</v>
      </c>
      <c r="E33" t="s">
        <v>144</v>
      </c>
      <c r="F33" t="s">
        <v>143</v>
      </c>
      <c r="G33" t="s">
        <v>146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137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138</v>
      </c>
      <c r="D35">
        <v>0.5</v>
      </c>
      <c r="J35" t="s">
        <v>215</v>
      </c>
      <c r="K35" s="55">
        <f>D7*装备能力拆分!C$74</f>
        <v>0</v>
      </c>
      <c r="L35" s="55">
        <f>E7*装备能力拆分!D$74</f>
        <v>170.4</v>
      </c>
      <c r="M35" s="55">
        <f>F7*装备能力拆分!E$74</f>
        <v>85.2</v>
      </c>
      <c r="N35" s="55">
        <f>G7*装备能力拆分!F$74</f>
        <v>0</v>
      </c>
      <c r="O35" s="52"/>
      <c r="Q35" t="s">
        <v>215</v>
      </c>
      <c r="R35" s="55">
        <f>D16*装备能力拆分!C$74</f>
        <v>0</v>
      </c>
      <c r="S35" s="55">
        <f>E16*装备能力拆分!D$74</f>
        <v>85.2</v>
      </c>
      <c r="T35" s="55">
        <f>F16*装备能力拆分!E$74</f>
        <v>170.4</v>
      </c>
      <c r="U35" s="55">
        <f>G16*装备能力拆分!F$74</f>
        <v>0</v>
      </c>
      <c r="X35" t="s">
        <v>215</v>
      </c>
      <c r="Y35" s="55">
        <f>D25*装备能力拆分!C$74</f>
        <v>0</v>
      </c>
      <c r="Z35" s="55">
        <f>E25*装备能力拆分!D$74</f>
        <v>117.15</v>
      </c>
      <c r="AA35" s="55">
        <f>F25*装备能力拆分!E$74</f>
        <v>117.15</v>
      </c>
      <c r="AB35" s="55">
        <f>G25*装备能力拆分!F$74</f>
        <v>0</v>
      </c>
      <c r="AC35" s="50"/>
      <c r="AE35" t="s">
        <v>215</v>
      </c>
      <c r="AF35" s="55">
        <f>D34*装备能力拆分!C$74</f>
        <v>0</v>
      </c>
      <c r="AG35" s="55">
        <f>E34*装备能力拆分!D$74</f>
        <v>127.8</v>
      </c>
      <c r="AH35" s="55">
        <f>F34*装备能力拆分!E$74</f>
        <v>127.8</v>
      </c>
      <c r="AI35" s="55">
        <f>G34*装备能力拆分!F$74</f>
        <v>0</v>
      </c>
    </row>
    <row r="36" spans="2:35">
      <c r="C36" t="s">
        <v>139</v>
      </c>
      <c r="G36">
        <v>0.5</v>
      </c>
      <c r="J36" t="s">
        <v>216</v>
      </c>
      <c r="K36" s="55">
        <f>D8*装备能力拆分!C$74</f>
        <v>312.38888888888891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216</v>
      </c>
      <c r="R36" s="55">
        <f>D17*装备能力拆分!C$74</f>
        <v>312.38888888888891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216</v>
      </c>
      <c r="Y36" s="55">
        <f>D26*装备能力拆分!C$74</f>
        <v>499.82222222222231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216</v>
      </c>
      <c r="AF36" s="55">
        <f>D35*装备能力拆分!C$74</f>
        <v>312.38888888888891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140</v>
      </c>
      <c r="G37">
        <v>0.3</v>
      </c>
      <c r="J37" t="s">
        <v>217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81.333333333333343</v>
      </c>
      <c r="O37" s="52"/>
      <c r="Q37" t="s">
        <v>217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81.333333333333343</v>
      </c>
      <c r="X37" t="s">
        <v>217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122</v>
      </c>
      <c r="AC37" s="50"/>
      <c r="AE37" t="s">
        <v>217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101.66666666666667</v>
      </c>
    </row>
    <row r="38" spans="2:35">
      <c r="C38" t="s">
        <v>141</v>
      </c>
      <c r="D38">
        <v>0.3</v>
      </c>
      <c r="F38">
        <v>0.2</v>
      </c>
      <c r="J38" t="s">
        <v>218</v>
      </c>
      <c r="K38" s="55">
        <f>D10*装备能力拆分!C$74</f>
        <v>0</v>
      </c>
      <c r="L38" s="55">
        <f>E10*装备能力拆分!D$74</f>
        <v>42.6</v>
      </c>
      <c r="M38" s="55">
        <f>F10*装备能力拆分!E$74</f>
        <v>0</v>
      </c>
      <c r="N38" s="55">
        <f>G10*装备能力拆分!F$74</f>
        <v>61</v>
      </c>
      <c r="O38" s="52"/>
      <c r="Q38" t="s">
        <v>218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42.6</v>
      </c>
      <c r="U38" s="55">
        <f>G19*装备能力拆分!F$74</f>
        <v>61</v>
      </c>
      <c r="X38" t="s">
        <v>218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91.5</v>
      </c>
      <c r="AC38" s="50"/>
      <c r="AE38" t="s">
        <v>218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61</v>
      </c>
    </row>
    <row r="39" spans="2:35">
      <c r="C39" t="s">
        <v>142</v>
      </c>
      <c r="D39">
        <v>0.2</v>
      </c>
      <c r="G39">
        <v>0.3</v>
      </c>
      <c r="J39" t="s">
        <v>219</v>
      </c>
      <c r="K39" s="55">
        <f>D11*装备能力拆分!C$74</f>
        <v>249.91111111111115</v>
      </c>
      <c r="L39" s="55">
        <f>E11*装备能力拆分!D$74</f>
        <v>0</v>
      </c>
      <c r="M39" s="55">
        <f>F11*装备能力拆分!E$74</f>
        <v>21.3</v>
      </c>
      <c r="N39" s="55">
        <f>G11*装备能力拆分!F$74</f>
        <v>0</v>
      </c>
      <c r="O39" s="52"/>
      <c r="Q39" t="s">
        <v>219</v>
      </c>
      <c r="R39" s="55">
        <f>D20*装备能力拆分!C$74</f>
        <v>249.91111111111115</v>
      </c>
      <c r="S39" s="55">
        <f>E20*装备能力拆分!D$74</f>
        <v>21.3</v>
      </c>
      <c r="T39" s="55">
        <f>F20*装备能力拆分!E$74</f>
        <v>0</v>
      </c>
      <c r="U39" s="55">
        <f>G20*装备能力拆分!F$74</f>
        <v>0</v>
      </c>
      <c r="X39" t="s">
        <v>219</v>
      </c>
      <c r="Y39" s="55">
        <f>D29*装备能力拆分!C$74</f>
        <v>312.38888888888891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219</v>
      </c>
      <c r="AF39" s="55">
        <f>D38*装备能力拆分!C$74</f>
        <v>187.43333333333334</v>
      </c>
      <c r="AG39" s="55">
        <f>E38*装备能力拆分!D$74</f>
        <v>0</v>
      </c>
      <c r="AH39" s="55">
        <f>F38*装备能力拆分!E$74</f>
        <v>42.6</v>
      </c>
      <c r="AI39" s="55">
        <f>G38*装备能力拆分!F$74</f>
        <v>0</v>
      </c>
    </row>
    <row r="40" spans="2:35">
      <c r="J40" t="s">
        <v>220</v>
      </c>
      <c r="K40" s="55">
        <f>D12*装备能力拆分!C$74</f>
        <v>62.477777777777789</v>
      </c>
      <c r="L40" s="55">
        <f>E12*装备能力拆分!D$74</f>
        <v>85.2</v>
      </c>
      <c r="M40" s="55">
        <f>F12*装备能力拆分!E$74</f>
        <v>0</v>
      </c>
      <c r="N40" s="55">
        <f>G12*装备能力拆分!F$74</f>
        <v>0</v>
      </c>
      <c r="O40" s="52"/>
      <c r="Q40" t="s">
        <v>220</v>
      </c>
      <c r="R40" s="55">
        <f>D21*装备能力拆分!C$74</f>
        <v>62.477777777777789</v>
      </c>
      <c r="S40" s="55">
        <f>E21*装备能力拆分!D$74</f>
        <v>0</v>
      </c>
      <c r="T40" s="55">
        <f>F21*装备能力拆分!E$74</f>
        <v>85.2</v>
      </c>
      <c r="U40" s="55">
        <f>G21*装备能力拆分!F$74</f>
        <v>0</v>
      </c>
      <c r="X40" t="s">
        <v>220</v>
      </c>
      <c r="Y40" s="55">
        <f>D30*装备能力拆分!C$74</f>
        <v>124.95555555555558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20.333333333333336</v>
      </c>
      <c r="AC40" s="50"/>
      <c r="AE40" t="s">
        <v>220</v>
      </c>
      <c r="AF40" s="55">
        <f>D39*装备能力拆分!C$74</f>
        <v>124.95555555555558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61</v>
      </c>
    </row>
    <row r="41" spans="2:35">
      <c r="H41" t="s">
        <v>237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225</v>
      </c>
      <c r="K42" s="55">
        <f>装备能力拆分!C$21*D7</f>
        <v>0</v>
      </c>
      <c r="L42" s="55">
        <f>装备能力拆分!D$21*E7</f>
        <v>148.80000000000001</v>
      </c>
      <c r="M42" s="55">
        <f>装备能力拆分!E$21*F7</f>
        <v>74.400000000000006</v>
      </c>
      <c r="N42" s="55">
        <f>装备能力拆分!F$21*G7</f>
        <v>0</v>
      </c>
      <c r="O42" s="52"/>
      <c r="Q42" t="s">
        <v>225</v>
      </c>
      <c r="R42" s="55">
        <f>装备能力拆分!C$21*D16</f>
        <v>0</v>
      </c>
      <c r="S42" s="55">
        <f>装备能力拆分!D$21*E16</f>
        <v>74.400000000000006</v>
      </c>
      <c r="T42" s="55">
        <f>装备能力拆分!E$21*F16</f>
        <v>148.80000000000001</v>
      </c>
      <c r="U42" s="55">
        <f>装备能力拆分!F$21*G16</f>
        <v>0</v>
      </c>
      <c r="X42" t="s">
        <v>225</v>
      </c>
      <c r="Y42" s="55">
        <f>装备能力拆分!C$21*D25</f>
        <v>0</v>
      </c>
      <c r="Z42" s="55">
        <f>装备能力拆分!D$21*E25</f>
        <v>102.30000000000001</v>
      </c>
      <c r="AA42" s="55">
        <f>装备能力拆分!E$21*F25</f>
        <v>102.30000000000001</v>
      </c>
      <c r="AB42" s="55">
        <f>装备能力拆分!F$21*G25</f>
        <v>0</v>
      </c>
      <c r="AE42" t="s">
        <v>225</v>
      </c>
      <c r="AF42" s="55">
        <f>装备能力拆分!C$21*D34</f>
        <v>0</v>
      </c>
      <c r="AG42" s="55">
        <f>装备能力拆分!D$21*E34</f>
        <v>111.6</v>
      </c>
      <c r="AH42" s="55">
        <f>装备能力拆分!E$21*F34</f>
        <v>111.6</v>
      </c>
      <c r="AI42" s="55">
        <f>装备能力拆分!F$21*G34</f>
        <v>0</v>
      </c>
    </row>
    <row r="43" spans="2:35">
      <c r="J43" t="s">
        <v>226</v>
      </c>
      <c r="K43" s="55">
        <f>装备能力拆分!C$21*D8</f>
        <v>272.75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226</v>
      </c>
      <c r="R43" s="55">
        <f>装备能力拆分!C$21*D17</f>
        <v>272.75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226</v>
      </c>
      <c r="Y43" s="55">
        <f>装备能力拆分!C$21*D26</f>
        <v>436.40000000000003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226</v>
      </c>
      <c r="AF43" s="55">
        <f>装备能力拆分!C$21*D35</f>
        <v>272.75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227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71</v>
      </c>
      <c r="O44" s="52"/>
      <c r="Q44" t="s">
        <v>227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71</v>
      </c>
      <c r="X44" t="s">
        <v>227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106.5</v>
      </c>
      <c r="AE44" t="s">
        <v>227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88.75</v>
      </c>
    </row>
    <row r="45" spans="2:35">
      <c r="J45" t="s">
        <v>228</v>
      </c>
      <c r="K45" s="55">
        <f>装备能力拆分!C$21*D10</f>
        <v>0</v>
      </c>
      <c r="L45" s="55">
        <f>装备能力拆分!D$21*E10</f>
        <v>37.200000000000003</v>
      </c>
      <c r="M45" s="55">
        <f>装备能力拆分!E$21*F10</f>
        <v>0</v>
      </c>
      <c r="N45" s="55">
        <f>装备能力拆分!F$21*G10</f>
        <v>53.25</v>
      </c>
      <c r="O45" s="52"/>
      <c r="Q45" t="s">
        <v>228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37.200000000000003</v>
      </c>
      <c r="U45" s="55">
        <f>装备能力拆分!F$21*G19</f>
        <v>53.25</v>
      </c>
      <c r="X45" t="s">
        <v>228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79.875</v>
      </c>
      <c r="AE45" t="s">
        <v>228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53.25</v>
      </c>
    </row>
    <row r="46" spans="2:35">
      <c r="J46" t="s">
        <v>229</v>
      </c>
      <c r="K46" s="55">
        <f>装备能力拆分!C$21*D11</f>
        <v>218.20000000000002</v>
      </c>
      <c r="L46" s="55">
        <f>装备能力拆分!D$21*E11</f>
        <v>0</v>
      </c>
      <c r="M46" s="55">
        <f>装备能力拆分!E$21*F11</f>
        <v>18.600000000000001</v>
      </c>
      <c r="N46" s="55">
        <f>装备能力拆分!F$21*G11</f>
        <v>0</v>
      </c>
      <c r="O46" s="52"/>
      <c r="Q46" t="s">
        <v>229</v>
      </c>
      <c r="R46" s="55">
        <f>装备能力拆分!C$21*D20</f>
        <v>218.20000000000002</v>
      </c>
      <c r="S46" s="55">
        <f>装备能力拆分!D$21*E20</f>
        <v>18.600000000000001</v>
      </c>
      <c r="T46" s="55">
        <f>装备能力拆分!E$21*F20</f>
        <v>0</v>
      </c>
      <c r="U46" s="55">
        <f>装备能力拆分!F$21*G20</f>
        <v>0</v>
      </c>
      <c r="X46" t="s">
        <v>229</v>
      </c>
      <c r="Y46" s="55">
        <f>装备能力拆分!C$21*D29</f>
        <v>272.75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229</v>
      </c>
      <c r="AF46" s="55">
        <f>装备能力拆分!C$21*D38</f>
        <v>163.65</v>
      </c>
      <c r="AG46" s="55">
        <f>装备能力拆分!D$21*E38</f>
        <v>0</v>
      </c>
      <c r="AH46" s="55">
        <f>装备能力拆分!E$21*F38</f>
        <v>37.200000000000003</v>
      </c>
      <c r="AI46" s="55">
        <f>装备能力拆分!F$21*G38</f>
        <v>0</v>
      </c>
    </row>
    <row r="47" spans="2:35">
      <c r="J47" t="s">
        <v>230</v>
      </c>
      <c r="K47" s="55">
        <f>装备能力拆分!C$21*D12</f>
        <v>54.550000000000004</v>
      </c>
      <c r="L47" s="55">
        <f>装备能力拆分!D$21*E12</f>
        <v>74.400000000000006</v>
      </c>
      <c r="M47" s="55">
        <f>装备能力拆分!E$21*F12</f>
        <v>0</v>
      </c>
      <c r="N47" s="55">
        <f>装备能力拆分!F$21*G12</f>
        <v>0</v>
      </c>
      <c r="O47" s="52"/>
      <c r="Q47" t="s">
        <v>230</v>
      </c>
      <c r="R47" s="55">
        <f>装备能力拆分!C$21*D21</f>
        <v>54.550000000000004</v>
      </c>
      <c r="S47" s="55">
        <f>装备能力拆分!D$21*E21</f>
        <v>0</v>
      </c>
      <c r="T47" s="55">
        <f>装备能力拆分!E$21*F21</f>
        <v>74.400000000000006</v>
      </c>
      <c r="U47" s="55">
        <f>装备能力拆分!F$21*G21</f>
        <v>0</v>
      </c>
      <c r="X47" t="s">
        <v>230</v>
      </c>
      <c r="Y47" s="55">
        <f>装备能力拆分!C$21*D30</f>
        <v>109.10000000000001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17.75</v>
      </c>
      <c r="AE47" t="s">
        <v>230</v>
      </c>
      <c r="AF47" s="55">
        <f>装备能力拆分!C$21*D39</f>
        <v>109.10000000000001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53.25</v>
      </c>
    </row>
    <row r="48" spans="2:35">
      <c r="J48" t="s">
        <v>238</v>
      </c>
      <c r="K48" s="55">
        <f>装备能力拆分!$H$5*装备能力拆分!C$20*D7</f>
        <v>0</v>
      </c>
      <c r="L48" s="55">
        <f>装备能力拆分!$H$5*装备能力拆分!D$20*E7</f>
        <v>280.44038399999999</v>
      </c>
      <c r="M48" s="55">
        <f>装备能力拆分!$H$5*装备能力拆分!E$20*F7</f>
        <v>140.220192</v>
      </c>
      <c r="N48" s="55">
        <f>装备能力拆分!$H$5*装备能力拆分!F$20*G7</f>
        <v>0</v>
      </c>
      <c r="O48" s="52"/>
      <c r="Q48" t="s">
        <v>238</v>
      </c>
      <c r="R48" s="55">
        <f>装备能力拆分!$H$5*装备能力拆分!C$20*D16</f>
        <v>0</v>
      </c>
      <c r="S48" s="55">
        <f>装备能力拆分!$H$5*装备能力拆分!D$20*E16</f>
        <v>140.220192</v>
      </c>
      <c r="T48" s="55">
        <f>装备能力拆分!$H$5*装备能力拆分!E$20*F16</f>
        <v>280.44038399999999</v>
      </c>
      <c r="U48" s="55">
        <f>装备能力拆分!$H$5*装备能力拆分!F$20*G16</f>
        <v>0</v>
      </c>
      <c r="X48" t="s">
        <v>238</v>
      </c>
      <c r="Y48" s="55">
        <f>装备能力拆分!$H$5*装备能力拆分!C$20*D25</f>
        <v>0</v>
      </c>
      <c r="Z48" s="55">
        <f>装备能力拆分!$H$5*装备能力拆分!D$20*E25</f>
        <v>192.80276400000002</v>
      </c>
      <c r="AA48" s="55">
        <f>装备能力拆分!$H$5*装备能力拆分!E$20*F25</f>
        <v>192.80276400000002</v>
      </c>
      <c r="AB48" s="55">
        <f>装备能力拆分!$H$5*装备能力拆分!F$20*G25</f>
        <v>0</v>
      </c>
      <c r="AE48" t="s">
        <v>238</v>
      </c>
      <c r="AF48" s="55">
        <f>装备能力拆分!$H$5*装备能力拆分!C$20*D34</f>
        <v>0</v>
      </c>
      <c r="AG48" s="55">
        <f>装备能力拆分!$H$5*装备能力拆分!D$20*E34</f>
        <v>210.330288</v>
      </c>
      <c r="AH48" s="55">
        <f>装备能力拆分!$H$5*装备能力拆分!E$20*F34</f>
        <v>210.330288</v>
      </c>
      <c r="AI48" s="55">
        <f>装备能力拆分!$H$5*装备能力拆分!F$20*G34</f>
        <v>0</v>
      </c>
    </row>
    <row r="49" spans="10:35">
      <c r="J49" t="s">
        <v>239</v>
      </c>
      <c r="K49" s="55">
        <f>装备能力拆分!$H$5*装备能力拆分!C$20*D8</f>
        <v>514.04647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239</v>
      </c>
      <c r="R49" s="55">
        <f>装备能力拆分!$H$5*装备能力拆分!C$20*D17</f>
        <v>514.04647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239</v>
      </c>
      <c r="Y49" s="55">
        <f>装备能力拆分!$H$5*装备能力拆分!C$20*D26</f>
        <v>822.47435200000007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239</v>
      </c>
      <c r="AF49" s="55">
        <f>装备能力拆分!$H$5*装备能力拆分!C$20*D35</f>
        <v>514.04647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240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133.81227999999999</v>
      </c>
      <c r="O50" s="52"/>
      <c r="Q50" t="s">
        <v>240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133.81227999999999</v>
      </c>
      <c r="X50" t="s">
        <v>240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200.71841999999998</v>
      </c>
      <c r="AE50" t="s">
        <v>240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167.26534999999998</v>
      </c>
    </row>
    <row r="51" spans="10:35">
      <c r="J51" t="s">
        <v>241</v>
      </c>
      <c r="K51" s="55">
        <f>装备能力拆分!$H$5*装备能力拆分!C$20*D10</f>
        <v>0</v>
      </c>
      <c r="L51" s="55">
        <f>装备能力拆分!$H$5*装备能力拆分!D$20*E10</f>
        <v>70.110095999999999</v>
      </c>
      <c r="M51" s="55">
        <f>装备能力拆分!$H$5*装备能力拆分!E$20*F10</f>
        <v>0</v>
      </c>
      <c r="N51" s="55">
        <f>装备能力拆分!$H$5*装备能力拆分!F$20*G10</f>
        <v>100.35920999999999</v>
      </c>
      <c r="O51" s="52"/>
      <c r="Q51" t="s">
        <v>241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70.110095999999999</v>
      </c>
      <c r="U51" s="55">
        <f>装备能力拆分!$H$5*装备能力拆分!F$20*G19</f>
        <v>100.35920999999999</v>
      </c>
      <c r="X51" t="s">
        <v>241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150.538815</v>
      </c>
      <c r="AE51" t="s">
        <v>241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100.35920999999999</v>
      </c>
    </row>
    <row r="52" spans="10:35">
      <c r="J52" t="s">
        <v>242</v>
      </c>
      <c r="K52" s="55">
        <f>装备能力拆分!$H$5*装备能力拆分!C$20*D11</f>
        <v>411.23717600000003</v>
      </c>
      <c r="L52" s="55">
        <f>装备能力拆分!$H$5*装备能力拆分!D$20*E11</f>
        <v>0</v>
      </c>
      <c r="M52" s="55">
        <f>装备能力拆分!$H$5*装备能力拆分!E$20*F11</f>
        <v>35.055047999999999</v>
      </c>
      <c r="N52" s="55">
        <f>装备能力拆分!$H$5*装备能力拆分!F$20*G11</f>
        <v>0</v>
      </c>
      <c r="O52" s="52"/>
      <c r="Q52" t="s">
        <v>242</v>
      </c>
      <c r="R52" s="55">
        <f>装备能力拆分!$H$5*装备能力拆分!C$20*D20</f>
        <v>411.23717600000003</v>
      </c>
      <c r="S52" s="55">
        <f>装备能力拆分!$H$5*装备能力拆分!D$20*E20</f>
        <v>35.055047999999999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242</v>
      </c>
      <c r="Y52" s="55">
        <f>装备能力拆分!$H$5*装备能力拆分!C$20*D29</f>
        <v>514.04647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242</v>
      </c>
      <c r="AF52" s="55">
        <f>装备能力拆分!$H$5*装备能力拆分!C$20*D38</f>
        <v>308.42788200000001</v>
      </c>
      <c r="AG52" s="55">
        <f>装备能力拆分!$H$5*装备能力拆分!D$20*E38</f>
        <v>0</v>
      </c>
      <c r="AH52" s="55">
        <f>装备能力拆分!$H$5*装备能力拆分!E$20*F38</f>
        <v>70.110095999999999</v>
      </c>
      <c r="AI52" s="55">
        <f>装备能力拆分!$H$5*装备能力拆分!F$20*G38</f>
        <v>0</v>
      </c>
    </row>
    <row r="53" spans="10:35">
      <c r="J53" t="s">
        <v>243</v>
      </c>
      <c r="K53" s="55">
        <f>装备能力拆分!$H$5*装备能力拆分!C$20*D12</f>
        <v>102.80929400000001</v>
      </c>
      <c r="L53" s="55">
        <f>装备能力拆分!$H$5*装备能力拆分!D$20*E12</f>
        <v>140.220192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243</v>
      </c>
      <c r="R53" s="55">
        <f>装备能力拆分!$H$5*装备能力拆分!C$20*D21</f>
        <v>102.80929400000001</v>
      </c>
      <c r="S53" s="55">
        <f>装备能力拆分!$H$5*装备能力拆分!D$20*E21</f>
        <v>0</v>
      </c>
      <c r="T53" s="55">
        <f>装备能力拆分!$H$5*装备能力拆分!E$20*F21</f>
        <v>140.220192</v>
      </c>
      <c r="U53" s="55">
        <f>装备能力拆分!$H$5*装备能力拆分!F$20*G21</f>
        <v>0</v>
      </c>
      <c r="X53" t="s">
        <v>243</v>
      </c>
      <c r="Y53" s="55">
        <f>装备能力拆分!$H$5*装备能力拆分!C$20*D30</f>
        <v>205.61858800000002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33.453069999999997</v>
      </c>
      <c r="AE53" t="s">
        <v>243</v>
      </c>
      <c r="AF53" s="55">
        <f>装备能力拆分!$H$5*装备能力拆分!C$20*D39</f>
        <v>205.61858800000002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100.35920999999999</v>
      </c>
    </row>
    <row r="54" spans="10:35">
      <c r="J54" t="s">
        <v>244</v>
      </c>
      <c r="K54" s="55">
        <f>装备能力拆分!$H$7*装备能力拆分!C$20*D7</f>
        <v>0</v>
      </c>
      <c r="L54" s="55">
        <f>装备能力拆分!$H$7*装备能力拆分!D$20*E7</f>
        <v>503.71099257600008</v>
      </c>
      <c r="M54" s="55">
        <f>装备能力拆分!$H$7*装备能力拆分!E$20*F7</f>
        <v>251.85549628800004</v>
      </c>
      <c r="N54" s="55">
        <f>装备能力拆分!$H$7*装备能力拆分!F$20*G7</f>
        <v>0</v>
      </c>
      <c r="O54" s="52"/>
      <c r="Q54" t="s">
        <v>244</v>
      </c>
      <c r="R54" s="55">
        <f>装备能力拆分!$H$7*装备能力拆分!C$20*D16</f>
        <v>0</v>
      </c>
      <c r="S54" s="55">
        <f>装备能力拆分!$H$7*装备能力拆分!D$20*E16</f>
        <v>251.85549628800004</v>
      </c>
      <c r="T54" s="55">
        <f>装备能力拆分!$H$7*装备能力拆分!E$20*F16</f>
        <v>503.71099257600008</v>
      </c>
      <c r="U54" s="55">
        <f>装备能力拆分!$H$7*装备能力拆分!F$20*G16</f>
        <v>0</v>
      </c>
      <c r="X54" t="s">
        <v>244</v>
      </c>
      <c r="Y54" s="55">
        <f>装备能力拆分!$H$7*装备能力拆分!C$20*D25</f>
        <v>0</v>
      </c>
      <c r="Z54" s="55">
        <f>装备能力拆分!$H$7*装备能力拆分!D$20*E25</f>
        <v>346.30130739600008</v>
      </c>
      <c r="AA54" s="55">
        <f>装备能力拆分!$H$7*装备能力拆分!E$20*F25</f>
        <v>346.30130739600008</v>
      </c>
      <c r="AB54" s="55">
        <f>装备能力拆分!$H$7*装备能力拆分!F$20*G25</f>
        <v>0</v>
      </c>
      <c r="AE54" t="s">
        <v>244</v>
      </c>
      <c r="AF54" s="55">
        <f>装备能力拆分!$H$7*装备能力拆分!C$20*D34</f>
        <v>0</v>
      </c>
      <c r="AG54" s="55">
        <f>装备能力拆分!$H$7*装备能力拆分!D$20*E34</f>
        <v>377.78324443200006</v>
      </c>
      <c r="AH54" s="55">
        <f>装备能力拆分!$H$7*装备能力拆分!E$20*F34</f>
        <v>377.78324443200006</v>
      </c>
      <c r="AI54" s="55">
        <f>装备能力拆分!$H$7*装备能力拆分!F$20*G34</f>
        <v>0</v>
      </c>
    </row>
    <row r="55" spans="10:35">
      <c r="J55" t="s">
        <v>245</v>
      </c>
      <c r="K55" s="55">
        <f>装备能力拆分!$H$7*装备能力拆分!C$20*D8</f>
        <v>923.30089533000012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245</v>
      </c>
      <c r="R55" s="55">
        <f>装备能力拆分!$H$7*装备能力拆分!C$20*D17</f>
        <v>923.30089533000012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245</v>
      </c>
      <c r="Y55" s="55">
        <f>装备能力拆分!$H$7*装备能力拆分!C$20*D26</f>
        <v>1477.2814325280003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245</v>
      </c>
      <c r="AF55" s="55">
        <f>装备能力拆分!$H$7*装备能力拆分!C$20*D35</f>
        <v>923.30089533000012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246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240.34597092000004</v>
      </c>
      <c r="O56" s="52"/>
      <c r="Q56" t="s">
        <v>246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240.34597092000004</v>
      </c>
      <c r="X56" t="s">
        <v>246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360.51895638000002</v>
      </c>
      <c r="AE56" t="s">
        <v>246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300.43246365000005</v>
      </c>
    </row>
    <row r="57" spans="10:35">
      <c r="J57" t="s">
        <v>247</v>
      </c>
      <c r="K57" s="55">
        <f>装备能力拆分!$H$7*装备能力拆分!C$20*D10</f>
        <v>0</v>
      </c>
      <c r="L57" s="55">
        <f>装备能力拆分!$H$7*装备能力拆分!D$20*E10</f>
        <v>125.92774814400002</v>
      </c>
      <c r="M57" s="55">
        <f>装备能力拆分!$H$7*装备能力拆分!E$20*F10</f>
        <v>0</v>
      </c>
      <c r="N57" s="55">
        <f>装备能力拆分!$H$7*装备能力拆分!F$20*G10</f>
        <v>180.25947819000001</v>
      </c>
      <c r="O57" s="52"/>
      <c r="Q57" t="s">
        <v>247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125.92774814400002</v>
      </c>
      <c r="U57" s="55">
        <f>装备能力拆分!$H$7*装备能力拆分!F$20*G19</f>
        <v>180.25947819000001</v>
      </c>
      <c r="X57" t="s">
        <v>247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270.38921728500003</v>
      </c>
      <c r="AE57" t="s">
        <v>247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180.25947819000001</v>
      </c>
    </row>
    <row r="58" spans="10:35">
      <c r="J58" t="s">
        <v>248</v>
      </c>
      <c r="K58" s="55">
        <f>装备能力拆分!$H$7*装备能力拆分!C$20*D11</f>
        <v>738.64071626400016</v>
      </c>
      <c r="L58" s="55">
        <f>装备能力拆分!$H$7*装备能力拆分!D$20*E11</f>
        <v>0</v>
      </c>
      <c r="M58" s="55">
        <f>装备能力拆分!$H$7*装备能力拆分!E$20*F11</f>
        <v>62.96387407200001</v>
      </c>
      <c r="N58" s="55">
        <f>装备能力拆分!$H$7*装备能力拆分!F$20*G11</f>
        <v>0</v>
      </c>
      <c r="O58" s="52"/>
      <c r="Q58" t="s">
        <v>248</v>
      </c>
      <c r="R58" s="55">
        <f>装备能力拆分!$H$7*装备能力拆分!C$20*D20</f>
        <v>738.64071626400016</v>
      </c>
      <c r="S58" s="55">
        <f>装备能力拆分!$H$7*装备能力拆分!D$20*E20</f>
        <v>62.96387407200001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248</v>
      </c>
      <c r="Y58" s="55">
        <f>装备能力拆分!$H$7*装备能力拆分!C$20*D29</f>
        <v>923.30089533000012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248</v>
      </c>
      <c r="AF58" s="55">
        <f>装备能力拆分!$H$7*装备能力拆分!C$20*D38</f>
        <v>553.98053719800009</v>
      </c>
      <c r="AG58" s="55">
        <f>装备能力拆分!$H$7*装备能力拆分!D$20*E38</f>
        <v>0</v>
      </c>
      <c r="AH58" s="55">
        <f>装备能力拆分!$H$7*装备能力拆分!E$20*F38</f>
        <v>125.92774814400002</v>
      </c>
      <c r="AI58" s="55">
        <f>装备能力拆分!$H$7*装备能力拆分!F$20*G38</f>
        <v>0</v>
      </c>
    </row>
    <row r="59" spans="10:35">
      <c r="J59" t="s">
        <v>249</v>
      </c>
      <c r="K59" s="55">
        <f>装备能力拆分!$H$7*装备能力拆分!C$20*D12</f>
        <v>184.66017906600004</v>
      </c>
      <c r="L59" s="55">
        <f>装备能力拆分!$H$7*装备能力拆分!D$20*E12</f>
        <v>251.85549628800004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249</v>
      </c>
      <c r="R59" s="55">
        <f>装备能力拆分!$H$7*装备能力拆分!C$20*D21</f>
        <v>184.66017906600004</v>
      </c>
      <c r="S59" s="55">
        <f>装备能力拆分!$H$7*装备能力拆分!D$20*E21</f>
        <v>0</v>
      </c>
      <c r="T59" s="55">
        <f>装备能力拆分!$H$7*装备能力拆分!E$20*F21</f>
        <v>251.85549628800004</v>
      </c>
      <c r="U59" s="55">
        <f>装备能力拆分!$H$7*装备能力拆分!F$20*G21</f>
        <v>0</v>
      </c>
      <c r="X59" t="s">
        <v>249</v>
      </c>
      <c r="Y59" s="55">
        <f>装备能力拆分!$H$7*装备能力拆分!C$20*D30</f>
        <v>369.32035813200008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60.08649273000001</v>
      </c>
      <c r="AE59" t="s">
        <v>249</v>
      </c>
      <c r="AF59" s="55">
        <f>装备能力拆分!$H$7*装备能力拆分!C$20*D39</f>
        <v>369.32035813200008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180.25947819000001</v>
      </c>
    </row>
    <row r="60" spans="10:35">
      <c r="J60" t="s">
        <v>250</v>
      </c>
      <c r="K60" s="55">
        <f>装备能力拆分!$H$9*装备能力拆分!C$20*D7</f>
        <v>0</v>
      </c>
      <c r="L60" s="55">
        <f>装备能力拆分!$H$9*装备能力拆分!D$20*E7</f>
        <v>1062.6343067271362</v>
      </c>
      <c r="M60" s="55">
        <f>装备能力拆分!$H$9*装备能力拆分!E$20*F7</f>
        <v>531.31715336356808</v>
      </c>
      <c r="N60" s="55">
        <f>装备能力拆分!$H$9*装备能力拆分!F$20*G7</f>
        <v>0</v>
      </c>
      <c r="O60" s="52"/>
      <c r="Q60" t="s">
        <v>250</v>
      </c>
      <c r="R60" s="55">
        <f>装备能力拆分!$H$9*装备能力拆分!C$20*D16</f>
        <v>0</v>
      </c>
      <c r="S60" s="55">
        <f>装备能力拆分!$H$9*装备能力拆分!D$20*E16</f>
        <v>531.31715336356808</v>
      </c>
      <c r="T60" s="55">
        <f>装备能力拆分!$H$9*装备能力拆分!E$20*F16</f>
        <v>1062.6343067271362</v>
      </c>
      <c r="U60" s="55">
        <f>装备能力拆分!$H$9*装备能力拆分!F$20*G16</f>
        <v>0</v>
      </c>
      <c r="X60" t="s">
        <v>250</v>
      </c>
      <c r="Y60" s="55">
        <f>装备能力拆分!$H$9*装备能力拆分!C$20*D25</f>
        <v>0</v>
      </c>
      <c r="Z60" s="55">
        <f>装备能力拆分!$H$9*装备能力拆分!D$20*E25</f>
        <v>730.56108587490621</v>
      </c>
      <c r="AA60" s="55">
        <f>装备能力拆分!$H$9*装备能力拆分!E$20*F25</f>
        <v>730.56108587490621</v>
      </c>
      <c r="AB60" s="55">
        <f>装备能力拆分!$H$9*装备能力拆分!F$20*G25</f>
        <v>0</v>
      </c>
      <c r="AE60" t="s">
        <v>250</v>
      </c>
      <c r="AF60" s="55">
        <f>装备能力拆分!$H$9*装备能力拆分!C$20*D34</f>
        <v>0</v>
      </c>
      <c r="AG60" s="55">
        <f>装备能力拆分!$H$9*装备能力拆分!D$20*E34</f>
        <v>796.97573004535218</v>
      </c>
      <c r="AH60" s="55">
        <f>装备能力拆分!$H$9*装备能力拆分!E$20*F34</f>
        <v>796.97573004535218</v>
      </c>
      <c r="AI60" s="55">
        <f>装备能力拆分!$H$9*装备能力拆分!F$20*G34</f>
        <v>0</v>
      </c>
    </row>
    <row r="61" spans="10:35">
      <c r="J61" t="s">
        <v>251</v>
      </c>
      <c r="K61" s="55">
        <f>装备能力拆分!$H$9*装备能力拆分!C$20*D8</f>
        <v>1947.8058276870054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251</v>
      </c>
      <c r="R61" s="55">
        <f>装备能力拆分!$H$9*装备能力拆分!C$20*D17</f>
        <v>1947.8058276870054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251</v>
      </c>
      <c r="Y61" s="55">
        <f>装备能力拆分!$H$9*装备能力拆分!C$20*D26</f>
        <v>3116.4893242992089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251</v>
      </c>
      <c r="AF61" s="55">
        <f>装备能力拆分!$H$9*装备能力拆分!C$20*D35</f>
        <v>1947.8058276870054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252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507.03653076362008</v>
      </c>
      <c r="O62" s="52"/>
      <c r="Q62" t="s">
        <v>252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507.03653076362008</v>
      </c>
      <c r="X62" t="s">
        <v>252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760.55479614543003</v>
      </c>
      <c r="AE62" t="s">
        <v>252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633.79566345452508</v>
      </c>
    </row>
    <row r="63" spans="10:35">
      <c r="J63" t="s">
        <v>253</v>
      </c>
      <c r="K63" s="55">
        <f>装备能力拆分!$H$9*装备能力拆分!C$20*D10</f>
        <v>0</v>
      </c>
      <c r="L63" s="55">
        <f>装备能力拆分!$H$9*装备能力拆分!D$20*E10</f>
        <v>265.65857668178404</v>
      </c>
      <c r="M63" s="55">
        <f>装备能力拆分!$H$9*装备能力拆分!E$20*F10</f>
        <v>0</v>
      </c>
      <c r="N63" s="55">
        <f>装备能力拆分!$H$9*装备能力拆分!F$20*G10</f>
        <v>380.27739807271502</v>
      </c>
      <c r="O63" s="52"/>
      <c r="Q63" t="s">
        <v>253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265.65857668178404</v>
      </c>
      <c r="U63" s="55">
        <f>装备能力拆分!$H$9*装备能力拆分!F$20*G19</f>
        <v>380.27739807271502</v>
      </c>
      <c r="X63" t="s">
        <v>253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570.41609710907255</v>
      </c>
      <c r="AE63" t="s">
        <v>253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380.27739807271502</v>
      </c>
    </row>
    <row r="64" spans="10:35">
      <c r="J64" t="s">
        <v>254</v>
      </c>
      <c r="K64" s="55">
        <f>装备能力拆分!$H$9*装备能力拆分!C$20*D11</f>
        <v>1558.2446621496044</v>
      </c>
      <c r="L64" s="55">
        <f>装备能力拆分!$H$9*装备能力拆分!D$20*E11</f>
        <v>0</v>
      </c>
      <c r="M64" s="55">
        <f>装备能力拆分!$H$9*装备能力拆分!E$20*F11</f>
        <v>132.82928834089202</v>
      </c>
      <c r="N64" s="55">
        <f>装备能力拆分!$H$9*装备能力拆分!F$20*G11</f>
        <v>0</v>
      </c>
      <c r="O64" s="52"/>
      <c r="Q64" t="s">
        <v>254</v>
      </c>
      <c r="R64" s="55">
        <f>装备能力拆分!$H$9*装备能力拆分!C$20*D20</f>
        <v>1558.2446621496044</v>
      </c>
      <c r="S64" s="55">
        <f>装备能力拆分!$H$9*装备能力拆分!D$20*E20</f>
        <v>132.82928834089202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254</v>
      </c>
      <c r="Y64" s="55">
        <f>装备能力拆分!$H$9*装备能力拆分!C$20*D29</f>
        <v>1947.8058276870054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254</v>
      </c>
      <c r="AF64" s="55">
        <f>装备能力拆分!$H$9*装备能力拆分!C$20*D38</f>
        <v>1168.6834966122033</v>
      </c>
      <c r="AG64" s="55">
        <f>装备能力拆分!$H$9*装备能力拆分!D$20*E38</f>
        <v>0</v>
      </c>
      <c r="AH64" s="55">
        <f>装备能力拆分!$H$9*装备能力拆分!E$20*F38</f>
        <v>265.65857668178404</v>
      </c>
      <c r="AI64" s="55">
        <f>装备能力拆分!$H$9*装备能力拆分!F$20*G38</f>
        <v>0</v>
      </c>
    </row>
    <row r="65" spans="1:35">
      <c r="J65" t="s">
        <v>255</v>
      </c>
      <c r="K65" s="55">
        <f>装备能力拆分!$H$9*装备能力拆分!C$20*D12</f>
        <v>389.56116553740111</v>
      </c>
      <c r="L65" s="55">
        <f>装备能力拆分!$H$9*装备能力拆分!D$20*E12</f>
        <v>531.31715336356808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255</v>
      </c>
      <c r="R65" s="55">
        <f>装备能力拆分!$H$9*装备能力拆分!C$20*D21</f>
        <v>389.56116553740111</v>
      </c>
      <c r="S65" s="55">
        <f>装备能力拆分!$H$9*装备能力拆分!D$20*E21</f>
        <v>0</v>
      </c>
      <c r="T65" s="55">
        <f>装备能力拆分!$H$9*装备能力拆分!E$20*F21</f>
        <v>531.31715336356808</v>
      </c>
      <c r="U65" s="55">
        <f>装备能力拆分!$H$9*装备能力拆分!F$20*G21</f>
        <v>0</v>
      </c>
      <c r="X65" t="s">
        <v>255</v>
      </c>
      <c r="Y65" s="55">
        <f>装备能力拆分!$H$9*装备能力拆分!C$20*D30</f>
        <v>779.12233107480222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126.75913269090502</v>
      </c>
      <c r="AE65" t="s">
        <v>255</v>
      </c>
      <c r="AF65" s="55">
        <f>装备能力拆分!$H$9*装备能力拆分!C$20*D39</f>
        <v>779.12233107480222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380.27739807271502</v>
      </c>
    </row>
    <row r="66" spans="1:35">
      <c r="J66" t="s">
        <v>256</v>
      </c>
      <c r="K66" s="55">
        <f>装备能力拆分!$H$12*装备能力拆分!C$20*D7</f>
        <v>0</v>
      </c>
      <c r="L66" s="55">
        <f>装备能力拆分!$H$12*装备能力拆分!D$20*E7</f>
        <v>2135.396335808387</v>
      </c>
      <c r="M66" s="55">
        <f>装备能力拆分!$H$12*装备能力拆分!E$20*F7</f>
        <v>1067.6981679041935</v>
      </c>
      <c r="N66" s="55">
        <f>装备能力拆分!$H$12*装备能力拆分!F$20*G7</f>
        <v>0</v>
      </c>
      <c r="O66" s="52"/>
      <c r="Q66" t="s">
        <v>256</v>
      </c>
      <c r="R66" s="55">
        <f>装备能力拆分!$H$12*装备能力拆分!C$20*D16</f>
        <v>0</v>
      </c>
      <c r="S66" s="55">
        <f>装备能力拆分!$H$12*装备能力拆分!D$20*E16</f>
        <v>1067.6981679041935</v>
      </c>
      <c r="T66" s="55">
        <f>装备能力拆分!$H$12*装备能力拆分!E$20*F16</f>
        <v>2135.396335808387</v>
      </c>
      <c r="U66" s="55">
        <f>装备能力拆分!$H$12*装备能力拆分!F$20*G16</f>
        <v>0</v>
      </c>
      <c r="X66" t="s">
        <v>256</v>
      </c>
      <c r="Y66" s="55">
        <f>装备能力拆分!$H$12*装备能力拆分!C$20*D25</f>
        <v>0</v>
      </c>
      <c r="Z66" s="55">
        <f>装备能力拆分!$H$12*装备能力拆分!D$20*E25</f>
        <v>1468.084980868266</v>
      </c>
      <c r="AA66" s="55">
        <f>装备能力拆分!$H$12*装备能力拆分!E$20*F25</f>
        <v>1468.084980868266</v>
      </c>
      <c r="AB66" s="55">
        <f>装备能力拆分!$H$12*装备能力拆分!F$20*G25</f>
        <v>0</v>
      </c>
      <c r="AE66" t="s">
        <v>256</v>
      </c>
      <c r="AF66" s="55">
        <f>装备能力拆分!$H$12*装备能力拆分!C$20*D34</f>
        <v>0</v>
      </c>
      <c r="AG66" s="55">
        <f>装备能力拆分!$H$12*装备能力拆分!D$20*E34</f>
        <v>1601.5472518562899</v>
      </c>
      <c r="AH66" s="55">
        <f>装备能力拆分!$H$12*装备能力拆分!E$20*F34</f>
        <v>1601.5472518562899</v>
      </c>
      <c r="AI66" s="55">
        <f>装备能力拆分!$H$12*装备能力拆分!F$20*G34</f>
        <v>0</v>
      </c>
    </row>
    <row r="67" spans="1:35">
      <c r="J67" t="s">
        <v>257</v>
      </c>
      <c r="K67" s="55">
        <f>装备能力拆分!$H$12*装备能力拆分!C$20*D8</f>
        <v>3914.1757432240424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257</v>
      </c>
      <c r="R67" s="55">
        <f>装备能力拆分!$H$12*装备能力拆分!C$20*D17</f>
        <v>3914.1757432240424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257</v>
      </c>
      <c r="Y67" s="55">
        <f>装备能力拆分!$H$12*装备能力拆分!C$20*D26</f>
        <v>6262.6811891584684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257</v>
      </c>
      <c r="AF67" s="55">
        <f>装备能力拆分!$H$12*装备能力拆分!C$20*D35</f>
        <v>3914.1757432240424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258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1018.905509693518</v>
      </c>
      <c r="O68" s="52"/>
      <c r="Q68" t="s">
        <v>258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1018.905509693518</v>
      </c>
      <c r="X68" t="s">
        <v>258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1528.3582645402769</v>
      </c>
      <c r="AE68" t="s">
        <v>258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1273.6318871168974</v>
      </c>
    </row>
    <row r="69" spans="1:35">
      <c r="J69" t="s">
        <v>259</v>
      </c>
      <c r="K69" s="55">
        <f>装备能力拆分!$H$12*装备能力拆分!C$20*D10</f>
        <v>0</v>
      </c>
      <c r="L69" s="55">
        <f>装备能力拆分!$H$12*装备能力拆分!D$20*E10</f>
        <v>533.84908395209675</v>
      </c>
      <c r="M69" s="55">
        <f>装备能力拆分!$H$12*装备能力拆分!E$20*F10</f>
        <v>0</v>
      </c>
      <c r="N69" s="55">
        <f>装备能力拆分!$H$12*装备能力拆分!F$20*G10</f>
        <v>764.17913227013844</v>
      </c>
      <c r="O69" s="52"/>
      <c r="Q69" t="s">
        <v>259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533.84908395209675</v>
      </c>
      <c r="U69" s="55">
        <f>装备能力拆分!$H$12*装备能力拆分!F$20*G19</f>
        <v>764.17913227013844</v>
      </c>
      <c r="X69" t="s">
        <v>259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1146.2686984052077</v>
      </c>
      <c r="AE69" t="s">
        <v>259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764.17913227013844</v>
      </c>
    </row>
    <row r="70" spans="1:35">
      <c r="J70" t="s">
        <v>260</v>
      </c>
      <c r="K70" s="55">
        <f>装备能力拆分!$H$12*装备能力拆分!C$20*D11</f>
        <v>3131.3405945792342</v>
      </c>
      <c r="L70" s="55">
        <f>装备能力拆分!$H$12*装备能力拆分!D$20*E11</f>
        <v>0</v>
      </c>
      <c r="M70" s="55">
        <f>装备能力拆分!$H$12*装备能力拆分!E$20*F11</f>
        <v>266.92454197604837</v>
      </c>
      <c r="N70" s="55">
        <f>装备能力拆分!$H$12*装备能力拆分!F$20*G11</f>
        <v>0</v>
      </c>
      <c r="O70" s="52"/>
      <c r="Q70" t="s">
        <v>260</v>
      </c>
      <c r="R70" s="55">
        <f>装备能力拆分!$H$12*装备能力拆分!C$20*D20</f>
        <v>3131.3405945792342</v>
      </c>
      <c r="S70" s="55">
        <f>装备能力拆分!$H$12*装备能力拆分!D$20*E20</f>
        <v>266.92454197604837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260</v>
      </c>
      <c r="Y70" s="55">
        <f>装备能力拆分!$H$12*装备能力拆分!C$20*D29</f>
        <v>3914.1757432240424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260</v>
      </c>
      <c r="AF70" s="55">
        <f>装备能力拆分!$H$12*装备能力拆分!C$20*D38</f>
        <v>2348.5054459344256</v>
      </c>
      <c r="AG70" s="55">
        <f>装备能力拆分!$H$12*装备能力拆分!D$20*E38</f>
        <v>0</v>
      </c>
      <c r="AH70" s="55">
        <f>装备能力拆分!$H$12*装备能力拆分!E$20*F38</f>
        <v>533.84908395209675</v>
      </c>
      <c r="AI70" s="55">
        <f>装备能力拆分!$H$12*装备能力拆分!F$20*G38</f>
        <v>0</v>
      </c>
    </row>
    <row r="71" spans="1:35">
      <c r="J71" t="s">
        <v>261</v>
      </c>
      <c r="K71" s="55">
        <f>装备能力拆分!$H$12*装备能力拆分!C$20*D12</f>
        <v>782.83514864480856</v>
      </c>
      <c r="L71" s="55">
        <f>装备能力拆分!$H$12*装备能力拆分!D$20*E12</f>
        <v>1067.6981679041935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261</v>
      </c>
      <c r="R71" s="55">
        <f>装备能力拆分!$H$12*装备能力拆分!C$20*D21</f>
        <v>782.83514864480856</v>
      </c>
      <c r="S71" s="55">
        <f>装备能力拆分!$H$12*装备能力拆分!D$20*E21</f>
        <v>0</v>
      </c>
      <c r="T71" s="55">
        <f>装备能力拆分!$H$12*装备能力拆分!E$20*F21</f>
        <v>1067.6981679041935</v>
      </c>
      <c r="U71" s="55">
        <f>装备能力拆分!$H$12*装备能力拆分!F$20*G21</f>
        <v>0</v>
      </c>
      <c r="X71" t="s">
        <v>261</v>
      </c>
      <c r="Y71" s="55">
        <f>装备能力拆分!$H$12*装备能力拆分!C$20*D30</f>
        <v>1565.6702972896171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254.72637742337949</v>
      </c>
      <c r="AE71" t="s">
        <v>261</v>
      </c>
      <c r="AF71" s="55">
        <f>装备能力拆分!$H$12*装备能力拆分!C$20*D39</f>
        <v>1565.6702972896171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764.17913227013844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292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293</v>
      </c>
      <c r="B74" t="s">
        <v>294</v>
      </c>
      <c r="D74" t="s">
        <v>295</v>
      </c>
      <c r="E74" t="s">
        <v>296</v>
      </c>
      <c r="F74" t="s">
        <v>297</v>
      </c>
      <c r="H74" t="s">
        <v>298</v>
      </c>
      <c r="J74" t="s">
        <v>299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284</v>
      </c>
      <c r="C75" t="s">
        <v>285</v>
      </c>
      <c r="D75" t="s">
        <v>283</v>
      </c>
      <c r="E75" t="s">
        <v>279</v>
      </c>
      <c r="F75" t="s">
        <v>284</v>
      </c>
      <c r="G75" t="s">
        <v>279</v>
      </c>
      <c r="H75" t="s">
        <v>283</v>
      </c>
      <c r="I75" t="s">
        <v>285</v>
      </c>
      <c r="J75" t="s">
        <v>283</v>
      </c>
      <c r="K75" s="52" t="s">
        <v>284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301</v>
      </c>
      <c r="B76" s="52">
        <f>L42</f>
        <v>148.80000000000001</v>
      </c>
      <c r="C76" s="52">
        <f>M42</f>
        <v>74.400000000000006</v>
      </c>
      <c r="D76" s="52">
        <f>K43</f>
        <v>272.75</v>
      </c>
      <c r="E76" s="52">
        <f>N44</f>
        <v>71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161</v>
      </c>
      <c r="C77">
        <f>$L$3*$A77+C76</f>
        <v>87.288888888888891</v>
      </c>
      <c r="D77">
        <f>$D76+$K$4*$A77</f>
        <v>296.30555555555554</v>
      </c>
      <c r="E77">
        <f>$E$76+$N$5*$A77</f>
        <v>77.13333333333334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186.77777777777777</v>
      </c>
      <c r="C78">
        <f t="shared" ref="C78:C85" si="1">$L$3*$A78+C77</f>
        <v>113.06666666666666</v>
      </c>
      <c r="D78">
        <f t="shared" ref="D78:D85" si="2">$D77+$K$4*$A78</f>
        <v>343.41666666666663</v>
      </c>
      <c r="E78">
        <f t="shared" ref="E78:E85" si="3">$E$76+$N$5*$A78</f>
        <v>83.266666666666666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225.44444444444446</v>
      </c>
      <c r="C79">
        <f t="shared" si="1"/>
        <v>151.73333333333335</v>
      </c>
      <c r="D79">
        <f t="shared" si="2"/>
        <v>414.08333333333331</v>
      </c>
      <c r="E79">
        <f t="shared" si="3"/>
        <v>89.4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277</v>
      </c>
      <c r="C80">
        <f t="shared" si="1"/>
        <v>203.28888888888889</v>
      </c>
      <c r="D80">
        <f t="shared" si="2"/>
        <v>508.30555555555554</v>
      </c>
      <c r="E80">
        <f t="shared" si="3"/>
        <v>95.533333333333331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341.44444444444446</v>
      </c>
      <c r="C81">
        <f t="shared" si="1"/>
        <v>267.73333333333335</v>
      </c>
      <c r="D81">
        <f t="shared" si="2"/>
        <v>626.08333333333337</v>
      </c>
      <c r="E81">
        <f t="shared" si="3"/>
        <v>101.66666666666667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418.77777777777783</v>
      </c>
      <c r="C82">
        <f t="shared" si="1"/>
        <v>345.06666666666672</v>
      </c>
      <c r="D82">
        <f t="shared" si="2"/>
        <v>767.41666666666674</v>
      </c>
      <c r="E82">
        <f t="shared" si="3"/>
        <v>107.80000000000001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509.00000000000006</v>
      </c>
      <c r="C83">
        <f t="shared" si="1"/>
        <v>435.28888888888895</v>
      </c>
      <c r="D83">
        <f t="shared" si="2"/>
        <v>932.30555555555566</v>
      </c>
      <c r="E83">
        <f t="shared" si="3"/>
        <v>113.93333333333334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612.1111111111112</v>
      </c>
      <c r="C84">
        <f t="shared" si="1"/>
        <v>538.40000000000009</v>
      </c>
      <c r="D84">
        <f t="shared" si="2"/>
        <v>1120.75</v>
      </c>
      <c r="E84">
        <f t="shared" si="3"/>
        <v>120.06666666666666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728.1111111111112</v>
      </c>
      <c r="C85">
        <f t="shared" si="1"/>
        <v>654.40000000000009</v>
      </c>
      <c r="D85">
        <f t="shared" si="2"/>
        <v>1332.75</v>
      </c>
      <c r="E85">
        <f t="shared" si="3"/>
        <v>126.2</v>
      </c>
    </row>
    <row r="86" spans="1:28">
      <c r="A86" t="s">
        <v>300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302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303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290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291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G40" sqref="G40"/>
    </sheetView>
  </sheetViews>
  <sheetFormatPr defaultRowHeight="13.5"/>
  <sheetData>
    <row r="1" spans="1:19">
      <c r="J1" t="s">
        <v>313</v>
      </c>
    </row>
    <row r="2" spans="1:19">
      <c r="B2" t="s">
        <v>265</v>
      </c>
      <c r="I2" t="s">
        <v>356</v>
      </c>
      <c r="K2" t="s">
        <v>357</v>
      </c>
    </row>
    <row r="3" spans="1:19">
      <c r="H3" t="s">
        <v>355</v>
      </c>
      <c r="I3" s="1">
        <v>0.36</v>
      </c>
      <c r="K3" s="1">
        <v>0.64</v>
      </c>
    </row>
    <row r="4" spans="1:19">
      <c r="B4" t="s">
        <v>307</v>
      </c>
      <c r="H4" t="s">
        <v>358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359</v>
      </c>
    </row>
    <row r="8" spans="1:19">
      <c r="B8">
        <v>20</v>
      </c>
      <c r="C8" t="s">
        <v>269</v>
      </c>
      <c r="K8" t="s">
        <v>353</v>
      </c>
    </row>
    <row r="9" spans="1:19">
      <c r="B9">
        <v>40</v>
      </c>
      <c r="C9" t="s">
        <v>270</v>
      </c>
      <c r="L9" t="s">
        <v>305</v>
      </c>
      <c r="M9" t="s">
        <v>308</v>
      </c>
      <c r="N9" t="s">
        <v>309</v>
      </c>
      <c r="O9" t="s">
        <v>310</v>
      </c>
      <c r="P9" t="s">
        <v>311</v>
      </c>
      <c r="Q9" t="s">
        <v>312</v>
      </c>
      <c r="R9" t="s">
        <v>322</v>
      </c>
      <c r="S9" t="s">
        <v>351</v>
      </c>
    </row>
    <row r="10" spans="1:19">
      <c r="B10">
        <v>60</v>
      </c>
      <c r="C10" t="s">
        <v>274</v>
      </c>
    </row>
    <row r="11" spans="1:19">
      <c r="B11">
        <v>100</v>
      </c>
      <c r="C11" t="s">
        <v>275</v>
      </c>
      <c r="K11" t="s">
        <v>315</v>
      </c>
      <c r="L11">
        <v>400</v>
      </c>
      <c r="M11">
        <v>2000</v>
      </c>
      <c r="R11">
        <v>900</v>
      </c>
    </row>
    <row r="12" spans="1:19">
      <c r="K12" t="s">
        <v>352</v>
      </c>
    </row>
    <row r="13" spans="1:19">
      <c r="A13" t="s">
        <v>304</v>
      </c>
      <c r="L13" s="1">
        <v>0.2</v>
      </c>
      <c r="O13" t="s">
        <v>319</v>
      </c>
      <c r="P13" t="s">
        <v>319</v>
      </c>
      <c r="Q13" t="s">
        <v>319</v>
      </c>
    </row>
    <row r="14" spans="1:19">
      <c r="L14" t="s">
        <v>347</v>
      </c>
    </row>
    <row r="15" spans="1:19">
      <c r="A15" t="s">
        <v>306</v>
      </c>
      <c r="B15">
        <v>20</v>
      </c>
      <c r="K15" t="s">
        <v>316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348</v>
      </c>
      <c r="O16">
        <v>1</v>
      </c>
      <c r="P16">
        <v>1</v>
      </c>
      <c r="Q16">
        <v>1</v>
      </c>
    </row>
    <row r="17" spans="1:21">
      <c r="B17">
        <v>60</v>
      </c>
      <c r="K17" t="s">
        <v>349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321</v>
      </c>
    </row>
    <row r="20" spans="1:21">
      <c r="B20">
        <v>100</v>
      </c>
      <c r="K20" t="s">
        <v>350</v>
      </c>
    </row>
    <row r="21" spans="1:21">
      <c r="A21" t="s">
        <v>276</v>
      </c>
      <c r="L21" t="s">
        <v>346</v>
      </c>
    </row>
    <row r="22" spans="1:21">
      <c r="B22" t="s">
        <v>280</v>
      </c>
      <c r="K22" t="s">
        <v>320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286" sqref="P286"/>
    </sheetView>
  </sheetViews>
  <sheetFormatPr defaultRowHeight="13.5"/>
  <sheetData>
    <row r="1" spans="1:10">
      <c r="A1" t="s">
        <v>234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363</v>
      </c>
      <c r="I1" t="s">
        <v>363</v>
      </c>
      <c r="J1" t="s">
        <v>363</v>
      </c>
    </row>
    <row r="2" spans="1:10">
      <c r="A2" t="s">
        <v>235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364</v>
      </c>
      <c r="H2" t="s">
        <v>365</v>
      </c>
      <c r="I2" t="s">
        <v>366</v>
      </c>
      <c r="J2" t="s">
        <v>367</v>
      </c>
    </row>
    <row r="3" spans="1:10">
      <c r="A3" t="s">
        <v>236</v>
      </c>
      <c r="B3" t="s">
        <v>70</v>
      </c>
      <c r="C3" t="s">
        <v>71</v>
      </c>
      <c r="D3" t="s">
        <v>72</v>
      </c>
      <c r="E3" t="s">
        <v>223</v>
      </c>
      <c r="F3" t="s">
        <v>69</v>
      </c>
      <c r="G3" t="s">
        <v>368</v>
      </c>
      <c r="H3" t="s">
        <v>369</v>
      </c>
      <c r="I3" t="s">
        <v>370</v>
      </c>
      <c r="J3" t="s">
        <v>371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f>宝石属性!C23</f>
        <v>31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f>宝石属性!C24</f>
        <v>62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f>宝石属性!C25</f>
        <v>114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f>宝石属性!C26</f>
        <v>195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f>宝石属性!C27</f>
        <v>309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f>宝石属性!C28</f>
        <v>522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f>宝石属性!E23</f>
        <v>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f>宝石属性!E24</f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f>宝石属性!E25</f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f>宝石属性!E26</f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f>宝石属性!E27</f>
        <v>60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f>宝石属性!E28</f>
        <v>101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f>宝石属性!D23</f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f>宝石属性!D24</f>
        <v>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f>宝石属性!D25</f>
        <v>22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f>宝石属性!D26</f>
        <v>37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f>宝石属性!D27</f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f>宝石属性!D28</f>
        <v>101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f>宝石属性!F23</f>
        <v>5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f>宝石属性!F24</f>
        <v>10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f>宝石属性!F25</f>
        <v>20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f>宝石属性!F26</f>
        <v>34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f>宝石属性!F27</f>
        <v>54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f>宝石属性!F28</f>
        <v>91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f>宝石属性!G23</f>
        <v>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f>宝石属性!G24</f>
        <v>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f>宝石属性!G25</f>
        <v>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f>宝石属性!G26</f>
        <v>12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f>宝石属性!G27</f>
        <v>15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f>宝石属性!G28</f>
        <v>20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f>宝石属性!J23*0.01</f>
        <v>0.05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f>宝石属性!J24*0.01</f>
        <v>0.06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f>宝石属性!J25*0.01</f>
        <v>7.0000000000000007E-2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f>宝石属性!J26*0.01</f>
        <v>0.08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f>宝石属性!J27*0.01</f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f>宝石属性!J28*0.01</f>
        <v>0.12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f>宝石属性!H23*0.01</f>
        <v>0.05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f>宝石属性!H24*0.01</f>
        <v>0.06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f>宝石属性!H25*0.01</f>
        <v>0.08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f>宝石属性!H26*0.01</f>
        <v>0.1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宝石属性!H27*0.01</f>
        <v>0.12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f>宝石属性!H28*0.01</f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f>宝石属性!K23</f>
        <v>5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f>宝石属性!K24</f>
        <v>6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f>宝石属性!K25</f>
        <v>8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f>宝石属性!K26</f>
        <v>10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f>宝石属性!K27</f>
        <v>12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f>宝石属性!K28</f>
        <v>15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>宝石属性!I23*0.01</f>
        <v>0.06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>宝石属性!I24*0.01</f>
        <v>0.09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>宝石属性!I25*0.01</f>
        <v>0.13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>宝石属性!I26*0.01</f>
        <v>0.19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>宝石属性!I27*0.01</f>
        <v>0.26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>宝石属性!I28*0.01</f>
        <v>0.34</v>
      </c>
    </row>
    <row r="76" spans="1:10">
      <c r="A76">
        <v>101</v>
      </c>
      <c r="B76">
        <f>装备拆分数值生成!Z3</f>
        <v>8.8611111111111125</v>
      </c>
      <c r="C76">
        <f>装备拆分数值生成!AA3</f>
        <v>8.8611111111111125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装备拆分数值生成!Z11</f>
        <v>13.566666666666668</v>
      </c>
      <c r="C77">
        <f>装备拆分数值生成!AA11</f>
        <v>13.566666666666668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装备拆分数值生成!Z19</f>
        <v>21.266666666666666</v>
      </c>
      <c r="C78">
        <f>装备拆分数值生成!AA19</f>
        <v>21.266666666666666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装备拆分数值生成!Z27</f>
        <v>53.655555555555559</v>
      </c>
      <c r="C79">
        <f>装备拆分数值生成!AA27</f>
        <v>53.655555555555559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装备拆分数值生成!Z35</f>
        <v>117.15</v>
      </c>
      <c r="C80">
        <f>装备拆分数值生成!AA35</f>
        <v>117.15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装备拆分数值生成!Y4</f>
        <v>37.68888888888889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装备拆分数值生成!Y12</f>
        <v>57.866666666666667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装备拆分数值生成!Y20</f>
        <v>90.666666666666671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装备拆分数值生成!Y28</f>
        <v>228.8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装备拆分数值生成!Y36</f>
        <v>499.82222222222231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装备拆分数值生成!AB5</f>
        <v>9.1999999999999993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装备拆分数值生成!AB13</f>
        <v>14.133333333333335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装备拆分数值生成!AB21</f>
        <v>22.133333333333329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装备拆分数值生成!AB29</f>
        <v>55.866666666666667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装备拆分数值生成!AB37</f>
        <v>122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装备拆分数值生成!AB6</f>
        <v>6.9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装备拆分数值生成!AB14</f>
        <v>10.600000000000001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装备拆分数值生成!AB22</f>
        <v>16.599999999999998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装备拆分数值生成!AB30</f>
        <v>41.900000000000006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装备拆分数值生成!AB38</f>
        <v>91.5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装备拆分数值生成!Y7</f>
        <v>23.555555555555557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装备拆分数值生成!Y15</f>
        <v>36.166666666666664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装备拆分数值生成!Y23</f>
        <v>56.666666666666664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143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装备拆分数值生成!Y39</f>
        <v>312.38888888888891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装备拆分数值生成!AB8</f>
        <v>1.5333333333333334</v>
      </c>
      <c r="F106">
        <f>装备拆分数值生成!Y8</f>
        <v>9.4222222222222225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装备拆分数值生成!AB16</f>
        <v>2.3555555555555556</v>
      </c>
      <c r="F107">
        <f>装备拆分数值生成!Y16</f>
        <v>14.466666666666667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装备拆分数值生成!AB24</f>
        <v>3.6888888888888887</v>
      </c>
      <c r="F108">
        <f>装备拆分数值生成!Y24</f>
        <v>22.666666666666668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装备拆分数值生成!AB32</f>
        <v>9.3111111111111118</v>
      </c>
      <c r="F109">
        <f>装备拆分数值生成!Y32</f>
        <v>57.2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装备拆分数值生成!AB40</f>
        <v>20.333333333333336</v>
      </c>
      <c r="F110">
        <f>装备拆分数值生成!Y40</f>
        <v>124.95555555555558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装备拆分数值生成!L3</f>
        <v>12.888888888888889</v>
      </c>
      <c r="C112">
        <f>装备拆分数值生成!M3</f>
        <v>6.4444444444444446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装备拆分数值生成!L11</f>
        <v>19.733333333333334</v>
      </c>
      <c r="C113">
        <f>装备拆分数值生成!M11</f>
        <v>9.8666666666666671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装备拆分数值生成!L19</f>
        <v>30.933333333333334</v>
      </c>
      <c r="C114">
        <f>装备拆分数值生成!M19</f>
        <v>15.466666666666667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装备拆分数值生成!L27</f>
        <v>78.044444444444451</v>
      </c>
      <c r="C115">
        <f>装备拆分数值生成!M27</f>
        <v>39.022222222222226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装备拆分数值生成!L35</f>
        <v>170.4</v>
      </c>
      <c r="C116">
        <f>装备拆分数值生成!M35</f>
        <v>85.2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f>装备拆分数值生成!K4</f>
        <v>23.555555555555557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f>装备拆分数值生成!K12</f>
        <v>36.166666666666664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f>装备拆分数值生成!K20</f>
        <v>56.666666666666664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f>装备拆分数值生成!K28</f>
        <v>143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f>装备拆分数值生成!K36</f>
        <v>312.38888888888891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装备拆分数值生成!N5</f>
        <v>6.1333333333333337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装备拆分数值生成!N13</f>
        <v>9.4222222222222225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装备拆分数值生成!N21</f>
        <v>14.755555555555555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装备拆分数值生成!N29</f>
        <v>37.244444444444447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装备拆分数值生成!N37</f>
        <v>81.333333333333343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装备拆分数值生成!L6</f>
        <v>3.2222222222222223</v>
      </c>
      <c r="C130">
        <v>0</v>
      </c>
      <c r="D130">
        <v>0</v>
      </c>
      <c r="E130">
        <f>装备拆分数值生成!N6</f>
        <v>4.5999999999999996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装备拆分数值生成!L14</f>
        <v>4.9333333333333336</v>
      </c>
      <c r="C131">
        <v>0</v>
      </c>
      <c r="D131">
        <v>0</v>
      </c>
      <c r="E131">
        <f>装备拆分数值生成!N14</f>
        <v>7.0666666666666673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装备拆分数值生成!L22</f>
        <v>7.7333333333333334</v>
      </c>
      <c r="C132">
        <v>0</v>
      </c>
      <c r="D132">
        <v>0</v>
      </c>
      <c r="E132">
        <f>装备拆分数值生成!N22</f>
        <v>11.066666666666665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装备拆分数值生成!L30</f>
        <v>19.511111111111113</v>
      </c>
      <c r="C133">
        <v>0</v>
      </c>
      <c r="D133">
        <v>0</v>
      </c>
      <c r="E133">
        <f>装备拆分数值生成!N30</f>
        <v>27.933333333333334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装备拆分数值生成!L38</f>
        <v>42.6</v>
      </c>
      <c r="C134">
        <v>0</v>
      </c>
      <c r="D134">
        <v>0</v>
      </c>
      <c r="E134">
        <f>装备拆分数值生成!N38</f>
        <v>61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装备拆分数值生成!M7</f>
        <v>1.6111111111111112</v>
      </c>
      <c r="D136">
        <v>0</v>
      </c>
      <c r="E136">
        <v>0</v>
      </c>
      <c r="F136">
        <f>装备拆分数值生成!K7</f>
        <v>18.844444444444445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装备拆分数值生成!M15</f>
        <v>2.4666666666666668</v>
      </c>
      <c r="D137">
        <v>0</v>
      </c>
      <c r="E137">
        <v>0</v>
      </c>
      <c r="F137">
        <f>装备拆分数值生成!K15</f>
        <v>28.933333333333334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装备拆分数值生成!M23</f>
        <v>3.8666666666666667</v>
      </c>
      <c r="D138">
        <v>0</v>
      </c>
      <c r="E138">
        <v>0</v>
      </c>
      <c r="F138">
        <f>装备拆分数值生成!K23</f>
        <v>45.333333333333336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9.7555555555555564</v>
      </c>
      <c r="D139">
        <v>0</v>
      </c>
      <c r="E139">
        <v>0</v>
      </c>
      <c r="F139">
        <f>装备拆分数值生成!K31</f>
        <v>114.4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装备拆分数值生成!M39</f>
        <v>21.3</v>
      </c>
      <c r="D140">
        <v>0</v>
      </c>
      <c r="E140">
        <v>0</v>
      </c>
      <c r="F140">
        <f>装备拆分数值生成!K39</f>
        <v>249.91111111111115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装备拆分数值生成!L8</f>
        <v>6.4444444444444446</v>
      </c>
      <c r="C142">
        <v>0</v>
      </c>
      <c r="D142">
        <v>0</v>
      </c>
      <c r="E142">
        <v>0</v>
      </c>
      <c r="F142">
        <f>装备拆分数值生成!K8</f>
        <v>4.7111111111111112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装备拆分数值生成!L16</f>
        <v>9.8666666666666671</v>
      </c>
      <c r="C143">
        <v>0</v>
      </c>
      <c r="D143">
        <v>0</v>
      </c>
      <c r="E143">
        <v>0</v>
      </c>
      <c r="F143">
        <f>装备拆分数值生成!K16</f>
        <v>7.2333333333333334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装备拆分数值生成!L24</f>
        <v>15.466666666666667</v>
      </c>
      <c r="C144">
        <v>0</v>
      </c>
      <c r="D144">
        <v>0</v>
      </c>
      <c r="E144">
        <v>0</v>
      </c>
      <c r="F144">
        <f>装备拆分数值生成!K24</f>
        <v>11.333333333333334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装备拆分数值生成!L32</f>
        <v>39.022222222222226</v>
      </c>
      <c r="C145">
        <v>0</v>
      </c>
      <c r="D145">
        <v>0</v>
      </c>
      <c r="E145">
        <v>0</v>
      </c>
      <c r="F145">
        <f>装备拆分数值生成!K32</f>
        <v>28.6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装备拆分数值生成!L40</f>
        <v>85.2</v>
      </c>
      <c r="C146">
        <v>0</v>
      </c>
      <c r="D146">
        <v>0</v>
      </c>
      <c r="E146">
        <v>0</v>
      </c>
      <c r="F146">
        <f>装备拆分数值生成!K40</f>
        <v>62.477777777777789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装备拆分数值生成!S3</f>
        <v>6.4444444444444446</v>
      </c>
      <c r="C148">
        <f>装备拆分数值生成!T3</f>
        <v>12.888888888888889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装备拆分数值生成!S11</f>
        <v>9.8666666666666671</v>
      </c>
      <c r="C149">
        <f>装备拆分数值生成!T11</f>
        <v>19.733333333333334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装备拆分数值生成!S19</f>
        <v>15.466666666666667</v>
      </c>
      <c r="C150">
        <f>装备拆分数值生成!T19</f>
        <v>30.933333333333334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装备拆分数值生成!S27</f>
        <v>39.022222222222226</v>
      </c>
      <c r="C151">
        <f>装备拆分数值生成!T27</f>
        <v>78.044444444444451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装备拆分数值生成!S35</f>
        <v>85.2</v>
      </c>
      <c r="C152">
        <f>装备拆分数值生成!T35</f>
        <v>170.4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装备拆分数值生成!R4</f>
        <v>23.555555555555557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装备拆分数值生成!R12</f>
        <v>36.166666666666664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装备拆分数值生成!R20</f>
        <v>56.666666666666664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装备拆分数值生成!R28</f>
        <v>143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装备拆分数值生成!R36</f>
        <v>312.38888888888891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装备拆分数值生成!U5</f>
        <v>6.1333333333333337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装备拆分数值生成!U13</f>
        <v>9.4222222222222225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装备拆分数值生成!U21</f>
        <v>14.755555555555555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装备拆分数值生成!U29</f>
        <v>37.244444444444447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装备拆分数值生成!U37</f>
        <v>81.333333333333343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装备拆分数值生成!T6</f>
        <v>3.2222222222222223</v>
      </c>
      <c r="D166">
        <v>0</v>
      </c>
      <c r="E166">
        <f>装备拆分数值生成!U6</f>
        <v>4.5999999999999996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装备拆分数值生成!T14</f>
        <v>4.9333333333333336</v>
      </c>
      <c r="D167">
        <v>0</v>
      </c>
      <c r="E167">
        <f>装备拆分数值生成!U14</f>
        <v>7.0666666666666673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装备拆分数值生成!T22</f>
        <v>7.7333333333333334</v>
      </c>
      <c r="D168">
        <v>0</v>
      </c>
      <c r="E168">
        <f>装备拆分数值生成!U22</f>
        <v>11.066666666666665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装备拆分数值生成!T30</f>
        <v>19.511111111111113</v>
      </c>
      <c r="D169">
        <v>0</v>
      </c>
      <c r="E169">
        <f>装备拆分数值生成!U30</f>
        <v>27.933333333333334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装备拆分数值生成!T38</f>
        <v>42.6</v>
      </c>
      <c r="D170">
        <v>0</v>
      </c>
      <c r="E170">
        <f>装备拆分数值生成!U38</f>
        <v>61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装备拆分数值生成!S7</f>
        <v>1.6111111111111112</v>
      </c>
      <c r="C172">
        <v>0</v>
      </c>
      <c r="D172">
        <v>0</v>
      </c>
      <c r="E172">
        <v>0</v>
      </c>
      <c r="F172">
        <f>装备拆分数值生成!R7</f>
        <v>18.844444444444445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装备拆分数值生成!S15</f>
        <v>2.4666666666666668</v>
      </c>
      <c r="C173">
        <v>0</v>
      </c>
      <c r="D173">
        <v>0</v>
      </c>
      <c r="E173">
        <v>0</v>
      </c>
      <c r="F173">
        <f>装备拆分数值生成!R15</f>
        <v>28.933333333333334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装备拆分数值生成!S23</f>
        <v>3.8666666666666667</v>
      </c>
      <c r="C174">
        <v>0</v>
      </c>
      <c r="D174">
        <v>0</v>
      </c>
      <c r="E174">
        <v>0</v>
      </c>
      <c r="F174">
        <f>装备拆分数值生成!R23</f>
        <v>45.333333333333336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9.7555555555555564</v>
      </c>
      <c r="C175">
        <v>0</v>
      </c>
      <c r="D175">
        <v>0</v>
      </c>
      <c r="E175">
        <v>0</v>
      </c>
      <c r="F175">
        <f>装备拆分数值生成!R31</f>
        <v>114.4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装备拆分数值生成!S39</f>
        <v>21.3</v>
      </c>
      <c r="C176">
        <v>0</v>
      </c>
      <c r="D176">
        <v>0</v>
      </c>
      <c r="E176">
        <v>0</v>
      </c>
      <c r="F176">
        <f>装备拆分数值生成!R39</f>
        <v>249.91111111111115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装备拆分数值生成!T8</f>
        <v>6.4444444444444446</v>
      </c>
      <c r="D178">
        <v>0</v>
      </c>
      <c r="E178">
        <v>0</v>
      </c>
      <c r="F178">
        <f>装备拆分数值生成!R8</f>
        <v>4.7111111111111112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装备拆分数值生成!T16</f>
        <v>9.8666666666666671</v>
      </c>
      <c r="D179">
        <v>0</v>
      </c>
      <c r="E179">
        <v>0</v>
      </c>
      <c r="F179">
        <f>装备拆分数值生成!R16</f>
        <v>7.2333333333333334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装备拆分数值生成!T24</f>
        <v>15.466666666666667</v>
      </c>
      <c r="D180">
        <v>0</v>
      </c>
      <c r="E180">
        <v>0</v>
      </c>
      <c r="F180">
        <f>装备拆分数值生成!R24</f>
        <v>11.333333333333334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装备拆分数值生成!T32</f>
        <v>39.022222222222226</v>
      </c>
      <c r="D181">
        <v>0</v>
      </c>
      <c r="E181">
        <v>0</v>
      </c>
      <c r="F181">
        <f>装备拆分数值生成!R32</f>
        <v>28.6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装备拆分数值生成!T40</f>
        <v>85.2</v>
      </c>
      <c r="D182">
        <v>0</v>
      </c>
      <c r="E182">
        <v>0</v>
      </c>
      <c r="F182">
        <f>装备拆分数值生成!R40</f>
        <v>62.477777777777789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装备拆分数值生成!AG3</f>
        <v>9.6666666666666661</v>
      </c>
      <c r="C184">
        <f>装备拆分数值生成!AH3</f>
        <v>9.6666666666666661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装备拆分数值生成!AG11</f>
        <v>14.8</v>
      </c>
      <c r="C185">
        <f>装备拆分数值生成!AH11</f>
        <v>14.8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装备拆分数值生成!AG19</f>
        <v>23.2</v>
      </c>
      <c r="C186">
        <f>装备拆分数值生成!AH19</f>
        <v>23.2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装备拆分数值生成!AG27</f>
        <v>58.533333333333331</v>
      </c>
      <c r="C187">
        <f>装备拆分数值生成!AH27</f>
        <v>58.533333333333331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装备拆分数值生成!AG35</f>
        <v>127.8</v>
      </c>
      <c r="C188">
        <f>装备拆分数值生成!AH35</f>
        <v>127.8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装备拆分数值生成!AF4</f>
        <v>23.555555555555557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装备拆分数值生成!AF12</f>
        <v>36.166666666666664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装备拆分数值生成!AF20</f>
        <v>56.666666666666664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装备拆分数值生成!AF28</f>
        <v>143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装备拆分数值生成!AF36</f>
        <v>312.38888888888891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装备拆分数值生成!AI5</f>
        <v>7.666666666666667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装备拆分数值生成!AI13</f>
        <v>11.777777777777779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装备拆分数值生成!AI21</f>
        <v>18.444444444444443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装备拆分数值生成!AI29</f>
        <v>46.555555555555557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装备拆分数值生成!AI37</f>
        <v>101.66666666666667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装备拆分数值生成!AI6</f>
        <v>4.5999999999999996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装备拆分数值生成!AI14</f>
        <v>7.0666666666666673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装备拆分数值生成!AI22</f>
        <v>11.066666666666665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装备拆分数值生成!AI30</f>
        <v>27.933333333333334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装备拆分数值生成!AI38</f>
        <v>61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装备拆分数值生成!AH7</f>
        <v>3.2222222222222223</v>
      </c>
      <c r="D208">
        <v>0</v>
      </c>
      <c r="E208">
        <v>0</v>
      </c>
      <c r="F208">
        <f>装备拆分数值生成!AF7</f>
        <v>14.133333333333335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装备拆分数值生成!AH15</f>
        <v>4.9333333333333336</v>
      </c>
      <c r="D209">
        <v>0</v>
      </c>
      <c r="E209">
        <v>0</v>
      </c>
      <c r="F209">
        <f>装备拆分数值生成!AF15</f>
        <v>21.7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装备拆分数值生成!AH23</f>
        <v>7.7333333333333334</v>
      </c>
      <c r="D210">
        <v>0</v>
      </c>
      <c r="E210">
        <v>0</v>
      </c>
      <c r="F210">
        <f>装备拆分数值生成!AF23</f>
        <v>34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19.511111111111113</v>
      </c>
      <c r="D211">
        <v>0</v>
      </c>
      <c r="E211">
        <v>0</v>
      </c>
      <c r="F211">
        <f>装备拆分数值生成!AF31</f>
        <v>85.8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装备拆分数值生成!AH39</f>
        <v>42.6</v>
      </c>
      <c r="D212">
        <v>0</v>
      </c>
      <c r="E212">
        <v>0</v>
      </c>
      <c r="F212">
        <f>装备拆分数值生成!AF39</f>
        <v>187.43333333333334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装备拆分数值生成!AI8</f>
        <v>4.5999999999999996</v>
      </c>
      <c r="F214">
        <f>装备拆分数值生成!AF8</f>
        <v>9.4222222222222225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装备拆分数值生成!AI16</f>
        <v>7.0666666666666673</v>
      </c>
      <c r="F215">
        <f>装备拆分数值生成!AF16</f>
        <v>14.466666666666667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装备拆分数值生成!AI24</f>
        <v>11.066666666666665</v>
      </c>
      <c r="F216">
        <f>装备拆分数值生成!AF24</f>
        <v>22.666666666666668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装备拆分数值生成!AI32</f>
        <v>27.933333333333334</v>
      </c>
      <c r="F217">
        <f>装备拆分数值生成!AF32</f>
        <v>57.2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装备拆分数值生成!AI40</f>
        <v>61</v>
      </c>
      <c r="F218">
        <f>装备拆分数值生成!AF40</f>
        <v>124.95555555555558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INT(装备拆分数值生成!Z42)</f>
        <v>102</v>
      </c>
      <c r="C220">
        <f>INT(装备拆分数值生成!AA42)</f>
        <v>102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INT(装备拆分数值生成!Z48)</f>
        <v>192</v>
      </c>
      <c r="C221">
        <f>INT(装备拆分数值生成!AA48)</f>
        <v>192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INT(装备拆分数值生成!Z54)</f>
        <v>346</v>
      </c>
      <c r="C222">
        <f>INT(装备拆分数值生成!AA54)</f>
        <v>346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INT(装备拆分数值生成!Z60)</f>
        <v>730</v>
      </c>
      <c r="C223">
        <f>INT(装备拆分数值生成!AA60)</f>
        <v>730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INT(装备拆分数值生成!Z66)</f>
        <v>1468</v>
      </c>
      <c r="C224">
        <f>INT(装备拆分数值生成!AA66)</f>
        <v>1468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INT(装备拆分数值生成!Y43)</f>
        <v>436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INT(装备拆分数值生成!Y49)</f>
        <v>822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INT(装备拆分数值生成!Y55)</f>
        <v>1477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INT(装备拆分数值生成!Y61)</f>
        <v>3116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INT(装备拆分数值生成!Y67)</f>
        <v>6262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INT(装备拆分数值生成!AB44)</f>
        <v>106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INT(装备拆分数值生成!AB50)</f>
        <v>200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INT(装备拆分数值生成!AB56)</f>
        <v>360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INT(装备拆分数值生成!AB62)</f>
        <v>760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INT(装备拆分数值生成!AB68)</f>
        <v>1528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INT(装备拆分数值生成!AB45)</f>
        <v>79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INT(装备拆分数值生成!AB51)</f>
        <v>150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INT(装备拆分数值生成!AB57)</f>
        <v>270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INT(装备拆分数值生成!AB63)</f>
        <v>570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INT(装备拆分数值生成!AB69)</f>
        <v>1146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INT(装备拆分数值生成!Y46)</f>
        <v>272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INT(装备拆分数值生成!Y52)</f>
        <v>514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INT(装备拆分数值生成!Y58)</f>
        <v>923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INT(装备拆分数值生成!Y64)</f>
        <v>1947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INT(装备拆分数值生成!Y70)</f>
        <v>3914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INT(装备拆分数值生成!AB47)</f>
        <v>17</v>
      </c>
      <c r="F250">
        <f>INT(装备拆分数值生成!Y47)</f>
        <v>109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INT(装备拆分数值生成!AB53)</f>
        <v>33</v>
      </c>
      <c r="F251">
        <f>INT(装备拆分数值生成!Y53)</f>
        <v>205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INT(装备拆分数值生成!AB59)</f>
        <v>60</v>
      </c>
      <c r="F252">
        <f>INT(装备拆分数值生成!Y59)</f>
        <v>369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INT(装备拆分数值生成!AB65)</f>
        <v>126</v>
      </c>
      <c r="F253">
        <f>INT(装备拆分数值生成!Y65)</f>
        <v>779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INT(装备拆分数值生成!AB71)</f>
        <v>254</v>
      </c>
      <c r="F254">
        <f>INT(装备拆分数值生成!Y71)</f>
        <v>1565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INT(装备拆分数值生成!L42)</f>
        <v>148</v>
      </c>
      <c r="C256">
        <f>INT(装备拆分数值生成!M42)</f>
        <v>74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INT(装备拆分数值生成!L48)</f>
        <v>280</v>
      </c>
      <c r="C257">
        <f>INT(装备拆分数值生成!M48)</f>
        <v>140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INT(装备拆分数值生成!L54)</f>
        <v>503</v>
      </c>
      <c r="C258">
        <f>INT(装备拆分数值生成!M54)</f>
        <v>251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INT(装备拆分数值生成!L60)</f>
        <v>1062</v>
      </c>
      <c r="C259">
        <f>INT(装备拆分数值生成!M60)</f>
        <v>531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INT(装备拆分数值生成!L66)</f>
        <v>2135</v>
      </c>
      <c r="C260">
        <f>INT(装备拆分数值生成!M66)</f>
        <v>1067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INT(装备拆分数值生成!K43)</f>
        <v>272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INT(装备拆分数值生成!K49)</f>
        <v>514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INT(装备拆分数值生成!K55)</f>
        <v>923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INT(装备拆分数值生成!K61)</f>
        <v>1947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INT(装备拆分数值生成!K67)</f>
        <v>3914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INT(装备拆分数值生成!N44)</f>
        <v>71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INT(装备拆分数值生成!N50)</f>
        <v>133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INT(装备拆分数值生成!N56)</f>
        <v>240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INT(装备拆分数值生成!N62)</f>
        <v>507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INT(装备拆分数值生成!N68)</f>
        <v>1018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INT(装备拆分数值生成!L45)</f>
        <v>37</v>
      </c>
      <c r="C274">
        <v>0</v>
      </c>
      <c r="D274">
        <v>0</v>
      </c>
      <c r="E274">
        <f>INT(装备拆分数值生成!N45)</f>
        <v>53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INT(装备拆分数值生成!L51)</f>
        <v>70</v>
      </c>
      <c r="C275">
        <v>0</v>
      </c>
      <c r="D275">
        <v>0</v>
      </c>
      <c r="E275">
        <f>INT(装备拆分数值生成!N51)</f>
        <v>100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INT(装备拆分数值生成!L57)</f>
        <v>125</v>
      </c>
      <c r="C276">
        <v>0</v>
      </c>
      <c r="D276">
        <v>0</v>
      </c>
      <c r="E276">
        <f>INT(装备拆分数值生成!N57)</f>
        <v>180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INT(装备拆分数值生成!L63)</f>
        <v>265</v>
      </c>
      <c r="C277">
        <v>0</v>
      </c>
      <c r="D277">
        <v>0</v>
      </c>
      <c r="E277">
        <f>INT(装备拆分数值生成!N63)</f>
        <v>380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INT(装备拆分数值生成!L69)</f>
        <v>533</v>
      </c>
      <c r="C278">
        <v>0</v>
      </c>
      <c r="D278">
        <v>0</v>
      </c>
      <c r="E278">
        <f>INT(装备拆分数值生成!N69)</f>
        <v>764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INT(装备拆分数值生成!M46)</f>
        <v>18</v>
      </c>
      <c r="D280">
        <v>0</v>
      </c>
      <c r="E280">
        <f>INT(装备拆分数值生成!K46)</f>
        <v>218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INT(装备拆分数值生成!M52)</f>
        <v>35</v>
      </c>
      <c r="D281">
        <v>0</v>
      </c>
      <c r="E281">
        <f>INT(装备拆分数值生成!K52)</f>
        <v>411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INT(装备拆分数值生成!M58)</f>
        <v>62</v>
      </c>
      <c r="D282">
        <v>0</v>
      </c>
      <c r="E282">
        <f>INT(装备拆分数值生成!K58)</f>
        <v>738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INT(装备拆分数值生成!M64)</f>
        <v>132</v>
      </c>
      <c r="D283">
        <v>0</v>
      </c>
      <c r="E283">
        <f>INT(装备拆分数值生成!K64)</f>
        <v>1558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INT(装备拆分数值生成!M70)</f>
        <v>266</v>
      </c>
      <c r="D284">
        <v>0</v>
      </c>
      <c r="E284">
        <f>INT(装备拆分数值生成!K70)</f>
        <v>3131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INT(装备拆分数值生成!L47)</f>
        <v>74</v>
      </c>
      <c r="C286">
        <v>0</v>
      </c>
      <c r="D286">
        <v>0</v>
      </c>
      <c r="E286">
        <v>0</v>
      </c>
      <c r="F286">
        <f>INT(装备拆分数值生成!K47)</f>
        <v>54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INT(装备拆分数值生成!L53)</f>
        <v>140</v>
      </c>
      <c r="C287">
        <v>0</v>
      </c>
      <c r="D287">
        <v>0</v>
      </c>
      <c r="E287">
        <v>0</v>
      </c>
      <c r="F287">
        <f>INT(装备拆分数值生成!K53)</f>
        <v>102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INT(装备拆分数值生成!L59)</f>
        <v>251</v>
      </c>
      <c r="C288">
        <v>0</v>
      </c>
      <c r="D288">
        <v>0</v>
      </c>
      <c r="E288">
        <v>0</v>
      </c>
      <c r="F288">
        <f>INT(装备拆分数值生成!K59)</f>
        <v>184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INT(装备拆分数值生成!L65)</f>
        <v>531</v>
      </c>
      <c r="C289">
        <v>0</v>
      </c>
      <c r="D289">
        <v>0</v>
      </c>
      <c r="E289">
        <v>0</v>
      </c>
      <c r="F289">
        <f>INT(装备拆分数值生成!K65)</f>
        <v>389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INT(装备拆分数值生成!L71)</f>
        <v>1067</v>
      </c>
      <c r="C290">
        <v>0</v>
      </c>
      <c r="D290">
        <v>0</v>
      </c>
      <c r="E290">
        <v>0</v>
      </c>
      <c r="F290">
        <f>INT(装备拆分数值生成!K71)</f>
        <v>782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INT(装备拆分数值生成!S42)</f>
        <v>74</v>
      </c>
      <c r="C292">
        <f>INT(装备拆分数值生成!T42)</f>
        <v>148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INT(装备拆分数值生成!S48)</f>
        <v>140</v>
      </c>
      <c r="C293">
        <f>INT(装备拆分数值生成!T48)</f>
        <v>280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INT(装备拆分数值生成!S54)</f>
        <v>251</v>
      </c>
      <c r="C294">
        <f>INT(装备拆分数值生成!T54)</f>
        <v>503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INT(装备拆分数值生成!S60)</f>
        <v>531</v>
      </c>
      <c r="C295">
        <f>INT(装备拆分数值生成!T60)</f>
        <v>1062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INT(装备拆分数值生成!S66)</f>
        <v>1067</v>
      </c>
      <c r="C296">
        <f>INT(装备拆分数值生成!T66)</f>
        <v>2135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INT(装备拆分数值生成!R43)</f>
        <v>272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INT(装备拆分数值生成!R49)</f>
        <v>514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INT(装备拆分数值生成!R55)</f>
        <v>923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INT(装备拆分数值生成!R61)</f>
        <v>1947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INT(装备拆分数值生成!R67)</f>
        <v>3914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INT(装备拆分数值生成!U44)</f>
        <v>71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INT(装备拆分数值生成!U50)</f>
        <v>133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INT(装备拆分数值生成!U56)</f>
        <v>240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INT(装备拆分数值生成!U62)</f>
        <v>507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INT(装备拆分数值生成!U68)</f>
        <v>1018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INT(装备拆分数值生成!T45)</f>
        <v>37</v>
      </c>
      <c r="D310">
        <v>0</v>
      </c>
      <c r="E310">
        <f>INT(装备拆分数值生成!U45)</f>
        <v>53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INT(装备拆分数值生成!T51)</f>
        <v>70</v>
      </c>
      <c r="D311">
        <v>0</v>
      </c>
      <c r="E311">
        <f>INT(装备拆分数值生成!U51)</f>
        <v>100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INT(装备拆分数值生成!T57)</f>
        <v>125</v>
      </c>
      <c r="D312">
        <v>0</v>
      </c>
      <c r="E312">
        <f>INT(装备拆分数值生成!U57)</f>
        <v>180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INT(装备拆分数值生成!T63)</f>
        <v>265</v>
      </c>
      <c r="D313">
        <v>0</v>
      </c>
      <c r="E313">
        <f>INT(装备拆分数值生成!U63)</f>
        <v>380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INT(装备拆分数值生成!T69)</f>
        <v>533</v>
      </c>
      <c r="D314">
        <v>0</v>
      </c>
      <c r="E314">
        <f>INT(装备拆分数值生成!U69)</f>
        <v>764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INT(装备拆分数值生成!S46)</f>
        <v>18</v>
      </c>
      <c r="C316">
        <v>0</v>
      </c>
      <c r="D316">
        <v>0</v>
      </c>
      <c r="E316">
        <v>0</v>
      </c>
      <c r="F316">
        <f>INT(装备拆分数值生成!R46)</f>
        <v>218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INT(装备拆分数值生成!S52)</f>
        <v>35</v>
      </c>
      <c r="C317">
        <v>0</v>
      </c>
      <c r="D317">
        <v>0</v>
      </c>
      <c r="E317">
        <v>0</v>
      </c>
      <c r="F317">
        <f>INT(装备拆分数值生成!R52)</f>
        <v>411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INT(装备拆分数值生成!S58)</f>
        <v>62</v>
      </c>
      <c r="C318">
        <v>0</v>
      </c>
      <c r="D318">
        <v>0</v>
      </c>
      <c r="E318">
        <v>0</v>
      </c>
      <c r="F318">
        <f>INT(装备拆分数值生成!R58)</f>
        <v>738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INT(装备拆分数值生成!S64)</f>
        <v>132</v>
      </c>
      <c r="C319">
        <v>0</v>
      </c>
      <c r="D319">
        <v>0</v>
      </c>
      <c r="E319">
        <v>0</v>
      </c>
      <c r="F319">
        <f>INT(装备拆分数值生成!R64)</f>
        <v>1558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INT(装备拆分数值生成!S70)</f>
        <v>266</v>
      </c>
      <c r="C320">
        <v>0</v>
      </c>
      <c r="D320">
        <v>0</v>
      </c>
      <c r="E320">
        <v>0</v>
      </c>
      <c r="F320">
        <f>INT(装备拆分数值生成!R70)</f>
        <v>3131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INT(装备拆分数值生成!T47)</f>
        <v>74</v>
      </c>
      <c r="D322">
        <v>0</v>
      </c>
      <c r="E322">
        <v>0</v>
      </c>
      <c r="F322">
        <f>INT(装备拆分数值生成!R47)</f>
        <v>54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INT(装备拆分数值生成!T53)</f>
        <v>140</v>
      </c>
      <c r="D323">
        <v>0</v>
      </c>
      <c r="E323">
        <v>0</v>
      </c>
      <c r="F323">
        <f>INT(装备拆分数值生成!R53)</f>
        <v>102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INT(装备拆分数值生成!T59)</f>
        <v>251</v>
      </c>
      <c r="D324">
        <v>0</v>
      </c>
      <c r="E324">
        <v>0</v>
      </c>
      <c r="F324">
        <f>INT(装备拆分数值生成!R59)</f>
        <v>184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INT(装备拆分数值生成!T65)</f>
        <v>531</v>
      </c>
      <c r="D325">
        <v>0</v>
      </c>
      <c r="E325">
        <v>0</v>
      </c>
      <c r="F325">
        <f>INT(装备拆分数值生成!R65)</f>
        <v>389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INT(装备拆分数值生成!T71)</f>
        <v>1067</v>
      </c>
      <c r="D326">
        <v>0</v>
      </c>
      <c r="E326">
        <v>0</v>
      </c>
      <c r="F326">
        <f>INT(装备拆分数值生成!R71)</f>
        <v>782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INT(装备拆分数值生成!AG42)</f>
        <v>111</v>
      </c>
      <c r="C328">
        <f>INT(装备拆分数值生成!AH42)</f>
        <v>111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INT(装备拆分数值生成!AG48)</f>
        <v>210</v>
      </c>
      <c r="C329">
        <f>INT(装备拆分数值生成!AH48)</f>
        <v>210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INT(装备拆分数值生成!AG54)</f>
        <v>377</v>
      </c>
      <c r="C330">
        <f>INT(装备拆分数值生成!AH54)</f>
        <v>377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INT(装备拆分数值生成!AG60)</f>
        <v>796</v>
      </c>
      <c r="C331">
        <f>INT(装备拆分数值生成!AH60)</f>
        <v>796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INT(装备拆分数值生成!AG66)</f>
        <v>1601</v>
      </c>
      <c r="C332">
        <f>INT(装备拆分数值生成!AH66)</f>
        <v>1601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INT(装备拆分数值生成!AF43)</f>
        <v>272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INT(装备拆分数值生成!AF49)</f>
        <v>514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INT(装备拆分数值生成!AF55)</f>
        <v>923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INT(装备拆分数值生成!AF61)</f>
        <v>1947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INT(装备拆分数值生成!AF67)</f>
        <v>3914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INT(装备拆分数值生成!AI44)</f>
        <v>88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INT(装备拆分数值生成!AI50)</f>
        <v>167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INT(装备拆分数值生成!AI56)</f>
        <v>300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INT(装备拆分数值生成!AI62)</f>
        <v>633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INT(装备拆分数值生成!AI68)</f>
        <v>1273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INT(装备拆分数值生成!AI45)</f>
        <v>53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INT(装备拆分数值生成!AI51)</f>
        <v>100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INT(装备拆分数值生成!AI57)</f>
        <v>180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INT(装备拆分数值生成!AI63)</f>
        <v>380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INT(装备拆分数值生成!AI69)</f>
        <v>764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INT(装备拆分数值生成!AH46)</f>
        <v>37</v>
      </c>
      <c r="D352">
        <v>0</v>
      </c>
      <c r="E352">
        <v>0</v>
      </c>
      <c r="F352">
        <f>INT(装备拆分数值生成!AF46)</f>
        <v>163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INT(装备拆分数值生成!AH52)</f>
        <v>70</v>
      </c>
      <c r="D353">
        <v>0</v>
      </c>
      <c r="E353">
        <v>0</v>
      </c>
      <c r="F353">
        <f>INT(装备拆分数值生成!AF52)</f>
        <v>308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INT(装备拆分数值生成!AH58)</f>
        <v>125</v>
      </c>
      <c r="D354">
        <v>0</v>
      </c>
      <c r="E354">
        <v>0</v>
      </c>
      <c r="F354">
        <f>INT(装备拆分数值生成!AF58)</f>
        <v>553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INT(装备拆分数值生成!AH64)</f>
        <v>265</v>
      </c>
      <c r="D355">
        <v>0</v>
      </c>
      <c r="E355">
        <v>0</v>
      </c>
      <c r="F355">
        <f>INT(装备拆分数值生成!AF64)</f>
        <v>1168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INT(装备拆分数值生成!AH70)</f>
        <v>533</v>
      </c>
      <c r="D356">
        <v>0</v>
      </c>
      <c r="E356">
        <v>0</v>
      </c>
      <c r="F356">
        <f>INT(装备拆分数值生成!AF70)</f>
        <v>2348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INT(装备拆分数值生成!AI47)</f>
        <v>53</v>
      </c>
      <c r="F358">
        <f>INT(装备拆分数值生成!AF47)</f>
        <v>109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INT(装备拆分数值生成!AI53)</f>
        <v>100</v>
      </c>
      <c r="F359">
        <f>INT(装备拆分数值生成!AF53)</f>
        <v>205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INT(装备拆分数值生成!AI59)</f>
        <v>180</v>
      </c>
      <c r="F360">
        <f>INT(装备拆分数值生成!AF59)</f>
        <v>369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INT(装备拆分数值生成!AI65)</f>
        <v>380</v>
      </c>
      <c r="F361">
        <f>INT(装备拆分数值生成!AF65)</f>
        <v>779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INT(装备拆分数值生成!AI71)</f>
        <v>764</v>
      </c>
      <c r="F362">
        <f>INT(装备拆分数值生成!AF71)</f>
        <v>1565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354</v>
      </c>
    </row>
    <row r="7" spans="4:11">
      <c r="F7" t="s">
        <v>314</v>
      </c>
    </row>
    <row r="8" spans="4:11">
      <c r="F8" t="s">
        <v>324</v>
      </c>
      <c r="H8" t="s">
        <v>323</v>
      </c>
    </row>
    <row r="9" spans="4:11">
      <c r="E9" t="s">
        <v>317</v>
      </c>
      <c r="F9">
        <v>1</v>
      </c>
      <c r="G9">
        <v>300</v>
      </c>
      <c r="K9" t="s">
        <v>318</v>
      </c>
    </row>
    <row r="10" spans="4:11">
      <c r="F10">
        <v>3</v>
      </c>
      <c r="G10">
        <v>400</v>
      </c>
      <c r="K10" t="s">
        <v>318</v>
      </c>
    </row>
    <row r="11" spans="4:11">
      <c r="F11">
        <v>7</v>
      </c>
      <c r="G11">
        <v>500</v>
      </c>
      <c r="K11" t="s">
        <v>318</v>
      </c>
    </row>
    <row r="12" spans="4:11">
      <c r="F12">
        <v>10</v>
      </c>
      <c r="G12">
        <v>700</v>
      </c>
      <c r="K12" t="s">
        <v>318</v>
      </c>
    </row>
    <row r="14" spans="4:11">
      <c r="D14" s="46" t="s">
        <v>360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R84"/>
  <sheetViews>
    <sheetView tabSelected="1" workbookViewId="0">
      <pane xSplit="2" ySplit="1" topLeftCell="C47" activePane="bottomRight" state="frozen"/>
      <selection pane="topRight" activeCell="C1" sqref="C1"/>
      <selection pane="bottomLeft" activeCell="A2" sqref="A2"/>
      <selection pane="bottomRight" activeCell="Q64" sqref="Q64"/>
    </sheetView>
  </sheetViews>
  <sheetFormatPr defaultRowHeight="13.5" outlineLevelCol="1"/>
  <cols>
    <col min="6" max="15" width="9" customWidth="1" outlineLevel="1"/>
    <col min="16" max="17" width="30.25" customWidth="1" outlineLevel="1"/>
    <col min="18" max="21" width="9" style="60"/>
    <col min="32" max="37" width="9" hidden="1" customWidth="1" outlineLevel="1"/>
    <col min="38" max="38" width="9" collapsed="1"/>
  </cols>
  <sheetData>
    <row r="1" spans="2:44">
      <c r="C1" t="s">
        <v>391</v>
      </c>
      <c r="D1" t="s">
        <v>396</v>
      </c>
      <c r="F1" t="s">
        <v>392</v>
      </c>
      <c r="G1" t="s">
        <v>410</v>
      </c>
      <c r="H1" t="s">
        <v>393</v>
      </c>
      <c r="J1" t="s">
        <v>432</v>
      </c>
      <c r="L1" t="s">
        <v>433</v>
      </c>
      <c r="N1" t="s">
        <v>395</v>
      </c>
      <c r="P1" t="s">
        <v>405</v>
      </c>
      <c r="R1" s="60" t="s">
        <v>406</v>
      </c>
      <c r="X1" t="s">
        <v>397</v>
      </c>
      <c r="Y1" t="s">
        <v>398</v>
      </c>
      <c r="Z1" t="s">
        <v>399</v>
      </c>
      <c r="AA1" t="s">
        <v>400</v>
      </c>
      <c r="AB1" t="s">
        <v>401</v>
      </c>
      <c r="AC1" t="s">
        <v>402</v>
      </c>
      <c r="AD1" t="s">
        <v>403</v>
      </c>
      <c r="AH1" t="s">
        <v>413</v>
      </c>
      <c r="AI1" t="s">
        <v>414</v>
      </c>
      <c r="AJ1" t="s">
        <v>415</v>
      </c>
      <c r="AN1" t="s">
        <v>420</v>
      </c>
    </row>
    <row r="2" spans="2:44" ht="14.25" thickBot="1">
      <c r="R2" s="60" t="s">
        <v>399</v>
      </c>
      <c r="S2" s="60" t="s">
        <v>407</v>
      </c>
      <c r="T2" s="60" t="s">
        <v>408</v>
      </c>
      <c r="U2" s="60" t="s">
        <v>409</v>
      </c>
      <c r="AG2" t="s">
        <v>416</v>
      </c>
      <c r="AH2" s="2">
        <v>0.97</v>
      </c>
      <c r="AI2" s="2">
        <v>1.3</v>
      </c>
      <c r="AJ2" s="2">
        <v>1.2</v>
      </c>
      <c r="AK2">
        <f>AH2</f>
        <v>0.97</v>
      </c>
    </row>
    <row r="3" spans="2:44">
      <c r="B3" s="74" t="s">
        <v>372</v>
      </c>
      <c r="C3" s="27" t="s">
        <v>426</v>
      </c>
      <c r="D3" s="27">
        <v>1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62"/>
      <c r="S3" s="62"/>
      <c r="T3" s="62"/>
      <c r="U3" s="62"/>
      <c r="V3" s="27"/>
      <c r="W3" s="27"/>
      <c r="X3" s="27"/>
      <c r="Y3" s="27"/>
      <c r="Z3" s="27">
        <f>VLOOKUP(D3,宠物成长生成表!$B$5:$J$103,3,0)*$AH$2</f>
        <v>1058.27</v>
      </c>
      <c r="AA3" s="27">
        <f>VLOOKUP(D3,宠物成长生成表!$B$5:$J$103,4,0)*$AH$3</f>
        <v>331.08</v>
      </c>
      <c r="AB3" s="27">
        <f>VLOOKUP(D3,宠物成长生成表!$B$5:$J$103,4,0)*$AH$4</f>
        <v>427.79999999999995</v>
      </c>
      <c r="AC3" s="27">
        <f>VLOOKUP(D3,宠物成长生成表!$B$5:$J$103,7,0)*$AH$5</f>
        <v>269.8</v>
      </c>
      <c r="AD3" s="27">
        <f>VLOOKUP(D3,宠物成长生成表!$B$5:$J$103,6,0)</f>
        <v>55</v>
      </c>
      <c r="AE3" s="27"/>
      <c r="AF3" s="27"/>
      <c r="AG3" s="27" t="s">
        <v>417</v>
      </c>
      <c r="AH3" s="63">
        <v>0.89</v>
      </c>
      <c r="AI3" s="63">
        <v>0.8</v>
      </c>
      <c r="AJ3" s="63">
        <v>0.9</v>
      </c>
      <c r="AK3" s="27">
        <f>AH4</f>
        <v>1.1499999999999999</v>
      </c>
      <c r="AL3" s="27"/>
      <c r="AM3" s="27"/>
      <c r="AN3" s="27"/>
      <c r="AO3" s="62">
        <f t="shared" ref="AO3:AR4" si="0">R3+Z3</f>
        <v>1058.27</v>
      </c>
      <c r="AP3" s="62">
        <f t="shared" si="0"/>
        <v>331.08</v>
      </c>
      <c r="AQ3" s="62">
        <f t="shared" si="0"/>
        <v>427.79999999999995</v>
      </c>
      <c r="AR3" s="64">
        <f t="shared" si="0"/>
        <v>269.8</v>
      </c>
    </row>
    <row r="4" spans="2:44">
      <c r="B4" s="75"/>
      <c r="C4" s="30" t="s">
        <v>427</v>
      </c>
      <c r="D4" s="30">
        <v>1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65"/>
      <c r="S4" s="65"/>
      <c r="T4" s="65"/>
      <c r="U4" s="65"/>
      <c r="V4" s="30"/>
      <c r="W4" s="30"/>
      <c r="X4" s="30"/>
      <c r="Y4" s="30"/>
      <c r="Z4" s="30">
        <f>VLOOKUP(D4,宠物成长生成表!$B$5:$J$103,3,0)*$AK$2</f>
        <v>1058.27</v>
      </c>
      <c r="AA4" s="30">
        <f>VLOOKUP(D4,宠物成长生成表!$B$5:$J$103,4,0)*$AK$3</f>
        <v>427.79999999999995</v>
      </c>
      <c r="AB4" s="30">
        <f>VLOOKUP(D4,宠物成长生成表!$B$5:$J$103,4,0)*$AK$4</f>
        <v>331.08</v>
      </c>
      <c r="AC4" s="30">
        <f>VLOOKUP(D4,宠物成长生成表!$B$5:$J$103,7,0)*$AK$5</f>
        <v>269.8</v>
      </c>
      <c r="AD4" s="30">
        <f>VLOOKUP(D4,宠物成长生成表!$B$5:$J$103,6,0)</f>
        <v>55</v>
      </c>
      <c r="AE4" s="30"/>
      <c r="AF4" s="30"/>
      <c r="AG4" s="30" t="s">
        <v>418</v>
      </c>
      <c r="AH4" s="66">
        <v>1.1499999999999999</v>
      </c>
      <c r="AI4" s="66">
        <v>0.8</v>
      </c>
      <c r="AJ4" s="66">
        <v>0.9</v>
      </c>
      <c r="AK4" s="30">
        <f>AH3</f>
        <v>0.89</v>
      </c>
      <c r="AL4" s="30"/>
      <c r="AM4" s="30"/>
      <c r="AN4" s="30"/>
      <c r="AO4" s="65">
        <f t="shared" si="0"/>
        <v>1058.27</v>
      </c>
      <c r="AP4" s="65">
        <f t="shared" si="0"/>
        <v>427.79999999999995</v>
      </c>
      <c r="AQ4" s="65">
        <f t="shared" si="0"/>
        <v>331.08</v>
      </c>
      <c r="AR4" s="67">
        <f t="shared" si="0"/>
        <v>269.8</v>
      </c>
    </row>
    <row r="5" spans="2:44" ht="14.25" thickBot="1">
      <c r="B5" s="76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68"/>
      <c r="S5" s="68"/>
      <c r="T5" s="68"/>
      <c r="U5" s="68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 t="s">
        <v>419</v>
      </c>
      <c r="AH5" s="69">
        <v>0.76</v>
      </c>
      <c r="AI5" s="69">
        <v>1.32</v>
      </c>
      <c r="AJ5" s="69">
        <v>0.88</v>
      </c>
      <c r="AK5" s="40">
        <f>AH5</f>
        <v>0.76</v>
      </c>
      <c r="AL5" s="40"/>
      <c r="AM5" s="40"/>
      <c r="AN5" s="40"/>
      <c r="AO5" s="68"/>
      <c r="AP5" s="68"/>
      <c r="AQ5" s="68"/>
      <c r="AR5" s="70"/>
    </row>
    <row r="6" spans="2:44">
      <c r="B6" s="74" t="s">
        <v>373</v>
      </c>
      <c r="C6" s="27" t="s">
        <v>426</v>
      </c>
      <c r="D6" s="27">
        <v>1</v>
      </c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62"/>
      <c r="S6" s="62"/>
      <c r="T6" s="62"/>
      <c r="U6" s="62"/>
      <c r="V6" s="27"/>
      <c r="W6" s="27"/>
      <c r="X6" s="27"/>
      <c r="Y6" s="27"/>
      <c r="Z6" s="27">
        <f>VLOOKUP(D6,宠物成长生成表!$B$5:$J$103,3,0)*$AH$2</f>
        <v>1058.27</v>
      </c>
      <c r="AA6" s="27">
        <f>VLOOKUP(D6,宠物成长生成表!$B$5:$J$103,4,0)*$AH$3</f>
        <v>331.08</v>
      </c>
      <c r="AB6" s="27">
        <f>VLOOKUP(D6,宠物成长生成表!$B$5:$J$103,4,0)*$AH$4</f>
        <v>427.79999999999995</v>
      </c>
      <c r="AC6" s="27">
        <f>VLOOKUP(D6,宠物成长生成表!$B$5:$J$103,7,0)*$AH$5</f>
        <v>269.8</v>
      </c>
      <c r="AD6" s="27">
        <f>VLOOKUP(D6,宠物成长生成表!$B$5:$J$103,6,0)</f>
        <v>55</v>
      </c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62">
        <f t="shared" ref="AO6:AR6" si="1">R6+Z6</f>
        <v>1058.27</v>
      </c>
      <c r="AP6" s="62">
        <f t="shared" si="1"/>
        <v>331.08</v>
      </c>
      <c r="AQ6" s="62">
        <f t="shared" si="1"/>
        <v>427.79999999999995</v>
      </c>
      <c r="AR6" s="64">
        <f t="shared" si="1"/>
        <v>269.8</v>
      </c>
    </row>
    <row r="7" spans="2:44">
      <c r="B7" s="75"/>
      <c r="C7" s="30" t="s">
        <v>427</v>
      </c>
      <c r="D7" s="30">
        <v>1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65"/>
      <c r="S7" s="65"/>
      <c r="T7" s="65"/>
      <c r="U7" s="65"/>
      <c r="V7" s="30"/>
      <c r="W7" s="30"/>
      <c r="X7" s="30"/>
      <c r="Y7" s="30"/>
      <c r="Z7" s="30">
        <f>VLOOKUP(D7,宠物成长生成表!$B$5:$J$103,3,0)*$AK$2</f>
        <v>1058.27</v>
      </c>
      <c r="AA7" s="30">
        <f>VLOOKUP(D7,宠物成长生成表!$B$5:$J$103,4,0)*$AK$3</f>
        <v>427.79999999999995</v>
      </c>
      <c r="AB7" s="30">
        <f>VLOOKUP(D7,宠物成长生成表!$B$5:$J$103,4,0)*$AK$4</f>
        <v>331.08</v>
      </c>
      <c r="AC7" s="30">
        <f>VLOOKUP(D7,宠物成长生成表!$B$5:$J$103,7,0)*$AK$5</f>
        <v>269.8</v>
      </c>
      <c r="AD7" s="30">
        <f>VLOOKUP(D7,宠物成长生成表!$B$5:$J$103,6,0)</f>
        <v>55</v>
      </c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65">
        <f>R7+Z8</f>
        <v>1309.2</v>
      </c>
      <c r="AP7" s="65">
        <f>S7+AA8</f>
        <v>334.8</v>
      </c>
      <c r="AQ7" s="65">
        <f>T7+AB8</f>
        <v>334.8</v>
      </c>
      <c r="AR7" s="67">
        <f>U7+AC8</f>
        <v>312.39999999999998</v>
      </c>
    </row>
    <row r="8" spans="2:44" ht="14.25" thickBot="1">
      <c r="B8" s="76"/>
      <c r="C8" s="40" t="s">
        <v>394</v>
      </c>
      <c r="D8" s="40">
        <v>1</v>
      </c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68"/>
      <c r="S8" s="68"/>
      <c r="T8" s="68"/>
      <c r="U8" s="68"/>
      <c r="V8" s="40"/>
      <c r="W8" s="40"/>
      <c r="X8" s="40"/>
      <c r="Y8" s="40"/>
      <c r="Z8" s="40">
        <f>VLOOKUP(D7,宠物成长生成表!$B$5:$J$103,3,0)*$AJ$2</f>
        <v>1309.2</v>
      </c>
      <c r="AA8" s="40">
        <f>VLOOKUP(D7,宠物成长生成表!$B$5:$J$103,4,0)*$AJ$3</f>
        <v>334.8</v>
      </c>
      <c r="AB8" s="40">
        <f>VLOOKUP(D7,宠物成长生成表!$B$5:$J$103,4,0)*$AJ$4</f>
        <v>334.8</v>
      </c>
      <c r="AC8" s="40">
        <f>VLOOKUP(D7,宠物成长生成表!$B$5:$J$103,7,0)*$AJ$5</f>
        <v>312.39999999999998</v>
      </c>
      <c r="AD8" s="40">
        <f>VLOOKUP(D7,宠物成长生成表!$B$5:$J$103,6,0)</f>
        <v>55</v>
      </c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68">
        <f>R8+Z7</f>
        <v>1058.27</v>
      </c>
      <c r="AP8" s="68">
        <f>S8+AA7</f>
        <v>427.79999999999995</v>
      </c>
      <c r="AQ8" s="68">
        <f>T8+AB7</f>
        <v>331.08</v>
      </c>
      <c r="AR8" s="70">
        <f>U8+AC7</f>
        <v>269.8</v>
      </c>
    </row>
    <row r="9" spans="2:44">
      <c r="B9" s="74" t="s">
        <v>374</v>
      </c>
      <c r="C9" s="27" t="s">
        <v>426</v>
      </c>
      <c r="D9" s="27">
        <v>2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62"/>
      <c r="S9" s="62"/>
      <c r="T9" s="62"/>
      <c r="U9" s="62"/>
      <c r="V9" s="27"/>
      <c r="W9" s="27"/>
      <c r="X9" s="27"/>
      <c r="Y9" s="27"/>
      <c r="Z9" s="27">
        <f>VLOOKUP(D9,宠物成长生成表!$B$5:$J$103,3,0)*$AH$2</f>
        <v>1100.95</v>
      </c>
      <c r="AA9" s="27">
        <f>VLOOKUP(D9,宠物成长生成表!$B$5:$J$103,4,0)*$AH$3</f>
        <v>344.43</v>
      </c>
      <c r="AB9" s="27">
        <f>VLOOKUP(D9,宠物成长生成表!$B$5:$J$103,4,0)*$AH$4</f>
        <v>445.04999999999995</v>
      </c>
      <c r="AC9" s="27">
        <f>VLOOKUP(D9,宠物成长生成表!$B$5:$J$103,7,0)*$AH$5</f>
        <v>280.44</v>
      </c>
      <c r="AD9" s="27">
        <f>VLOOKUP(D9,宠物成长生成表!$B$5:$J$103,6,0)</f>
        <v>56</v>
      </c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62">
        <f t="shared" ref="AO9:AR11" si="2">R9+Z9</f>
        <v>1100.95</v>
      </c>
      <c r="AP9" s="62">
        <f t="shared" si="2"/>
        <v>344.43</v>
      </c>
      <c r="AQ9" s="62">
        <f t="shared" si="2"/>
        <v>445.04999999999995</v>
      </c>
      <c r="AR9" s="64">
        <f t="shared" si="2"/>
        <v>280.44</v>
      </c>
    </row>
    <row r="10" spans="2:44">
      <c r="B10" s="75"/>
      <c r="C10" s="30" t="s">
        <v>427</v>
      </c>
      <c r="D10" s="30">
        <v>2</v>
      </c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65"/>
      <c r="S10" s="65"/>
      <c r="T10" s="65"/>
      <c r="U10" s="65"/>
      <c r="V10" s="30"/>
      <c r="W10" s="30"/>
      <c r="X10" s="30"/>
      <c r="Y10" s="30"/>
      <c r="Z10" s="30">
        <f>VLOOKUP(D10,宠物成长生成表!$B$5:$J$103,3,0)*$AK$2</f>
        <v>1100.95</v>
      </c>
      <c r="AA10" s="30">
        <f>VLOOKUP(D10,宠物成长生成表!$B$5:$J$103,4,0)*$AK$3</f>
        <v>445.04999999999995</v>
      </c>
      <c r="AB10" s="30">
        <f>VLOOKUP(D10,宠物成长生成表!$B$5:$J$103,4,0)*$AK$4</f>
        <v>344.43</v>
      </c>
      <c r="AC10" s="30">
        <f>VLOOKUP(D10,宠物成长生成表!$B$5:$J$103,7,0)*$AK$5</f>
        <v>280.44</v>
      </c>
      <c r="AD10" s="30">
        <f>VLOOKUP(D10,宠物成长生成表!$B$5:$J$103,6,0)</f>
        <v>56</v>
      </c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65">
        <f t="shared" si="2"/>
        <v>1100.95</v>
      </c>
      <c r="AP10" s="65">
        <f t="shared" si="2"/>
        <v>445.04999999999995</v>
      </c>
      <c r="AQ10" s="65">
        <f t="shared" si="2"/>
        <v>344.43</v>
      </c>
      <c r="AR10" s="67">
        <f t="shared" si="2"/>
        <v>280.44</v>
      </c>
    </row>
    <row r="11" spans="2:44" ht="14.25" thickBot="1">
      <c r="B11" s="76"/>
      <c r="C11" s="40" t="s">
        <v>394</v>
      </c>
      <c r="D11" s="40">
        <v>1</v>
      </c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68"/>
      <c r="S11" s="68"/>
      <c r="T11" s="68"/>
      <c r="U11" s="68"/>
      <c r="V11" s="40"/>
      <c r="W11" s="40"/>
      <c r="X11" s="40"/>
      <c r="Y11" s="40"/>
      <c r="Z11" s="40">
        <f>VLOOKUP(D10,宠物成长生成表!$B$5:$J$103,3,0)*$AJ$2</f>
        <v>1362</v>
      </c>
      <c r="AA11" s="40">
        <f>VLOOKUP(D10,宠物成长生成表!$B$5:$J$103,4,0)*$AJ$3</f>
        <v>348.3</v>
      </c>
      <c r="AB11" s="40">
        <f>VLOOKUP(D10,宠物成长生成表!$B$5:$J$103,4,0)*$AJ$4</f>
        <v>348.3</v>
      </c>
      <c r="AC11" s="40">
        <f>VLOOKUP(D10,宠物成长生成表!$B$5:$J$103,7,0)*$AJ$5</f>
        <v>324.72000000000003</v>
      </c>
      <c r="AD11" s="40">
        <f>VLOOKUP(D10,宠物成长生成表!$B$5:$J$103,6,0)</f>
        <v>56</v>
      </c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68">
        <f t="shared" si="2"/>
        <v>1362</v>
      </c>
      <c r="AP11" s="68">
        <f t="shared" si="2"/>
        <v>348.3</v>
      </c>
      <c r="AQ11" s="68">
        <f t="shared" si="2"/>
        <v>348.3</v>
      </c>
      <c r="AR11" s="70">
        <f t="shared" si="2"/>
        <v>324.72000000000003</v>
      </c>
    </row>
    <row r="12" spans="2:44">
      <c r="B12" s="74" t="s">
        <v>375</v>
      </c>
      <c r="C12" s="27" t="s">
        <v>426</v>
      </c>
      <c r="D12" s="27">
        <v>2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62"/>
      <c r="T12" s="62"/>
      <c r="U12" s="62"/>
      <c r="V12" s="62"/>
      <c r="W12" s="62"/>
      <c r="X12" s="27"/>
      <c r="Y12" s="27"/>
      <c r="Z12" s="27">
        <f>VLOOKUP(D12,宠物成长生成表!$B$5:$J$103,3,0)*$AH$2</f>
        <v>1100.95</v>
      </c>
      <c r="AA12" s="27">
        <f>VLOOKUP(D12,宠物成长生成表!$B$5:$J$103,4,0)*$AH$3</f>
        <v>344.43</v>
      </c>
      <c r="AB12" s="27">
        <f>VLOOKUP(D12,宠物成长生成表!$B$5:$J$103,4,0)*$AH$4</f>
        <v>445.04999999999995</v>
      </c>
      <c r="AC12" s="27">
        <f>VLOOKUP(D12,宠物成长生成表!$B$5:$J$103,7,0)*$AH$5</f>
        <v>280.44</v>
      </c>
      <c r="AD12" s="27">
        <f>VLOOKUP(D12,宠物成长生成表!$B$5:$J$103,6,0)</f>
        <v>56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62">
        <f t="shared" ref="AO12:AR14" si="3">S12+Z12</f>
        <v>1100.95</v>
      </c>
      <c r="AP12" s="62">
        <f t="shared" si="3"/>
        <v>344.43</v>
      </c>
      <c r="AQ12" s="62">
        <f t="shared" si="3"/>
        <v>445.04999999999995</v>
      </c>
      <c r="AR12" s="64">
        <f t="shared" si="3"/>
        <v>280.44</v>
      </c>
    </row>
    <row r="13" spans="2:44">
      <c r="B13" s="75"/>
      <c r="C13" s="30" t="s">
        <v>427</v>
      </c>
      <c r="D13" s="30">
        <v>2</v>
      </c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65"/>
      <c r="T13" s="65"/>
      <c r="U13" s="65"/>
      <c r="V13" s="65"/>
      <c r="W13" s="65"/>
      <c r="X13" s="30"/>
      <c r="Y13" s="30"/>
      <c r="Z13" s="30">
        <f>VLOOKUP(D13,宠物成长生成表!$B$5:$J$103,3,0)*$AK$2</f>
        <v>1100.95</v>
      </c>
      <c r="AA13" s="30">
        <f>VLOOKUP(D13,宠物成长生成表!$B$5:$J$103,4,0)*$AK$3</f>
        <v>445.04999999999995</v>
      </c>
      <c r="AB13" s="30">
        <f>VLOOKUP(D13,宠物成长生成表!$B$5:$J$103,4,0)*$AK$4</f>
        <v>344.43</v>
      </c>
      <c r="AC13" s="30">
        <f>VLOOKUP(D13,宠物成长生成表!$B$5:$J$103,7,0)*$AK$5</f>
        <v>280.44</v>
      </c>
      <c r="AD13" s="30">
        <f>VLOOKUP(D13,宠物成长生成表!$B$5:$J$103,6,0)</f>
        <v>56</v>
      </c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65">
        <f t="shared" si="3"/>
        <v>1100.95</v>
      </c>
      <c r="AP13" s="65">
        <f t="shared" si="3"/>
        <v>445.04999999999995</v>
      </c>
      <c r="AQ13" s="65">
        <f t="shared" si="3"/>
        <v>344.43</v>
      </c>
      <c r="AR13" s="67">
        <f t="shared" si="3"/>
        <v>280.44</v>
      </c>
    </row>
    <row r="14" spans="2:44" ht="14.25" thickBot="1">
      <c r="B14" s="76"/>
      <c r="C14" s="40" t="s">
        <v>394</v>
      </c>
      <c r="D14" s="40">
        <v>2</v>
      </c>
      <c r="E14" s="40"/>
      <c r="F14" s="40"/>
      <c r="G14" s="40"/>
      <c r="H14" s="40"/>
      <c r="I14" s="40"/>
      <c r="J14" s="40"/>
      <c r="K14" s="69"/>
      <c r="L14" s="40"/>
      <c r="M14" s="69"/>
      <c r="N14" s="40"/>
      <c r="O14" s="40"/>
      <c r="P14" s="40"/>
      <c r="Q14" s="40"/>
      <c r="R14" s="40"/>
      <c r="S14" s="68"/>
      <c r="T14" s="68"/>
      <c r="U14" s="68"/>
      <c r="V14" s="68"/>
      <c r="W14" s="68"/>
      <c r="X14" s="40"/>
      <c r="Y14" s="40"/>
      <c r="Z14" s="40">
        <f>VLOOKUP(D13,宠物成长生成表!$B$5:$J$103,3,0)*$AJ$2</f>
        <v>1362</v>
      </c>
      <c r="AA14" s="40">
        <f>VLOOKUP(D13,宠物成长生成表!$B$5:$J$103,4,0)*$AJ$3</f>
        <v>348.3</v>
      </c>
      <c r="AB14" s="40">
        <f>VLOOKUP(D13,宠物成长生成表!$B$5:$J$103,4,0)*$AJ$4</f>
        <v>348.3</v>
      </c>
      <c r="AC14" s="40">
        <f>VLOOKUP(D13,宠物成长生成表!$B$5:$J$103,7,0)*$AJ$5</f>
        <v>324.72000000000003</v>
      </c>
      <c r="AD14" s="40">
        <f>VLOOKUP(D13,宠物成长生成表!$B$5:$J$103,6,0)</f>
        <v>56</v>
      </c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68">
        <f t="shared" si="3"/>
        <v>1362</v>
      </c>
      <c r="AP14" s="68">
        <f t="shared" si="3"/>
        <v>348.3</v>
      </c>
      <c r="AQ14" s="68">
        <f t="shared" si="3"/>
        <v>348.3</v>
      </c>
      <c r="AR14" s="70">
        <f t="shared" si="3"/>
        <v>324.72000000000003</v>
      </c>
    </row>
    <row r="15" spans="2:44">
      <c r="B15" s="74" t="s">
        <v>376</v>
      </c>
      <c r="C15" s="27" t="s">
        <v>426</v>
      </c>
      <c r="D15" s="27">
        <v>3</v>
      </c>
      <c r="E15" s="27"/>
      <c r="F15" s="27"/>
      <c r="G15" s="27"/>
      <c r="H15" s="27">
        <v>1</v>
      </c>
      <c r="I15" s="63"/>
      <c r="J15" s="27"/>
      <c r="K15" s="63"/>
      <c r="L15" s="27"/>
      <c r="M15" s="63"/>
      <c r="N15" s="27"/>
      <c r="O15" s="27"/>
      <c r="P15" s="27"/>
      <c r="Q15" s="27"/>
      <c r="R15" s="65">
        <f>IF(J15=1,装备拆分数值生成!$R$43,0)+K15*装备拆分数值生成!$R$4</f>
        <v>0</v>
      </c>
      <c r="S15" s="62">
        <f>IF(H15=1,装备拆分数值生成!$S$42,0)+I15*装备拆分数值生成!$S$3</f>
        <v>74.400000000000006</v>
      </c>
      <c r="T15" s="62">
        <f>IF(H15=1,装备拆分数值生成!$T$42,0)+I15*装备拆分数值生成!$T$3</f>
        <v>148.80000000000001</v>
      </c>
      <c r="U15" s="62">
        <f>IF(J15=1,装备拆分数值生成!$R$43,0)+K15*装备拆分数值生成!$R$4</f>
        <v>0</v>
      </c>
      <c r="V15" s="27"/>
      <c r="W15" s="62"/>
      <c r="X15" s="27"/>
      <c r="Y15" s="27"/>
      <c r="Z15" s="27">
        <f>VLOOKUP(D15,宠物成长生成表!$B$5:$J$103,3,0)*$AH$2</f>
        <v>1143.6299999999999</v>
      </c>
      <c r="AA15" s="27">
        <f>VLOOKUP(D15,宠物成长生成表!$B$5:$J$103,4,0)*$AH$3</f>
        <v>357.78000000000003</v>
      </c>
      <c r="AB15" s="27">
        <f>VLOOKUP(D15,宠物成长生成表!$B$5:$J$103,4,0)*$AH$4</f>
        <v>462.29999999999995</v>
      </c>
      <c r="AC15" s="27">
        <f>VLOOKUP(D15,宠物成长生成表!$B$5:$J$103,7,0)*$AH$5</f>
        <v>291.84000000000003</v>
      </c>
      <c r="AD15" s="27">
        <f>VLOOKUP(D15,宠物成长生成表!$B$5:$J$103,6,0)</f>
        <v>57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62">
        <f t="shared" ref="AO15:AO46" si="4">R15+Z15</f>
        <v>1143.6299999999999</v>
      </c>
      <c r="AP15" s="62">
        <f t="shared" ref="AP15:AP46" si="5">S15+AA15</f>
        <v>432.18000000000006</v>
      </c>
      <c r="AQ15" s="62">
        <f t="shared" ref="AQ15:AQ46" si="6">T15+AB15</f>
        <v>611.09999999999991</v>
      </c>
      <c r="AR15" s="64">
        <f t="shared" ref="AR15:AR46" si="7">U15+AC15</f>
        <v>291.84000000000003</v>
      </c>
    </row>
    <row r="16" spans="2:44">
      <c r="B16" s="75"/>
      <c r="C16" s="30" t="s">
        <v>427</v>
      </c>
      <c r="D16" s="30">
        <v>3</v>
      </c>
      <c r="E16" s="30"/>
      <c r="F16" s="30"/>
      <c r="G16" s="30"/>
      <c r="H16" s="30"/>
      <c r="I16" s="66"/>
      <c r="J16" s="30">
        <v>1</v>
      </c>
      <c r="K16" s="66"/>
      <c r="L16" s="30"/>
      <c r="M16" s="66"/>
      <c r="N16" s="30"/>
      <c r="O16" s="30"/>
      <c r="P16" s="30"/>
      <c r="Q16" s="30"/>
      <c r="R16" s="65">
        <f>IF(J16=1,装备拆分数值生成!$AF$43,0)+K16*装备拆分数值生成!$N$5</f>
        <v>272.75</v>
      </c>
      <c r="S16" s="65">
        <f>IF(H16=1,装备拆分数值生成!$L$42,0)+能力数值!I16*装备拆分数值生成!$L$3</f>
        <v>0</v>
      </c>
      <c r="T16" s="65">
        <f>IF(H16=1,装备拆分数值生成!$M$42,0)+能力数值!I16*装备拆分数值生成!$M$3</f>
        <v>0</v>
      </c>
      <c r="U16" s="65">
        <f>IF(L16=1,装备拆分数值生成!$N$44,0)+装备拆分数值生成!$N$5*能力数值!M16</f>
        <v>0</v>
      </c>
      <c r="V16" s="30"/>
      <c r="W16" s="65"/>
      <c r="X16" s="30"/>
      <c r="Y16" s="30"/>
      <c r="Z16" s="30">
        <f>VLOOKUP(D16,宠物成长生成表!$B$5:$J$103,3,0)*$AK$2</f>
        <v>1143.6299999999999</v>
      </c>
      <c r="AA16" s="30">
        <f>VLOOKUP(D16,宠物成长生成表!$B$5:$J$103,4,0)*$AK$3</f>
        <v>462.29999999999995</v>
      </c>
      <c r="AB16" s="30">
        <f>VLOOKUP(D16,宠物成长生成表!$B$5:$J$103,4,0)*$AK$4</f>
        <v>357.78000000000003</v>
      </c>
      <c r="AC16" s="30">
        <f>VLOOKUP(D16,宠物成长生成表!$B$5:$J$103,7,0)*$AK$5</f>
        <v>291.84000000000003</v>
      </c>
      <c r="AD16" s="30">
        <f>VLOOKUP(D16,宠物成长生成表!$B$5:$J$103,6,0)</f>
        <v>57</v>
      </c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65">
        <f t="shared" si="4"/>
        <v>1416.3799999999999</v>
      </c>
      <c r="AP16" s="65">
        <f t="shared" si="5"/>
        <v>462.29999999999995</v>
      </c>
      <c r="AQ16" s="65">
        <f t="shared" si="6"/>
        <v>357.78000000000003</v>
      </c>
      <c r="AR16" s="67">
        <f t="shared" si="7"/>
        <v>291.84000000000003</v>
      </c>
    </row>
    <row r="17" spans="2:44" ht="14.25" thickBot="1">
      <c r="B17" s="76"/>
      <c r="C17" s="40" t="s">
        <v>394</v>
      </c>
      <c r="D17" s="40">
        <v>3</v>
      </c>
      <c r="E17" s="40"/>
      <c r="F17" s="40"/>
      <c r="G17" s="40"/>
      <c r="H17" s="40">
        <v>0</v>
      </c>
      <c r="I17" s="69"/>
      <c r="J17" s="40">
        <v>1</v>
      </c>
      <c r="K17" s="69"/>
      <c r="L17" s="40"/>
      <c r="M17" s="69"/>
      <c r="N17" s="40"/>
      <c r="O17" s="40"/>
      <c r="P17" s="40"/>
      <c r="Q17" s="40"/>
      <c r="R17" s="68">
        <f>IF(J17=1,装备拆分数值生成!$AF$43,0)+装备拆分数值生成!$AF$4*能力数值!K17</f>
        <v>272.75</v>
      </c>
      <c r="S17" s="68">
        <f>IF(H17=1,装备拆分数值生成!$AG$42,0)+能力数值!I17*装备拆分数值生成!$AG$3</f>
        <v>0</v>
      </c>
      <c r="T17" s="68">
        <f>IF(H17=1,装备拆分数值生成!$AH$42,0)+能力数值!I17*装备拆分数值生成!$AH$3</f>
        <v>0</v>
      </c>
      <c r="U17" s="68">
        <f>IF(L17=1,装备拆分数值生成!$AI$44,0)+装备拆分数值生成!$AI$5*能力数值!M17</f>
        <v>0</v>
      </c>
      <c r="V17" s="40"/>
      <c r="W17" s="68"/>
      <c r="X17" s="40"/>
      <c r="Y17" s="40"/>
      <c r="Z17" s="40">
        <f>VLOOKUP(D16,宠物成长生成表!$B$5:$J$103,3,0)*$AJ$2</f>
        <v>1414.8</v>
      </c>
      <c r="AA17" s="40">
        <f>VLOOKUP(D16,宠物成长生成表!$B$5:$J$103,4,0)*$AJ$3</f>
        <v>361.8</v>
      </c>
      <c r="AB17" s="40">
        <f>VLOOKUP(D16,宠物成长生成表!$B$5:$J$103,4,0)*$AJ$4</f>
        <v>361.8</v>
      </c>
      <c r="AC17" s="40">
        <f>VLOOKUP(D16,宠物成长生成表!$B$5:$J$103,7,0)*$AJ$5</f>
        <v>337.92</v>
      </c>
      <c r="AD17" s="40">
        <f>VLOOKUP(D16,宠物成长生成表!$B$5:$J$103,6,0)</f>
        <v>57</v>
      </c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68">
        <f t="shared" si="4"/>
        <v>1687.55</v>
      </c>
      <c r="AP17" s="68">
        <f t="shared" si="5"/>
        <v>361.8</v>
      </c>
      <c r="AQ17" s="68">
        <f t="shared" si="6"/>
        <v>361.8</v>
      </c>
      <c r="AR17" s="70">
        <f t="shared" si="7"/>
        <v>337.92</v>
      </c>
    </row>
    <row r="18" spans="2:44">
      <c r="B18" s="75" t="s">
        <v>377</v>
      </c>
      <c r="C18" s="30" t="s">
        <v>430</v>
      </c>
      <c r="D18" s="30">
        <v>2</v>
      </c>
      <c r="E18" s="30"/>
      <c r="F18" s="30"/>
      <c r="G18" s="30"/>
      <c r="H18" s="30">
        <v>1</v>
      </c>
      <c r="I18" s="66"/>
      <c r="J18" s="30"/>
      <c r="K18" s="66"/>
      <c r="L18" s="30"/>
      <c r="M18" s="66"/>
      <c r="N18" s="30"/>
      <c r="O18" s="30"/>
      <c r="P18" s="30"/>
      <c r="Q18" s="30"/>
      <c r="R18" s="65">
        <f>IF(J18=1,装备拆分数值生成!$R$43,0)+K18*装备拆分数值生成!$R$4</f>
        <v>0</v>
      </c>
      <c r="S18" s="62">
        <f>IF(H18=1,装备拆分数值生成!$S$42,0)+I18*装备拆分数值生成!$S$3</f>
        <v>74.400000000000006</v>
      </c>
      <c r="T18" s="62">
        <f>IF(H18=1,装备拆分数值生成!$T$42,0)+I18*装备拆分数值生成!$T$3</f>
        <v>148.80000000000001</v>
      </c>
      <c r="U18" s="62">
        <f>IF(J18=1,装备拆分数值生成!$R$43,0)+K18*装备拆分数值生成!$R$4</f>
        <v>0</v>
      </c>
      <c r="W18" s="65"/>
      <c r="X18" s="30"/>
      <c r="Y18" s="30"/>
      <c r="Z18" s="30">
        <f>VLOOKUP(D18,宠物成长生成表!$B$5:$J$103,3,0)*$AH$2</f>
        <v>1100.95</v>
      </c>
      <c r="AA18" s="30">
        <f>VLOOKUP(D18,宠物成长生成表!$B$5:$J$103,4,0)*$AH$3</f>
        <v>344.43</v>
      </c>
      <c r="AB18" s="30">
        <f>VLOOKUP(D18,宠物成长生成表!$B$5:$J$103,4,0)*$AH$4</f>
        <v>445.04999999999995</v>
      </c>
      <c r="AC18" s="30">
        <f>VLOOKUP(D18,宠物成长生成表!$B$5:$J$103,7,0)*$AH$5</f>
        <v>280.44</v>
      </c>
      <c r="AD18" s="30">
        <f>VLOOKUP(D18,宠物成长生成表!$B$5:$J$103,6,0)</f>
        <v>56</v>
      </c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65">
        <f t="shared" si="4"/>
        <v>1100.95</v>
      </c>
      <c r="AP18" s="65">
        <f t="shared" si="5"/>
        <v>418.83000000000004</v>
      </c>
      <c r="AQ18" s="65">
        <f t="shared" si="6"/>
        <v>593.84999999999991</v>
      </c>
      <c r="AR18" s="67">
        <f t="shared" si="7"/>
        <v>280.44</v>
      </c>
    </row>
    <row r="19" spans="2:44">
      <c r="B19" s="75"/>
      <c r="C19" s="30" t="s">
        <v>427</v>
      </c>
      <c r="D19" s="30">
        <v>4</v>
      </c>
      <c r="E19" s="30"/>
      <c r="F19" s="30"/>
      <c r="G19" s="30"/>
      <c r="H19" s="30"/>
      <c r="I19" s="66"/>
      <c r="J19" s="30">
        <v>1</v>
      </c>
      <c r="K19" s="66"/>
      <c r="L19" s="30">
        <v>1</v>
      </c>
      <c r="M19" s="66"/>
      <c r="N19" s="30"/>
      <c r="O19" s="30"/>
      <c r="P19" s="30"/>
      <c r="Q19" s="30" t="s">
        <v>404</v>
      </c>
      <c r="R19" s="65">
        <f>IF(J19=1,装备拆分数值生成!$AF$43,0)+K19*装备拆分数值生成!$N$5</f>
        <v>272.75</v>
      </c>
      <c r="S19" s="65">
        <f>IF(H19=1,装备拆分数值生成!$L$42,0)+能力数值!I19*装备拆分数值生成!$L$3</f>
        <v>0</v>
      </c>
      <c r="T19" s="65">
        <f>IF(H19=1,装备拆分数值生成!$M$42,0)+能力数值!I19*装备拆分数值生成!$M$3</f>
        <v>0</v>
      </c>
      <c r="U19" s="65">
        <f>IF(L19=1,装备拆分数值生成!$N$44,0)+装备拆分数值生成!$N$5*能力数值!M19</f>
        <v>71</v>
      </c>
      <c r="W19" s="65"/>
      <c r="X19" s="30"/>
      <c r="Y19" s="30"/>
      <c r="Z19" s="30">
        <f>VLOOKUP(D19,宠物成长生成表!$B$5:$J$103,3,0)*$AK$2</f>
        <v>1186.31</v>
      </c>
      <c r="AA19" s="30">
        <f>VLOOKUP(D19,宠物成长生成表!$B$5:$J$103,4,0)*$AK$3</f>
        <v>479.54999999999995</v>
      </c>
      <c r="AB19" s="30">
        <f>VLOOKUP(D19,宠物成长生成表!$B$5:$J$103,4,0)*$AK$4</f>
        <v>371.13</v>
      </c>
      <c r="AC19" s="30">
        <f>VLOOKUP(D19,宠物成长生成表!$B$5:$J$103,7,0)*$AK$5</f>
        <v>302.48</v>
      </c>
      <c r="AD19" s="30">
        <f>VLOOKUP(D19,宠物成长生成表!$B$5:$J$103,6,0)</f>
        <v>58</v>
      </c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65">
        <f t="shared" si="4"/>
        <v>1459.06</v>
      </c>
      <c r="AP19" s="65">
        <f t="shared" si="5"/>
        <v>479.54999999999995</v>
      </c>
      <c r="AQ19" s="65">
        <f t="shared" si="6"/>
        <v>371.13</v>
      </c>
      <c r="AR19" s="67">
        <f t="shared" si="7"/>
        <v>373.48</v>
      </c>
    </row>
    <row r="20" spans="2:44">
      <c r="B20" s="75"/>
      <c r="C20" s="30" t="s">
        <v>394</v>
      </c>
      <c r="D20" s="30">
        <v>4</v>
      </c>
      <c r="E20" s="30"/>
      <c r="F20" s="30"/>
      <c r="G20" s="30"/>
      <c r="H20" s="30">
        <v>1</v>
      </c>
      <c r="I20" s="66"/>
      <c r="J20" s="30">
        <v>1</v>
      </c>
      <c r="K20" s="66"/>
      <c r="L20" s="30">
        <v>1</v>
      </c>
      <c r="M20" s="66"/>
      <c r="N20" s="30"/>
      <c r="O20" s="30"/>
      <c r="P20" s="30"/>
      <c r="Q20" s="30"/>
      <c r="R20" s="65">
        <f>IF(J20=1,装备拆分数值生成!$AF$43,0)+装备拆分数值生成!$AF$4*能力数值!K20</f>
        <v>272.75</v>
      </c>
      <c r="S20" s="65">
        <f>IF(H20=1,装备拆分数值生成!$AG$42,0)+能力数值!I20*装备拆分数值生成!$AG$3</f>
        <v>111.6</v>
      </c>
      <c r="T20" s="65">
        <f>IF(H20=1,装备拆分数值生成!$AH$42,0)+能力数值!I20*装备拆分数值生成!$AH$3</f>
        <v>111.6</v>
      </c>
      <c r="U20" s="65">
        <f>IF(L20=1,装备拆分数值生成!$AI$44,0)+装备拆分数值生成!$AI$5*能力数值!M20</f>
        <v>88.75</v>
      </c>
      <c r="W20" s="65"/>
      <c r="X20" s="30"/>
      <c r="Y20" s="30"/>
      <c r="Z20" s="30">
        <f>VLOOKUP(D19,宠物成长生成表!$B$5:$J$103,3,0)*$AJ$2</f>
        <v>1467.6</v>
      </c>
      <c r="AA20" s="30">
        <f>VLOOKUP(D19,宠物成长生成表!$B$5:$J$103,4,0)*$AJ$3</f>
        <v>375.3</v>
      </c>
      <c r="AB20" s="30">
        <f>VLOOKUP(D19,宠物成长生成表!$B$5:$J$103,4,0)*$AJ$4</f>
        <v>375.3</v>
      </c>
      <c r="AC20" s="30">
        <f>VLOOKUP(D19,宠物成长生成表!$B$5:$J$103,7,0)*$AJ$5</f>
        <v>350.24</v>
      </c>
      <c r="AD20" s="30">
        <f>VLOOKUP(D19,宠物成长生成表!$B$5:$J$103,6,0)</f>
        <v>58</v>
      </c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65">
        <f t="shared" si="4"/>
        <v>1740.35</v>
      </c>
      <c r="AP20" s="65">
        <f t="shared" si="5"/>
        <v>486.9</v>
      </c>
      <c r="AQ20" s="65">
        <f t="shared" si="6"/>
        <v>486.9</v>
      </c>
      <c r="AR20" s="67">
        <f t="shared" si="7"/>
        <v>438.99</v>
      </c>
    </row>
    <row r="21" spans="2:44" ht="14.25" thickBot="1">
      <c r="B21" s="76"/>
      <c r="C21" s="40" t="s">
        <v>428</v>
      </c>
      <c r="D21" s="40">
        <v>2</v>
      </c>
      <c r="E21" s="40"/>
      <c r="F21" s="40"/>
      <c r="G21" s="40"/>
      <c r="H21" s="40">
        <v>1</v>
      </c>
      <c r="I21" s="69"/>
      <c r="J21" s="40"/>
      <c r="K21" s="69"/>
      <c r="L21" s="40"/>
      <c r="M21" s="69"/>
      <c r="N21" s="40"/>
      <c r="O21" s="40"/>
      <c r="P21" s="40"/>
      <c r="Q21" s="40"/>
      <c r="R21" s="68">
        <f>IF(能力数值!J21=1,装备拆分数值生成!$Y$4,0)+能力数值!K21*装备拆分数值生成!$Y$4</f>
        <v>0</v>
      </c>
      <c r="S21" s="68">
        <f>IF(H21=0,0,装备拆分数值生成!$Z$42)+装备拆分数值生成!$Z$3*能力数值!I21</f>
        <v>102.30000000000001</v>
      </c>
      <c r="T21" s="68">
        <f>IF(H21=0,0,装备拆分数值生成!$AA$42)+装备拆分数值生成!$AA$3*能力数值!I21</f>
        <v>102.30000000000001</v>
      </c>
      <c r="U21" s="68">
        <f>IF(L21=0,0,装备拆分数值生成!$AB$44)+装备拆分数值生成!$AB$5*能力数值!M21</f>
        <v>0</v>
      </c>
      <c r="V21" s="40"/>
      <c r="W21" s="68"/>
      <c r="X21" s="40"/>
      <c r="Y21" s="40"/>
      <c r="Z21" s="40">
        <f>VLOOKUP(D21,宠物成长生成表!$B$5:$J$103,3,0)*$AI$2</f>
        <v>1475.5</v>
      </c>
      <c r="AA21" s="40">
        <f>VLOOKUP(D21,宠物成长生成表!$B$5:$J$103,4,0)*$AI$3</f>
        <v>309.60000000000002</v>
      </c>
      <c r="AB21" s="40">
        <f>VLOOKUP(D21,宠物成长生成表!$B$5:$J$103,4,0)*$AI$4</f>
        <v>309.60000000000002</v>
      </c>
      <c r="AC21" s="40">
        <f>VLOOKUP(D21,宠物成长生成表!$B$5:$J$103,7,0)*$AI$5</f>
        <v>487.08000000000004</v>
      </c>
      <c r="AD21" s="40">
        <f>VLOOKUP(D21,宠物成长生成表!$B$5:$J$103,6,0)</f>
        <v>56</v>
      </c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68">
        <f t="shared" si="4"/>
        <v>1475.5</v>
      </c>
      <c r="AP21" s="68">
        <f t="shared" si="5"/>
        <v>411.90000000000003</v>
      </c>
      <c r="AQ21" s="68">
        <f t="shared" si="6"/>
        <v>411.90000000000003</v>
      </c>
      <c r="AR21" s="70">
        <f t="shared" si="7"/>
        <v>487.08000000000004</v>
      </c>
    </row>
    <row r="22" spans="2:44">
      <c r="B22" s="74" t="s">
        <v>378</v>
      </c>
      <c r="C22" s="27" t="s">
        <v>429</v>
      </c>
      <c r="D22" s="27">
        <v>3</v>
      </c>
      <c r="E22" s="27"/>
      <c r="F22" s="27"/>
      <c r="G22" s="27"/>
      <c r="H22" s="27">
        <v>1</v>
      </c>
      <c r="I22" s="63"/>
      <c r="J22" s="27"/>
      <c r="K22" s="63"/>
      <c r="L22" s="27">
        <v>1</v>
      </c>
      <c r="M22" s="63"/>
      <c r="N22" s="27"/>
      <c r="O22" s="27"/>
      <c r="P22" s="27"/>
      <c r="Q22" s="27"/>
      <c r="R22" s="65">
        <f>IF(J22=1,装备拆分数值生成!$R$43,0)+K22*装备拆分数值生成!$R$4</f>
        <v>0</v>
      </c>
      <c r="S22" s="62">
        <f>IF(H22=1,装备拆分数值生成!$S$42,0)+I22*装备拆分数值生成!$S$3</f>
        <v>74.400000000000006</v>
      </c>
      <c r="T22" s="62">
        <f>IF(H22=1,装备拆分数值生成!$T$42,0)+I22*装备拆分数值生成!$T$3</f>
        <v>148.80000000000001</v>
      </c>
      <c r="U22" s="62">
        <f>IF(J22=1,装备拆分数值生成!$R$43,0)+K22*装备拆分数值生成!$R$4</f>
        <v>0</v>
      </c>
      <c r="W22" s="62"/>
      <c r="X22" s="27"/>
      <c r="Y22" s="27"/>
      <c r="Z22" s="27">
        <f>VLOOKUP(D22,宠物成长生成表!$B$5:$J$103,3,0)*$AH$2</f>
        <v>1143.6299999999999</v>
      </c>
      <c r="AA22" s="27">
        <f>VLOOKUP(D22,宠物成长生成表!$B$5:$J$103,4,0)*$AH$3</f>
        <v>357.78000000000003</v>
      </c>
      <c r="AB22" s="27">
        <f>VLOOKUP(D22,宠物成长生成表!$B$5:$J$103,4,0)*$AH$4</f>
        <v>462.29999999999995</v>
      </c>
      <c r="AC22" s="27">
        <f>VLOOKUP(D22,宠物成长生成表!$B$5:$J$103,7,0)*$AH$5</f>
        <v>291.84000000000003</v>
      </c>
      <c r="AD22" s="27">
        <f>VLOOKUP(D22,宠物成长生成表!$B$5:$J$103,6,0)</f>
        <v>57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62">
        <f t="shared" si="4"/>
        <v>1143.6299999999999</v>
      </c>
      <c r="AP22" s="62">
        <f t="shared" si="5"/>
        <v>432.18000000000006</v>
      </c>
      <c r="AQ22" s="62">
        <f t="shared" si="6"/>
        <v>611.09999999999991</v>
      </c>
      <c r="AR22" s="64">
        <f t="shared" si="7"/>
        <v>291.84000000000003</v>
      </c>
    </row>
    <row r="23" spans="2:44">
      <c r="B23" s="75"/>
      <c r="C23" s="30" t="s">
        <v>427</v>
      </c>
      <c r="D23" s="30">
        <v>5</v>
      </c>
      <c r="E23" s="30"/>
      <c r="F23" s="30"/>
      <c r="G23" s="30"/>
      <c r="H23" s="30"/>
      <c r="I23" s="66"/>
      <c r="J23" s="30">
        <v>1</v>
      </c>
      <c r="K23" s="66"/>
      <c r="L23" s="30"/>
      <c r="M23" s="66"/>
      <c r="N23" s="30"/>
      <c r="O23" s="30"/>
      <c r="P23" s="30"/>
      <c r="Q23" s="30" t="s">
        <v>411</v>
      </c>
      <c r="R23" s="65">
        <f>IF(J23=1,装备拆分数值生成!$AF$43,0)+K23*装备拆分数值生成!$N$5</f>
        <v>272.75</v>
      </c>
      <c r="S23" s="65">
        <f>IF(H23=1,装备拆分数值生成!$L$42,0)+能力数值!I23*装备拆分数值生成!$L$3</f>
        <v>0</v>
      </c>
      <c r="T23" s="65">
        <f>IF(H23=1,装备拆分数值生成!$M$42,0)+能力数值!I23*装备拆分数值生成!$M$3</f>
        <v>0</v>
      </c>
      <c r="U23" s="65">
        <f>IF(L23=1,装备拆分数值生成!$N$44,0)+装备拆分数值生成!$N$5*能力数值!M23</f>
        <v>0</v>
      </c>
      <c r="W23" s="65"/>
      <c r="X23" s="30"/>
      <c r="Y23" s="30"/>
      <c r="Z23" s="30">
        <f>VLOOKUP(D23,宠物成长生成表!$B$5:$J$103,3,0)*$AJ$2</f>
        <v>1520.3999999999999</v>
      </c>
      <c r="AA23" s="30">
        <f>VLOOKUP(D23,宠物成长生成表!$B$5:$J$103,4,0)*$AJ$3</f>
        <v>388.8</v>
      </c>
      <c r="AB23" s="30">
        <f>VLOOKUP(D23,宠物成长生成表!$B$5:$J$103,4,0)*$AJ$4</f>
        <v>388.8</v>
      </c>
      <c r="AC23" s="30">
        <f>VLOOKUP(D23,宠物成长生成表!$B$5:$J$103,7,0)*$AJ$5</f>
        <v>362.56</v>
      </c>
      <c r="AD23" s="30">
        <f>VLOOKUP(D23,宠物成长生成表!$B$5:$J$103,6,0)</f>
        <v>59</v>
      </c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65">
        <f t="shared" si="4"/>
        <v>1793.1499999999999</v>
      </c>
      <c r="AP23" s="65">
        <f t="shared" si="5"/>
        <v>388.8</v>
      </c>
      <c r="AQ23" s="65">
        <f t="shared" si="6"/>
        <v>388.8</v>
      </c>
      <c r="AR23" s="67">
        <f t="shared" si="7"/>
        <v>362.56</v>
      </c>
    </row>
    <row r="24" spans="2:44">
      <c r="B24" s="75"/>
      <c r="C24" s="30" t="s">
        <v>394</v>
      </c>
      <c r="D24" s="30">
        <v>5</v>
      </c>
      <c r="E24" s="30"/>
      <c r="F24" s="30"/>
      <c r="G24" s="30"/>
      <c r="H24" s="30">
        <v>1</v>
      </c>
      <c r="I24" s="66"/>
      <c r="J24" s="30">
        <v>1</v>
      </c>
      <c r="K24" s="66"/>
      <c r="L24" s="30">
        <v>1</v>
      </c>
      <c r="M24" s="66"/>
      <c r="N24" s="30"/>
      <c r="O24" s="30"/>
      <c r="P24" s="30"/>
      <c r="Q24" s="30"/>
      <c r="R24" s="65">
        <f>IF(J24=1,装备拆分数值生成!$AF$43,0)+装备拆分数值生成!$AF$4*能力数值!K24</f>
        <v>272.75</v>
      </c>
      <c r="S24" s="65">
        <f>IF(H24=1,装备拆分数值生成!$AG$42,0)+能力数值!I24*装备拆分数值生成!$AG$3</f>
        <v>111.6</v>
      </c>
      <c r="T24" s="65">
        <f>IF(H24=1,装备拆分数值生成!$AH$42,0)+能力数值!I24*装备拆分数值生成!$AH$3</f>
        <v>111.6</v>
      </c>
      <c r="U24" s="65">
        <f>IF(L24=1,装备拆分数值生成!$AI$44,0)+装备拆分数值生成!$AI$5*能力数值!M24</f>
        <v>88.75</v>
      </c>
      <c r="W24" s="65"/>
      <c r="X24" s="30"/>
      <c r="Y24" s="30"/>
      <c r="Z24" s="30">
        <f>VLOOKUP(D24,宠物成长生成表!$B$5:$J$103,3,0)*$AI$2</f>
        <v>1647.1000000000001</v>
      </c>
      <c r="AA24" s="30">
        <f>VLOOKUP(D24,宠物成长生成表!$B$5:$J$103,4,0)*$AI$3</f>
        <v>345.6</v>
      </c>
      <c r="AB24" s="30">
        <f>VLOOKUP(D24,宠物成长生成表!$B$5:$J$103,4,0)*$AI$4</f>
        <v>345.6</v>
      </c>
      <c r="AC24" s="30">
        <f>VLOOKUP(D24,宠物成长生成表!$B$5:$J$103,7,0)*$AI$5</f>
        <v>543.84</v>
      </c>
      <c r="AD24" s="30">
        <f>VLOOKUP(D24,宠物成长生成表!$B$5:$J$103,6,0)</f>
        <v>59</v>
      </c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65">
        <f t="shared" si="4"/>
        <v>1919.8500000000001</v>
      </c>
      <c r="AP24" s="65">
        <f t="shared" si="5"/>
        <v>457.20000000000005</v>
      </c>
      <c r="AQ24" s="65">
        <f t="shared" si="6"/>
        <v>457.20000000000005</v>
      </c>
      <c r="AR24" s="67">
        <f t="shared" si="7"/>
        <v>632.59</v>
      </c>
    </row>
    <row r="25" spans="2:44" ht="14.25" thickBot="1">
      <c r="B25" s="76"/>
      <c r="C25" s="40" t="s">
        <v>428</v>
      </c>
      <c r="D25" s="40">
        <v>2</v>
      </c>
      <c r="E25" s="40"/>
      <c r="F25" s="40"/>
      <c r="G25" s="40"/>
      <c r="H25" s="40"/>
      <c r="I25" s="69"/>
      <c r="J25" s="40"/>
      <c r="K25" s="69"/>
      <c r="L25" s="40"/>
      <c r="M25" s="69"/>
      <c r="N25" s="40"/>
      <c r="O25" s="40"/>
      <c r="P25" s="40"/>
      <c r="Q25" s="40"/>
      <c r="R25" s="68">
        <f>IF(能力数值!J25=1,装备拆分数值生成!$Y$4,0)+能力数值!K25*装备拆分数值生成!$Y$4</f>
        <v>0</v>
      </c>
      <c r="S25" s="68">
        <f>IF(H25=0,0,装备拆分数值生成!$Z$42)+装备拆分数值生成!$Z$3*能力数值!I25</f>
        <v>0</v>
      </c>
      <c r="T25" s="68">
        <f>IF(H25=0,0,装备拆分数值生成!$AA$42)+装备拆分数值生成!$AA$3*能力数值!I25</f>
        <v>0</v>
      </c>
      <c r="U25" s="68">
        <f>IF(L25=0,0,装备拆分数值生成!$AB$44)+装备拆分数值生成!$AB$5*能力数值!M25</f>
        <v>0</v>
      </c>
      <c r="V25" s="40"/>
      <c r="W25" s="68"/>
      <c r="X25" s="40"/>
      <c r="Y25" s="40"/>
      <c r="Z25" s="40">
        <f>VLOOKUP(D25,宠物成长生成表!$B$5:$J$103,3,0)*$AI$2</f>
        <v>1475.5</v>
      </c>
      <c r="AA25" s="40">
        <f>VLOOKUP(D25,宠物成长生成表!$B$5:$J$103,4,0)*$AI$3</f>
        <v>309.60000000000002</v>
      </c>
      <c r="AB25" s="40">
        <f>VLOOKUP(D25,宠物成长生成表!$B$5:$J$103,4,0)*$AI$4</f>
        <v>309.60000000000002</v>
      </c>
      <c r="AC25" s="40">
        <f>VLOOKUP(D25,宠物成长生成表!$B$5:$J$103,7,0)*$AI$5</f>
        <v>487.08000000000004</v>
      </c>
      <c r="AD25" s="40">
        <f>VLOOKUP(D25,宠物成长生成表!$B$5:$J$103,6,0)</f>
        <v>56</v>
      </c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68">
        <f t="shared" si="4"/>
        <v>1475.5</v>
      </c>
      <c r="AP25" s="68">
        <f t="shared" si="5"/>
        <v>309.60000000000002</v>
      </c>
      <c r="AQ25" s="68">
        <f t="shared" si="6"/>
        <v>309.60000000000002</v>
      </c>
      <c r="AR25" s="70">
        <f t="shared" si="7"/>
        <v>487.08000000000004</v>
      </c>
    </row>
    <row r="26" spans="2:44">
      <c r="B26" s="74" t="s">
        <v>379</v>
      </c>
      <c r="C26" s="27" t="s">
        <v>429</v>
      </c>
      <c r="D26" s="27">
        <v>4</v>
      </c>
      <c r="E26" s="27"/>
      <c r="F26" s="27"/>
      <c r="G26" s="27"/>
      <c r="H26" s="27">
        <v>1</v>
      </c>
      <c r="I26" s="63"/>
      <c r="J26" s="27">
        <v>1</v>
      </c>
      <c r="K26" s="63"/>
      <c r="L26" s="27">
        <v>1</v>
      </c>
      <c r="M26" s="63"/>
      <c r="N26" s="27"/>
      <c r="O26" s="27"/>
      <c r="P26" s="27"/>
      <c r="Q26" s="27" t="s">
        <v>412</v>
      </c>
      <c r="R26" s="65">
        <f>IF(J26=1,装备拆分数值生成!$R$43,0)+K26*装备拆分数值生成!$R$4</f>
        <v>272.75</v>
      </c>
      <c r="S26" s="62">
        <f>IF(H26=1,装备拆分数值生成!$S$42,0)+I26*装备拆分数值生成!$S$3</f>
        <v>74.400000000000006</v>
      </c>
      <c r="T26" s="62">
        <f>IF(H26=1,装备拆分数值生成!$T$42,0)+I26*装备拆分数值生成!$T$3</f>
        <v>148.80000000000001</v>
      </c>
      <c r="U26" s="62">
        <f>IF(J26=1,装备拆分数值生成!$R$43,0)+K26*装备拆分数值生成!$R$4</f>
        <v>272.75</v>
      </c>
      <c r="W26" s="62"/>
      <c r="X26" s="27"/>
      <c r="Y26" s="27"/>
      <c r="Z26" s="27">
        <f>VLOOKUP(D26,宠物成长生成表!$B$5:$J$103,3,0)*$AH$2</f>
        <v>1186.31</v>
      </c>
      <c r="AA26" s="27">
        <f>VLOOKUP(D26,宠物成长生成表!$B$5:$J$103,4,0)*$AH$3</f>
        <v>371.13</v>
      </c>
      <c r="AB26" s="27">
        <f>VLOOKUP(D26,宠物成长生成表!$B$5:$J$103,4,0)*$AH$4</f>
        <v>479.54999999999995</v>
      </c>
      <c r="AC26" s="27">
        <f>VLOOKUP(D26,宠物成长生成表!$B$5:$J$103,7,0)*$AH$5</f>
        <v>302.48</v>
      </c>
      <c r="AD26" s="27">
        <f>VLOOKUP(D26,宠物成长生成表!$B$5:$J$103,6,0)</f>
        <v>58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62">
        <f t="shared" si="4"/>
        <v>1459.06</v>
      </c>
      <c r="AP26" s="62">
        <f t="shared" si="5"/>
        <v>445.53</v>
      </c>
      <c r="AQ26" s="62">
        <f t="shared" si="6"/>
        <v>628.34999999999991</v>
      </c>
      <c r="AR26" s="64">
        <f t="shared" si="7"/>
        <v>575.23</v>
      </c>
    </row>
    <row r="27" spans="2:44">
      <c r="B27" s="75"/>
      <c r="C27" s="30" t="s">
        <v>427</v>
      </c>
      <c r="D27" s="30">
        <v>5</v>
      </c>
      <c r="E27" s="30"/>
      <c r="F27" s="30"/>
      <c r="G27" s="30"/>
      <c r="H27" s="30"/>
      <c r="I27" s="66"/>
      <c r="J27" s="30">
        <v>1</v>
      </c>
      <c r="K27" s="66"/>
      <c r="L27" s="30">
        <v>1</v>
      </c>
      <c r="M27" s="66"/>
      <c r="N27" s="30"/>
      <c r="O27" s="30"/>
      <c r="P27" s="30"/>
      <c r="Q27" s="30"/>
      <c r="R27" s="65">
        <f>IF(J27=1,装备拆分数值生成!$AF$43,0)+K27*装备拆分数值生成!$N$5</f>
        <v>272.75</v>
      </c>
      <c r="S27" s="65">
        <f>IF(H27=1,装备拆分数值生成!$L$42,0)+能力数值!I27*装备拆分数值生成!$L$3</f>
        <v>0</v>
      </c>
      <c r="T27" s="65">
        <f>IF(H27=1,装备拆分数值生成!$M$42,0)+能力数值!I27*装备拆分数值生成!$M$3</f>
        <v>0</v>
      </c>
      <c r="U27" s="65">
        <f>IF(L27=1,装备拆分数值生成!$N$44,0)+装备拆分数值生成!$N$5*能力数值!M27</f>
        <v>71</v>
      </c>
      <c r="W27" s="65"/>
      <c r="X27" s="30"/>
      <c r="Y27" s="30"/>
      <c r="Z27" s="30">
        <f>VLOOKUP(D27,宠物成长生成表!$B$5:$J$103,3,0)*$AJ$2</f>
        <v>1520.3999999999999</v>
      </c>
      <c r="AA27" s="30">
        <f>VLOOKUP(D27,宠物成长生成表!$B$5:$J$103,4,0)*$AJ$3</f>
        <v>388.8</v>
      </c>
      <c r="AB27" s="30">
        <f>VLOOKUP(D27,宠物成长生成表!$B$5:$J$103,4,0)*$AJ$4</f>
        <v>388.8</v>
      </c>
      <c r="AC27" s="30">
        <f>VLOOKUP(D27,宠物成长生成表!$B$5:$J$103,7,0)*$AJ$5</f>
        <v>362.56</v>
      </c>
      <c r="AD27" s="30">
        <f>VLOOKUP(D27,宠物成长生成表!$B$5:$J$103,6,0)</f>
        <v>59</v>
      </c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65">
        <f t="shared" si="4"/>
        <v>1793.1499999999999</v>
      </c>
      <c r="AP27" s="65">
        <f t="shared" si="5"/>
        <v>388.8</v>
      </c>
      <c r="AQ27" s="65">
        <f t="shared" si="6"/>
        <v>388.8</v>
      </c>
      <c r="AR27" s="67">
        <f t="shared" si="7"/>
        <v>433.56</v>
      </c>
    </row>
    <row r="28" spans="2:44">
      <c r="B28" s="75"/>
      <c r="C28" s="30" t="s">
        <v>394</v>
      </c>
      <c r="D28" s="30">
        <v>5</v>
      </c>
      <c r="E28" s="30"/>
      <c r="F28" s="30"/>
      <c r="G28" s="30"/>
      <c r="H28" s="30">
        <v>1</v>
      </c>
      <c r="I28" s="66"/>
      <c r="J28" s="30">
        <v>1</v>
      </c>
      <c r="K28" s="66"/>
      <c r="L28" s="30">
        <v>1</v>
      </c>
      <c r="M28" s="66"/>
      <c r="N28" s="30"/>
      <c r="O28" s="30"/>
      <c r="P28" s="30"/>
      <c r="Q28" s="30"/>
      <c r="R28" s="65">
        <f>IF(J28=1,装备拆分数值生成!$AF$43,0)+装备拆分数值生成!$AF$4*能力数值!K28</f>
        <v>272.75</v>
      </c>
      <c r="S28" s="65">
        <f>IF(H28=1,装备拆分数值生成!$AG$42,0)+能力数值!I28*装备拆分数值生成!$AG$3</f>
        <v>111.6</v>
      </c>
      <c r="T28" s="65">
        <f>IF(H28=1,装备拆分数值生成!$AH$42,0)+能力数值!I28*装备拆分数值生成!$AH$3</f>
        <v>111.6</v>
      </c>
      <c r="U28" s="65">
        <f>IF(L28=1,装备拆分数值生成!$AI$44,0)+装备拆分数值生成!$AI$5*能力数值!M28</f>
        <v>88.75</v>
      </c>
      <c r="W28" s="65"/>
      <c r="X28" s="30"/>
      <c r="Y28" s="30"/>
      <c r="Z28" s="30">
        <f>VLOOKUP(D28,宠物成长生成表!$B$5:$J$103,3,0)*$AI$2</f>
        <v>1647.1000000000001</v>
      </c>
      <c r="AA28" s="30">
        <f>VLOOKUP(D28,宠物成长生成表!$B$5:$J$103,4,0)*$AI$3</f>
        <v>345.6</v>
      </c>
      <c r="AB28" s="30">
        <f>VLOOKUP(D28,宠物成长生成表!$B$5:$J$103,4,0)*$AI$4</f>
        <v>345.6</v>
      </c>
      <c r="AC28" s="30">
        <f>VLOOKUP(D28,宠物成长生成表!$B$5:$J$103,7,0)*$AI$5</f>
        <v>543.84</v>
      </c>
      <c r="AD28" s="30">
        <f>VLOOKUP(D28,宠物成长生成表!$B$5:$J$103,6,0)</f>
        <v>59</v>
      </c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65">
        <f t="shared" si="4"/>
        <v>1919.8500000000001</v>
      </c>
      <c r="AP28" s="65">
        <f t="shared" si="5"/>
        <v>457.20000000000005</v>
      </c>
      <c r="AQ28" s="65">
        <f t="shared" si="6"/>
        <v>457.20000000000005</v>
      </c>
      <c r="AR28" s="67">
        <f t="shared" si="7"/>
        <v>632.59</v>
      </c>
    </row>
    <row r="29" spans="2:44" ht="14.25" thickBot="1">
      <c r="B29" s="76"/>
      <c r="C29" s="40" t="s">
        <v>428</v>
      </c>
      <c r="D29" s="40">
        <v>3</v>
      </c>
      <c r="E29" s="40"/>
      <c r="F29" s="40"/>
      <c r="G29" s="40"/>
      <c r="H29" s="40"/>
      <c r="I29" s="69"/>
      <c r="J29" s="40"/>
      <c r="K29" s="69"/>
      <c r="L29" s="40"/>
      <c r="M29" s="69"/>
      <c r="N29" s="40"/>
      <c r="O29" s="40"/>
      <c r="P29" s="40"/>
      <c r="Q29" s="40"/>
      <c r="R29" s="68">
        <f>IF(能力数值!J29=1,装备拆分数值生成!$Y$4,0)+能力数值!K29*装备拆分数值生成!$Y$4</f>
        <v>0</v>
      </c>
      <c r="S29" s="68">
        <f>IF(H29=0,0,装备拆分数值生成!$Z$42)+装备拆分数值生成!$Z$3*能力数值!I29</f>
        <v>0</v>
      </c>
      <c r="T29" s="68">
        <f>IF(H29=0,0,装备拆分数值生成!$AA$42)+装备拆分数值生成!$AA$3*能力数值!I29</f>
        <v>0</v>
      </c>
      <c r="U29" s="68">
        <f>IF(L29=0,0,装备拆分数值生成!$AB$44)+装备拆分数值生成!$AB$5*能力数值!M29</f>
        <v>0</v>
      </c>
      <c r="V29" s="40"/>
      <c r="W29" s="68"/>
      <c r="X29" s="40"/>
      <c r="Y29" s="40"/>
      <c r="Z29" s="40">
        <f>VLOOKUP(D29,宠物成长生成表!$B$5:$J$103,3,0)*$AI$2</f>
        <v>1532.7</v>
      </c>
      <c r="AA29" s="40">
        <f>VLOOKUP(D29,宠物成长生成表!$B$5:$J$103,4,0)*$AI$3</f>
        <v>321.60000000000002</v>
      </c>
      <c r="AB29" s="40">
        <f>VLOOKUP(D29,宠物成长生成表!$B$5:$J$103,4,0)*$AI$4</f>
        <v>321.60000000000002</v>
      </c>
      <c r="AC29" s="40">
        <f>VLOOKUP(D29,宠物成长生成表!$B$5:$J$103,7,0)*$AI$5</f>
        <v>506.88</v>
      </c>
      <c r="AD29" s="30">
        <f>VLOOKUP(D29,宠物成长生成表!$B$5:$J$103,6,0)</f>
        <v>57</v>
      </c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68">
        <f t="shared" si="4"/>
        <v>1532.7</v>
      </c>
      <c r="AP29" s="68">
        <f t="shared" si="5"/>
        <v>321.60000000000002</v>
      </c>
      <c r="AQ29" s="68">
        <f t="shared" si="6"/>
        <v>321.60000000000002</v>
      </c>
      <c r="AR29" s="70">
        <f t="shared" si="7"/>
        <v>506.88</v>
      </c>
    </row>
    <row r="30" spans="2:44">
      <c r="B30" s="74" t="s">
        <v>380</v>
      </c>
      <c r="C30" s="27" t="s">
        <v>429</v>
      </c>
      <c r="D30" s="27">
        <v>5</v>
      </c>
      <c r="E30" s="27"/>
      <c r="F30" s="27"/>
      <c r="G30" s="27"/>
      <c r="H30" s="27">
        <v>1</v>
      </c>
      <c r="I30" s="63">
        <v>1</v>
      </c>
      <c r="J30" s="27">
        <v>1</v>
      </c>
      <c r="K30" s="63">
        <v>3</v>
      </c>
      <c r="L30" s="27">
        <v>1</v>
      </c>
      <c r="M30" s="63">
        <v>3</v>
      </c>
      <c r="N30" s="27"/>
      <c r="O30" s="27"/>
      <c r="P30" s="27"/>
      <c r="Q30" s="27"/>
      <c r="R30" s="65">
        <f>IF(J30=1,装备拆分数值生成!$R$43,0)+K30*装备拆分数值生成!$R$4</f>
        <v>343.41666666666669</v>
      </c>
      <c r="S30" s="62">
        <f>IF(H30=1,装备拆分数值生成!$S$42,0)+I30*装备拆分数值生成!$S$3</f>
        <v>80.844444444444449</v>
      </c>
      <c r="T30" s="62">
        <f>IF(H30=1,装备拆分数值生成!$T$42,0)+I30*装备拆分数值生成!$T$3</f>
        <v>161.6888888888889</v>
      </c>
      <c r="U30" s="62">
        <f>IF(J30=1,装备拆分数值生成!$R$43,0)+K30*装备拆分数值生成!$R$4</f>
        <v>343.41666666666669</v>
      </c>
      <c r="W30" s="62"/>
      <c r="X30" s="27"/>
      <c r="Y30" s="27"/>
      <c r="Z30" s="27">
        <f>VLOOKUP(D30,宠物成长生成表!$B$5:$J$103,3,0)*$AH$2</f>
        <v>1228.99</v>
      </c>
      <c r="AA30" s="27">
        <f>VLOOKUP(D30,宠物成长生成表!$B$5:$J$103,4,0)*$AH$3</f>
        <v>384.48</v>
      </c>
      <c r="AB30" s="27">
        <f>VLOOKUP(D30,宠物成长生成表!$B$5:$J$103,4,0)*$AH$4</f>
        <v>496.79999999999995</v>
      </c>
      <c r="AC30" s="27">
        <f>VLOOKUP(D30,宠物成长生成表!$B$5:$J$103,7,0)*$AH$5</f>
        <v>313.12</v>
      </c>
      <c r="AD30" s="27">
        <f>VLOOKUP(D30,宠物成长生成表!$B$5:$J$103,6,0)</f>
        <v>59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62">
        <f t="shared" si="4"/>
        <v>1572.4066666666668</v>
      </c>
      <c r="AP30" s="62">
        <f t="shared" si="5"/>
        <v>465.32444444444445</v>
      </c>
      <c r="AQ30" s="62">
        <f t="shared" si="6"/>
        <v>658.48888888888882</v>
      </c>
      <c r="AR30" s="64">
        <f t="shared" si="7"/>
        <v>656.53666666666663</v>
      </c>
    </row>
    <row r="31" spans="2:44">
      <c r="B31" s="75"/>
      <c r="C31" s="30" t="s">
        <v>427</v>
      </c>
      <c r="D31" s="30">
        <v>5</v>
      </c>
      <c r="E31" s="30"/>
      <c r="F31" s="30"/>
      <c r="G31" s="30"/>
      <c r="H31" s="30">
        <v>1</v>
      </c>
      <c r="I31" s="66">
        <v>0</v>
      </c>
      <c r="J31" s="30">
        <v>1</v>
      </c>
      <c r="K31" s="66">
        <v>1</v>
      </c>
      <c r="L31" s="30">
        <v>1</v>
      </c>
      <c r="M31" s="66">
        <v>1</v>
      </c>
      <c r="N31" s="30"/>
      <c r="O31" s="30"/>
      <c r="P31" s="30"/>
      <c r="Q31" s="30"/>
      <c r="R31" s="65">
        <f>IF(J31=1,装备拆分数值生成!$AF$43,0)+K31*装备拆分数值生成!$N$5</f>
        <v>278.88333333333333</v>
      </c>
      <c r="S31" s="65">
        <f>IF(H31=1,装备拆分数值生成!$L$42,0)+能力数值!I31*装备拆分数值生成!$L$3</f>
        <v>148.80000000000001</v>
      </c>
      <c r="T31" s="65">
        <f>IF(H31=1,装备拆分数值生成!$M$42,0)+能力数值!I31*装备拆分数值生成!$M$3</f>
        <v>74.400000000000006</v>
      </c>
      <c r="U31" s="65">
        <f>IF(L31=1,装备拆分数值生成!$N$44,0)+装备拆分数值生成!$N$5*能力数值!M31</f>
        <v>77.13333333333334</v>
      </c>
      <c r="W31" s="65"/>
      <c r="X31" s="30"/>
      <c r="Y31" s="30"/>
      <c r="Z31" s="30">
        <f>VLOOKUP(D31,宠物成长生成表!$B$5:$J$103,3,0)*$AJ$2</f>
        <v>1520.3999999999999</v>
      </c>
      <c r="AA31" s="30">
        <f>VLOOKUP(D31,宠物成长生成表!$B$5:$J$103,4,0)*$AJ$3</f>
        <v>388.8</v>
      </c>
      <c r="AB31" s="30">
        <f>VLOOKUP(D31,宠物成长生成表!$B$5:$J$103,4,0)*$AJ$4</f>
        <v>388.8</v>
      </c>
      <c r="AC31" s="30">
        <f>VLOOKUP(D31,宠物成长生成表!$B$5:$J$103,7,0)*$AJ$5</f>
        <v>362.56</v>
      </c>
      <c r="AD31" s="30">
        <f>VLOOKUP(D31,宠物成长生成表!$B$5:$J$103,6,0)</f>
        <v>59</v>
      </c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65">
        <f t="shared" si="4"/>
        <v>1799.2833333333333</v>
      </c>
      <c r="AP31" s="65">
        <f t="shared" si="5"/>
        <v>537.6</v>
      </c>
      <c r="AQ31" s="65">
        <f t="shared" si="6"/>
        <v>463.20000000000005</v>
      </c>
      <c r="AR31" s="67">
        <f t="shared" si="7"/>
        <v>439.69333333333333</v>
      </c>
    </row>
    <row r="32" spans="2:44">
      <c r="B32" s="75"/>
      <c r="C32" s="30" t="s">
        <v>394</v>
      </c>
      <c r="D32" s="30">
        <v>5</v>
      </c>
      <c r="E32" s="30"/>
      <c r="F32" s="30"/>
      <c r="G32" s="30"/>
      <c r="H32" s="30">
        <v>1</v>
      </c>
      <c r="I32" s="66">
        <v>0</v>
      </c>
      <c r="J32" s="30">
        <v>1</v>
      </c>
      <c r="K32" s="66">
        <v>0</v>
      </c>
      <c r="L32" s="30">
        <v>1</v>
      </c>
      <c r="M32" s="66">
        <v>0</v>
      </c>
      <c r="N32" s="30"/>
      <c r="O32" s="30"/>
      <c r="P32" s="30"/>
      <c r="Q32" s="30"/>
      <c r="R32" s="65">
        <f>IF(J32=1,装备拆分数值生成!$AF$43,0)+装备拆分数值生成!$AF$4*能力数值!K32</f>
        <v>272.75</v>
      </c>
      <c r="S32" s="65">
        <f>IF(H32=1,装备拆分数值生成!$AG$42,0)+能力数值!I32*装备拆分数值生成!$AG$3</f>
        <v>111.6</v>
      </c>
      <c r="T32" s="65">
        <f>IF(H32=1,装备拆分数值生成!$AH$42,0)+能力数值!I32*装备拆分数值生成!$AH$3</f>
        <v>111.6</v>
      </c>
      <c r="U32" s="65">
        <f>IF(L32=1,装备拆分数值生成!$AI$44,0)+装备拆分数值生成!$AI$5*能力数值!M32</f>
        <v>88.75</v>
      </c>
      <c r="W32" s="65"/>
      <c r="X32" s="30"/>
      <c r="Y32" s="30"/>
      <c r="Z32" s="30">
        <f>VLOOKUP(D32,宠物成长生成表!$B$5:$J$103,3,0)*$AI$2</f>
        <v>1647.1000000000001</v>
      </c>
      <c r="AA32" s="30">
        <f>VLOOKUP(D32,宠物成长生成表!$B$5:$J$103,4,0)*$AI$3</f>
        <v>345.6</v>
      </c>
      <c r="AB32" s="30">
        <f>VLOOKUP(D32,宠物成长生成表!$B$5:$J$103,4,0)*$AI$4</f>
        <v>345.6</v>
      </c>
      <c r="AC32" s="30">
        <f>VLOOKUP(D32,宠物成长生成表!$B$5:$J$103,7,0)*$AI$5</f>
        <v>543.84</v>
      </c>
      <c r="AD32" s="30">
        <f>VLOOKUP(D32,宠物成长生成表!$B$5:$J$103,6,0)</f>
        <v>59</v>
      </c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65">
        <f t="shared" si="4"/>
        <v>1919.8500000000001</v>
      </c>
      <c r="AP32" s="65">
        <f t="shared" si="5"/>
        <v>457.20000000000005</v>
      </c>
      <c r="AQ32" s="65">
        <f t="shared" si="6"/>
        <v>457.20000000000005</v>
      </c>
      <c r="AR32" s="67">
        <f t="shared" si="7"/>
        <v>632.59</v>
      </c>
    </row>
    <row r="33" spans="2:44" ht="14.25" thickBot="1">
      <c r="B33" s="76"/>
      <c r="C33" s="40" t="s">
        <v>428</v>
      </c>
      <c r="D33" s="40">
        <v>4</v>
      </c>
      <c r="E33" s="40"/>
      <c r="F33" s="40"/>
      <c r="G33" s="40"/>
      <c r="H33" s="40"/>
      <c r="I33" s="69"/>
      <c r="J33" s="40">
        <v>1</v>
      </c>
      <c r="K33" s="69">
        <v>0</v>
      </c>
      <c r="L33" s="40"/>
      <c r="M33" s="69"/>
      <c r="N33" s="40"/>
      <c r="O33" s="40"/>
      <c r="P33" s="40"/>
      <c r="Q33" s="40"/>
      <c r="R33" s="68">
        <f>IF(能力数值!J33=1,装备拆分数值生成!$Y$4,0)+能力数值!K33*装备拆分数值生成!$Y$4</f>
        <v>37.68888888888889</v>
      </c>
      <c r="S33" s="68">
        <f>IF(H33=0,0,装备拆分数值生成!$Z$42)+装备拆分数值生成!$Z$3*能力数值!I33</f>
        <v>0</v>
      </c>
      <c r="T33" s="68">
        <f>IF(H33=0,0,装备拆分数值生成!$AA$42)+装备拆分数值生成!$AA$3*能力数值!I33</f>
        <v>0</v>
      </c>
      <c r="U33" s="68">
        <f>IF(L33=0,0,装备拆分数值生成!$AB$44)+装备拆分数值生成!$AB$5*能力数值!M33</f>
        <v>0</v>
      </c>
      <c r="V33" s="40"/>
      <c r="W33" s="68"/>
      <c r="X33" s="40"/>
      <c r="Y33" s="40"/>
      <c r="Z33" s="40">
        <f>VLOOKUP(D33,宠物成长生成表!$B$5:$J$103,3,0)</f>
        <v>1223</v>
      </c>
      <c r="AA33" s="40">
        <f>VLOOKUP(D33,宠物成长生成表!$B$5:$J$103,4,0)</f>
        <v>417</v>
      </c>
      <c r="AB33" s="40">
        <f>VLOOKUP(D33,宠物成长生成表!$B$5:$J$103,4,0)</f>
        <v>417</v>
      </c>
      <c r="AC33" s="40">
        <f>VLOOKUP(D33,宠物成长生成表!$B$5:$J$103,7,0)</f>
        <v>398</v>
      </c>
      <c r="AD33" s="40">
        <f>VLOOKUP(D33,宠物成长生成表!$B$5:$J$103,6,0)</f>
        <v>58</v>
      </c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68">
        <f t="shared" si="4"/>
        <v>1260.6888888888889</v>
      </c>
      <c r="AP33" s="68">
        <f t="shared" si="5"/>
        <v>417</v>
      </c>
      <c r="AQ33" s="68">
        <f t="shared" si="6"/>
        <v>417</v>
      </c>
      <c r="AR33" s="70">
        <f t="shared" si="7"/>
        <v>398</v>
      </c>
    </row>
    <row r="34" spans="2:44">
      <c r="B34" s="74" t="s">
        <v>381</v>
      </c>
      <c r="C34" s="27" t="s">
        <v>429</v>
      </c>
      <c r="D34" s="27">
        <v>5</v>
      </c>
      <c r="E34" s="27"/>
      <c r="F34" s="27"/>
      <c r="G34" s="27"/>
      <c r="H34" s="27">
        <v>1</v>
      </c>
      <c r="I34" s="63">
        <v>3</v>
      </c>
      <c r="J34" s="27">
        <v>1</v>
      </c>
      <c r="K34" s="63">
        <v>3</v>
      </c>
      <c r="L34" s="27">
        <v>1</v>
      </c>
      <c r="M34" s="63">
        <v>3</v>
      </c>
      <c r="N34" s="27"/>
      <c r="O34" s="27"/>
      <c r="P34" s="27"/>
      <c r="Q34" s="27"/>
      <c r="R34" s="65">
        <f>IF(J34=1,装备拆分数值生成!$R$43,0)+K34*装备拆分数值生成!$R$4</f>
        <v>343.41666666666669</v>
      </c>
      <c r="S34" s="62">
        <f>IF(H34=1,装备拆分数值生成!$S$42,0)+I34*装备拆分数值生成!$S$3</f>
        <v>93.733333333333348</v>
      </c>
      <c r="T34" s="62">
        <f>IF(H34=1,装备拆分数值生成!$T$42,0)+I34*装备拆分数值生成!$T$3</f>
        <v>187.4666666666667</v>
      </c>
      <c r="U34" s="62">
        <f>IF(J34=1,装备拆分数值生成!$R$43,0)+K34*装备拆分数值生成!$R$4</f>
        <v>343.41666666666669</v>
      </c>
      <c r="W34" s="62"/>
      <c r="X34" s="27"/>
      <c r="Y34" s="27"/>
      <c r="Z34" s="27">
        <f>VLOOKUP(D34,宠物成长生成表!$B$5:$J$103,3,0)*$AH$2</f>
        <v>1228.99</v>
      </c>
      <c r="AA34" s="27">
        <f>VLOOKUP(D34,宠物成长生成表!$B$5:$J$103,4,0)*$AH$3</f>
        <v>384.48</v>
      </c>
      <c r="AB34" s="27">
        <f>VLOOKUP(D34,宠物成长生成表!$B$5:$J$103,4,0)*$AH$4</f>
        <v>496.79999999999995</v>
      </c>
      <c r="AC34" s="27">
        <f>VLOOKUP(D34,宠物成长生成表!$B$5:$J$103,7,0)*$AH$5</f>
        <v>313.12</v>
      </c>
      <c r="AD34" s="27">
        <f>VLOOKUP(D34,宠物成长生成表!$B$5:$J$103,6,0)</f>
        <v>59</v>
      </c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62">
        <f t="shared" si="4"/>
        <v>1572.4066666666668</v>
      </c>
      <c r="AP34" s="62">
        <f t="shared" si="5"/>
        <v>478.21333333333337</v>
      </c>
      <c r="AQ34" s="62">
        <f t="shared" si="6"/>
        <v>684.26666666666665</v>
      </c>
      <c r="AR34" s="64">
        <f t="shared" si="7"/>
        <v>656.53666666666663</v>
      </c>
    </row>
    <row r="35" spans="2:44">
      <c r="B35" s="75"/>
      <c r="C35" s="30" t="s">
        <v>427</v>
      </c>
      <c r="D35" s="30">
        <v>6</v>
      </c>
      <c r="E35" s="30"/>
      <c r="F35" s="30"/>
      <c r="G35" s="30"/>
      <c r="H35" s="30">
        <v>1</v>
      </c>
      <c r="I35" s="66">
        <v>1</v>
      </c>
      <c r="J35" s="30">
        <v>1</v>
      </c>
      <c r="K35" s="66">
        <v>1</v>
      </c>
      <c r="L35" s="30">
        <v>1</v>
      </c>
      <c r="M35" s="66">
        <v>1</v>
      </c>
      <c r="N35" s="30"/>
      <c r="O35" s="30"/>
      <c r="P35" s="30"/>
      <c r="Q35" s="30"/>
      <c r="R35" s="65">
        <f>IF(J35=1,装备拆分数值生成!$AF$43,0)+K35*装备拆分数值生成!$N$5</f>
        <v>278.88333333333333</v>
      </c>
      <c r="S35" s="65">
        <f>IF(H35=1,装备拆分数值生成!$L$42,0)+能力数值!I35*装备拆分数值生成!$L$3</f>
        <v>161.6888888888889</v>
      </c>
      <c r="T35" s="65">
        <f>IF(H35=1,装备拆分数值生成!$M$42,0)+能力数值!I35*装备拆分数值生成!$M$3</f>
        <v>80.844444444444449</v>
      </c>
      <c r="U35" s="65">
        <f>IF(L35=1,装备拆分数值生成!$N$44,0)+装备拆分数值生成!$N$5*能力数值!M35</f>
        <v>77.13333333333334</v>
      </c>
      <c r="W35" s="65"/>
      <c r="X35" s="30"/>
      <c r="Y35" s="30"/>
      <c r="Z35" s="30">
        <f>VLOOKUP(D35,宠物成长生成表!$B$5:$J$103,3,0)*$AJ$2</f>
        <v>1573.2</v>
      </c>
      <c r="AA35" s="30">
        <f>VLOOKUP(D35,宠物成长生成表!$B$5:$J$103,4,0)*$AJ$3</f>
        <v>402.3</v>
      </c>
      <c r="AB35" s="30">
        <f>VLOOKUP(D35,宠物成长生成表!$B$5:$J$103,4,0)*$AJ$4</f>
        <v>402.3</v>
      </c>
      <c r="AC35" s="30">
        <f>VLOOKUP(D35,宠物成长生成表!$B$5:$J$103,7,0)*$AJ$5</f>
        <v>375.76</v>
      </c>
      <c r="AD35" s="30">
        <f>VLOOKUP(D35,宠物成长生成表!$B$5:$J$103,6,0)</f>
        <v>60</v>
      </c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65">
        <f t="shared" si="4"/>
        <v>1852.0833333333335</v>
      </c>
      <c r="AP35" s="65">
        <f t="shared" si="5"/>
        <v>563.98888888888894</v>
      </c>
      <c r="AQ35" s="65">
        <f t="shared" si="6"/>
        <v>483.14444444444445</v>
      </c>
      <c r="AR35" s="67">
        <f t="shared" si="7"/>
        <v>452.89333333333332</v>
      </c>
    </row>
    <row r="36" spans="2:44">
      <c r="B36" s="75"/>
      <c r="C36" s="30" t="s">
        <v>394</v>
      </c>
      <c r="D36" s="30">
        <v>6</v>
      </c>
      <c r="E36" s="30"/>
      <c r="F36" s="30"/>
      <c r="G36" s="30"/>
      <c r="H36" s="30">
        <v>1</v>
      </c>
      <c r="I36" s="66">
        <v>1</v>
      </c>
      <c r="J36" s="30">
        <v>1</v>
      </c>
      <c r="K36" s="66">
        <v>0</v>
      </c>
      <c r="L36" s="30">
        <v>1</v>
      </c>
      <c r="M36" s="66">
        <v>0</v>
      </c>
      <c r="N36" s="30"/>
      <c r="O36" s="30"/>
      <c r="P36" s="30"/>
      <c r="Q36" s="30"/>
      <c r="R36" s="65">
        <f>IF(J36=1,装备拆分数值生成!$AF$43,0)+装备拆分数值生成!$AF$4*能力数值!K36</f>
        <v>272.75</v>
      </c>
      <c r="S36" s="65">
        <f>IF(H36=1,装备拆分数值生成!$AG$42,0)+能力数值!I36*装备拆分数值生成!$AG$3</f>
        <v>121.26666666666667</v>
      </c>
      <c r="T36" s="65">
        <f>IF(H36=1,装备拆分数值生成!$AH$42,0)+能力数值!I36*装备拆分数值生成!$AH$3</f>
        <v>121.26666666666667</v>
      </c>
      <c r="U36" s="65">
        <f>IF(L36=1,装备拆分数值生成!$AI$44,0)+装备拆分数值生成!$AI$5*能力数值!M36</f>
        <v>88.75</v>
      </c>
      <c r="W36" s="65"/>
      <c r="X36" s="30"/>
      <c r="Y36" s="30"/>
      <c r="Z36" s="30">
        <f>VLOOKUP(D36,宠物成长生成表!$B$5:$J$103,3,0)*$AI$2</f>
        <v>1704.3</v>
      </c>
      <c r="AA36" s="30">
        <f>VLOOKUP(D36,宠物成长生成表!$B$5:$J$103,4,0)*$AI$3</f>
        <v>357.6</v>
      </c>
      <c r="AB36" s="30">
        <f>VLOOKUP(D36,宠物成长生成表!$B$5:$J$103,4,0)*$AI$4</f>
        <v>357.6</v>
      </c>
      <c r="AC36" s="30">
        <f>VLOOKUP(D36,宠物成长生成表!$B$5:$J$103,7,0)*$AI$5</f>
        <v>563.64</v>
      </c>
      <c r="AD36" s="30">
        <f>VLOOKUP(D36,宠物成长生成表!$B$5:$J$103,6,0)</f>
        <v>60</v>
      </c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65">
        <f t="shared" si="4"/>
        <v>1977.05</v>
      </c>
      <c r="AP36" s="65">
        <f t="shared" si="5"/>
        <v>478.86666666666667</v>
      </c>
      <c r="AQ36" s="65">
        <f t="shared" si="6"/>
        <v>478.86666666666667</v>
      </c>
      <c r="AR36" s="67">
        <f t="shared" si="7"/>
        <v>652.39</v>
      </c>
    </row>
    <row r="37" spans="2:44" ht="14.25" thickBot="1">
      <c r="B37" s="76"/>
      <c r="C37" s="40" t="s">
        <v>428</v>
      </c>
      <c r="D37" s="40">
        <v>4</v>
      </c>
      <c r="E37" s="40"/>
      <c r="F37" s="40"/>
      <c r="G37" s="40"/>
      <c r="H37" s="40"/>
      <c r="I37" s="69"/>
      <c r="J37" s="40">
        <v>1</v>
      </c>
      <c r="K37" s="69">
        <v>0</v>
      </c>
      <c r="L37" s="40"/>
      <c r="M37" s="69"/>
      <c r="N37" s="40"/>
      <c r="O37" s="40"/>
      <c r="P37" s="40"/>
      <c r="Q37" s="40"/>
      <c r="R37" s="68">
        <f>IF(能力数值!J37=1,装备拆分数值生成!$Y$4,0)+能力数值!K37*装备拆分数值生成!$Y$4</f>
        <v>37.68888888888889</v>
      </c>
      <c r="S37" s="68">
        <f>IF(H37=0,0,装备拆分数值生成!$Z$42)+装备拆分数值生成!$Z$3*能力数值!I37</f>
        <v>0</v>
      </c>
      <c r="T37" s="68">
        <f>IF(H37=0,0,装备拆分数值生成!$AA$42)+装备拆分数值生成!$AA$3*能力数值!I37</f>
        <v>0</v>
      </c>
      <c r="U37" s="68">
        <f>IF(L37=0,0,装备拆分数值生成!$AB$44)+装备拆分数值生成!$AB$5*能力数值!M37</f>
        <v>0</v>
      </c>
      <c r="V37" s="40"/>
      <c r="W37" s="68"/>
      <c r="X37" s="40"/>
      <c r="Y37" s="40"/>
      <c r="Z37" s="40">
        <f>VLOOKUP(D37,宠物成长生成表!$B$5:$J$103,3,0)</f>
        <v>1223</v>
      </c>
      <c r="AA37" s="40">
        <f>VLOOKUP(D37,宠物成长生成表!$B$5:$J$103,4,0)</f>
        <v>417</v>
      </c>
      <c r="AB37" s="40">
        <f>VLOOKUP(D37,宠物成长生成表!$B$5:$J$103,4,0)</f>
        <v>417</v>
      </c>
      <c r="AC37" s="40">
        <f>VLOOKUP(D37,宠物成长生成表!$B$5:$J$103,7,0)</f>
        <v>398</v>
      </c>
      <c r="AD37" s="40">
        <f>VLOOKUP(D37,宠物成长生成表!$B$5:$J$103,6,0)</f>
        <v>58</v>
      </c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68">
        <f t="shared" si="4"/>
        <v>1260.6888888888889</v>
      </c>
      <c r="AP37" s="68">
        <f t="shared" si="5"/>
        <v>417</v>
      </c>
      <c r="AQ37" s="68">
        <f t="shared" si="6"/>
        <v>417</v>
      </c>
      <c r="AR37" s="70">
        <f t="shared" si="7"/>
        <v>398</v>
      </c>
    </row>
    <row r="38" spans="2:44">
      <c r="B38" s="74" t="s">
        <v>382</v>
      </c>
      <c r="C38" s="27" t="s">
        <v>429</v>
      </c>
      <c r="D38" s="27">
        <v>5</v>
      </c>
      <c r="E38" s="27"/>
      <c r="F38" s="27"/>
      <c r="G38" s="27"/>
      <c r="H38" s="27">
        <v>1</v>
      </c>
      <c r="I38" s="63">
        <v>3</v>
      </c>
      <c r="J38" s="27">
        <v>1</v>
      </c>
      <c r="K38" s="63">
        <v>3</v>
      </c>
      <c r="L38" s="27">
        <v>1</v>
      </c>
      <c r="M38" s="63">
        <v>3</v>
      </c>
      <c r="N38" s="27"/>
      <c r="O38" s="27"/>
      <c r="P38" s="27"/>
      <c r="Q38" s="27"/>
      <c r="R38" s="65">
        <f>IF(J38=1,装备拆分数值生成!$R$43,0)+K38*装备拆分数值生成!$R$4</f>
        <v>343.41666666666669</v>
      </c>
      <c r="S38" s="62">
        <f>IF(H38=1,装备拆分数值生成!$S$42,0)+I38*装备拆分数值生成!$S$3</f>
        <v>93.733333333333348</v>
      </c>
      <c r="T38" s="62">
        <f>IF(H38=1,装备拆分数值生成!$T$42,0)+I38*装备拆分数值生成!$T$3</f>
        <v>187.4666666666667</v>
      </c>
      <c r="U38" s="62">
        <f>IF(J38=1,装备拆分数值生成!$R$43,0)+K38*装备拆分数值生成!$R$4</f>
        <v>343.41666666666669</v>
      </c>
      <c r="W38" s="62"/>
      <c r="X38" s="27"/>
      <c r="Y38" s="27"/>
      <c r="Z38" s="27">
        <f>VLOOKUP(D38,宠物成长生成表!$B$5:$J$103,3,0)*$AH$2</f>
        <v>1228.99</v>
      </c>
      <c r="AA38" s="27">
        <f>VLOOKUP(D38,宠物成长生成表!$B$5:$J$103,4,0)*$AH$3</f>
        <v>384.48</v>
      </c>
      <c r="AB38" s="27">
        <f>VLOOKUP(D38,宠物成长生成表!$B$5:$J$103,4,0)*$AH$4</f>
        <v>496.79999999999995</v>
      </c>
      <c r="AC38" s="27">
        <f>VLOOKUP(D38,宠物成长生成表!$B$5:$J$103,7,0)*$AH$5</f>
        <v>313.12</v>
      </c>
      <c r="AD38" s="27">
        <f>VLOOKUP(D38,宠物成长生成表!$B$5:$J$103,6,0)</f>
        <v>59</v>
      </c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62">
        <f t="shared" si="4"/>
        <v>1572.4066666666668</v>
      </c>
      <c r="AP38" s="62">
        <f t="shared" si="5"/>
        <v>478.21333333333337</v>
      </c>
      <c r="AQ38" s="62">
        <f t="shared" si="6"/>
        <v>684.26666666666665</v>
      </c>
      <c r="AR38" s="64">
        <f t="shared" si="7"/>
        <v>656.53666666666663</v>
      </c>
    </row>
    <row r="39" spans="2:44">
      <c r="B39" s="75"/>
      <c r="C39" s="30" t="s">
        <v>427</v>
      </c>
      <c r="D39" s="30">
        <v>6</v>
      </c>
      <c r="E39" s="30"/>
      <c r="F39" s="30"/>
      <c r="G39" s="30"/>
      <c r="H39" s="30">
        <v>1</v>
      </c>
      <c r="I39" s="66">
        <v>1</v>
      </c>
      <c r="J39" s="30">
        <v>1</v>
      </c>
      <c r="K39" s="66">
        <v>2</v>
      </c>
      <c r="L39" s="30">
        <v>1</v>
      </c>
      <c r="M39" s="66">
        <v>5</v>
      </c>
      <c r="N39" s="30"/>
      <c r="O39" s="30"/>
      <c r="P39" s="30"/>
      <c r="Q39" s="30"/>
      <c r="R39" s="65">
        <f>IF(J39=1,装备拆分数值生成!$AF$43,0)+K39*装备拆分数值生成!$N$5</f>
        <v>285.01666666666665</v>
      </c>
      <c r="S39" s="65">
        <f>IF(H39=1,装备拆分数值生成!$L$42,0)+能力数值!I39*装备拆分数值生成!$L$3</f>
        <v>161.6888888888889</v>
      </c>
      <c r="T39" s="65">
        <f>IF(H39=1,装备拆分数值生成!$M$42,0)+能力数值!I39*装备拆分数值生成!$M$3</f>
        <v>80.844444444444449</v>
      </c>
      <c r="U39" s="65">
        <f>IF(L39=1,装备拆分数值生成!$N$44,0)+装备拆分数值生成!$N$5*能力数值!M39</f>
        <v>101.66666666666667</v>
      </c>
      <c r="W39" s="65"/>
      <c r="X39" s="30"/>
      <c r="Y39" s="30"/>
      <c r="Z39" s="30">
        <f>VLOOKUP(D39,宠物成长生成表!$B$5:$J$103,3,0)*$AJ$2</f>
        <v>1573.2</v>
      </c>
      <c r="AA39" s="30">
        <f>VLOOKUP(D39,宠物成长生成表!$B$5:$J$103,4,0)*$AJ$3</f>
        <v>402.3</v>
      </c>
      <c r="AB39" s="30">
        <f>VLOOKUP(D39,宠物成长生成表!$B$5:$J$103,4,0)*$AJ$4</f>
        <v>402.3</v>
      </c>
      <c r="AC39" s="30">
        <f>VLOOKUP(D39,宠物成长生成表!$B$5:$J$103,7,0)*$AJ$5</f>
        <v>375.76</v>
      </c>
      <c r="AD39" s="30">
        <f>VLOOKUP(D39,宠物成长生成表!$B$5:$J$103,6,0)</f>
        <v>60</v>
      </c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65">
        <f t="shared" si="4"/>
        <v>1858.2166666666667</v>
      </c>
      <c r="AP39" s="65">
        <f t="shared" si="5"/>
        <v>563.98888888888894</v>
      </c>
      <c r="AQ39" s="65">
        <f t="shared" si="6"/>
        <v>483.14444444444445</v>
      </c>
      <c r="AR39" s="67">
        <f t="shared" si="7"/>
        <v>477.42666666666668</v>
      </c>
    </row>
    <row r="40" spans="2:44">
      <c r="B40" s="75"/>
      <c r="C40" s="30" t="s">
        <v>394</v>
      </c>
      <c r="D40" s="30">
        <v>6</v>
      </c>
      <c r="E40" s="30"/>
      <c r="F40" s="30"/>
      <c r="G40" s="30"/>
      <c r="H40" s="30">
        <v>1</v>
      </c>
      <c r="I40" s="66">
        <v>1</v>
      </c>
      <c r="J40" s="30">
        <v>1</v>
      </c>
      <c r="K40" s="66">
        <v>3</v>
      </c>
      <c r="L40" s="30">
        <v>1</v>
      </c>
      <c r="M40" s="66">
        <v>3</v>
      </c>
      <c r="N40" s="30"/>
      <c r="O40" s="30"/>
      <c r="P40" s="30"/>
      <c r="Q40" s="30"/>
      <c r="R40" s="65">
        <f>IF(J40=1,装备拆分数值生成!$AF$43,0)+装备拆分数值生成!$AF$4*能力数值!K40</f>
        <v>343.41666666666669</v>
      </c>
      <c r="S40" s="65">
        <f>IF(H40=1,装备拆分数值生成!$AG$42,0)+能力数值!I40*装备拆分数值生成!$AG$3</f>
        <v>121.26666666666667</v>
      </c>
      <c r="T40" s="65">
        <f>IF(H40=1,装备拆分数值生成!$AH$42,0)+能力数值!I40*装备拆分数值生成!$AH$3</f>
        <v>121.26666666666667</v>
      </c>
      <c r="U40" s="65">
        <f>IF(L40=1,装备拆分数值生成!$AI$44,0)+装备拆分数值生成!$AI$5*能力数值!M40</f>
        <v>111.75</v>
      </c>
      <c r="W40" s="65"/>
      <c r="X40" s="30"/>
      <c r="Y40" s="30"/>
      <c r="Z40" s="30">
        <f>VLOOKUP(D40,宠物成长生成表!$B$5:$J$103,3,0)*$AI$2</f>
        <v>1704.3</v>
      </c>
      <c r="AA40" s="30">
        <f>VLOOKUP(D40,宠物成长生成表!$B$5:$J$103,4,0)*$AI$3</f>
        <v>357.6</v>
      </c>
      <c r="AB40" s="30">
        <f>VLOOKUP(D40,宠物成长生成表!$B$5:$J$103,4,0)*$AI$4</f>
        <v>357.6</v>
      </c>
      <c r="AC40" s="30">
        <f>VLOOKUP(D40,宠物成长生成表!$B$5:$J$103,7,0)*$AI$5</f>
        <v>563.64</v>
      </c>
      <c r="AD40" s="30">
        <f>VLOOKUP(D40,宠物成长生成表!$B$5:$J$103,6,0)</f>
        <v>60</v>
      </c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65">
        <f t="shared" si="4"/>
        <v>2047.7166666666667</v>
      </c>
      <c r="AP40" s="65">
        <f t="shared" si="5"/>
        <v>478.86666666666667</v>
      </c>
      <c r="AQ40" s="65">
        <f t="shared" si="6"/>
        <v>478.86666666666667</v>
      </c>
      <c r="AR40" s="67">
        <f t="shared" si="7"/>
        <v>675.39</v>
      </c>
    </row>
    <row r="41" spans="2:44" ht="14.25" thickBot="1">
      <c r="B41" s="76"/>
      <c r="C41" s="40" t="s">
        <v>428</v>
      </c>
      <c r="D41" s="40">
        <v>4</v>
      </c>
      <c r="E41" s="40"/>
      <c r="F41" s="40"/>
      <c r="G41" s="40"/>
      <c r="H41" s="40"/>
      <c r="I41" s="69"/>
      <c r="J41" s="40"/>
      <c r="K41" s="69"/>
      <c r="L41" s="40"/>
      <c r="M41" s="69"/>
      <c r="N41" s="40"/>
      <c r="O41" s="40"/>
      <c r="P41" s="40"/>
      <c r="Q41" s="40"/>
      <c r="R41" s="68">
        <f>IF(能力数值!J41=1,装备拆分数值生成!$Y$4,0)+能力数值!K41*装备拆分数值生成!$Y$4</f>
        <v>0</v>
      </c>
      <c r="S41" s="68">
        <f>IF(H41=0,0,装备拆分数值生成!$Z$42)+装备拆分数值生成!$Z$3*能力数值!I41</f>
        <v>0</v>
      </c>
      <c r="T41" s="68">
        <f>IF(H41=0,0,装备拆分数值生成!$AA$42)+装备拆分数值生成!$AA$3*能力数值!I41</f>
        <v>0</v>
      </c>
      <c r="U41" s="68">
        <f>IF(L41=0,0,装备拆分数值生成!$AB$44)+装备拆分数值生成!$AB$5*能力数值!M41</f>
        <v>0</v>
      </c>
      <c r="V41" s="40"/>
      <c r="W41" s="68"/>
      <c r="X41" s="40"/>
      <c r="Y41" s="40"/>
      <c r="Z41" s="40">
        <f>VLOOKUP(D41,宠物成长生成表!$B$5:$J$103,3,0)</f>
        <v>1223</v>
      </c>
      <c r="AA41" s="40">
        <f>VLOOKUP(D41,宠物成长生成表!$B$5:$J$103,4,0)</f>
        <v>417</v>
      </c>
      <c r="AB41" s="40">
        <f>VLOOKUP(D41,宠物成长生成表!$B$5:$J$103,4,0)</f>
        <v>417</v>
      </c>
      <c r="AC41" s="40">
        <f>VLOOKUP(D41,宠物成长生成表!$B$5:$J$103,7,0)</f>
        <v>398</v>
      </c>
      <c r="AD41" s="40">
        <f>VLOOKUP(D41,宠物成长生成表!$B$5:$J$103,6,0)</f>
        <v>58</v>
      </c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68">
        <f t="shared" si="4"/>
        <v>1223</v>
      </c>
      <c r="AP41" s="68">
        <f t="shared" si="5"/>
        <v>417</v>
      </c>
      <c r="AQ41" s="68">
        <f t="shared" si="6"/>
        <v>417</v>
      </c>
      <c r="AR41" s="70">
        <f t="shared" si="7"/>
        <v>398</v>
      </c>
    </row>
    <row r="42" spans="2:44">
      <c r="B42" s="74" t="s">
        <v>383</v>
      </c>
      <c r="C42" s="27" t="s">
        <v>429</v>
      </c>
      <c r="D42" s="27">
        <v>6</v>
      </c>
      <c r="E42" s="27"/>
      <c r="F42" s="27"/>
      <c r="G42" s="27"/>
      <c r="H42" s="27">
        <v>1</v>
      </c>
      <c r="I42" s="63">
        <v>3</v>
      </c>
      <c r="J42" s="27">
        <v>1</v>
      </c>
      <c r="K42" s="63">
        <v>3</v>
      </c>
      <c r="L42" s="27">
        <v>1</v>
      </c>
      <c r="M42" s="63">
        <v>3</v>
      </c>
      <c r="N42" s="27"/>
      <c r="O42" s="27"/>
      <c r="P42" s="27"/>
      <c r="Q42" s="27"/>
      <c r="R42" s="65">
        <f>IF(J42=1,装备拆分数值生成!$R$43,0)+K42*装备拆分数值生成!$R$4</f>
        <v>343.41666666666669</v>
      </c>
      <c r="S42" s="62">
        <f>IF(H42=1,装备拆分数值生成!$S$42,0)+I42*装备拆分数值生成!$S$3</f>
        <v>93.733333333333348</v>
      </c>
      <c r="T42" s="62">
        <f>IF(H42=1,装备拆分数值生成!$T$42,0)+I42*装备拆分数值生成!$T$3</f>
        <v>187.4666666666667</v>
      </c>
      <c r="U42" s="62">
        <f>IF(J42=1,装备拆分数值生成!$R$43,0)+K42*装备拆分数值生成!$R$4</f>
        <v>343.41666666666669</v>
      </c>
      <c r="W42" s="62"/>
      <c r="X42" s="27"/>
      <c r="Y42" s="27"/>
      <c r="Z42" s="27">
        <f>VLOOKUP(D42,宠物成长生成表!$B$5:$J$103,3,0)*$AH$2</f>
        <v>1271.67</v>
      </c>
      <c r="AA42" s="27">
        <f>VLOOKUP(D42,宠物成长生成表!$B$5:$J$103,4,0)*$AH$3</f>
        <v>397.83</v>
      </c>
      <c r="AB42" s="27">
        <f>VLOOKUP(D42,宠物成长生成表!$B$5:$J$103,4,0)*$AH$4</f>
        <v>514.04999999999995</v>
      </c>
      <c r="AC42" s="27">
        <f>VLOOKUP(D42,宠物成长生成表!$B$5:$J$103,7,0)*$AH$5</f>
        <v>324.52</v>
      </c>
      <c r="AD42" s="27">
        <f>VLOOKUP(D42,宠物成长生成表!$B$5:$J$103,6,0)</f>
        <v>60</v>
      </c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62">
        <f t="shared" si="4"/>
        <v>1615.0866666666668</v>
      </c>
      <c r="AP42" s="62">
        <f t="shared" si="5"/>
        <v>491.56333333333333</v>
      </c>
      <c r="AQ42" s="62">
        <f t="shared" si="6"/>
        <v>701.51666666666665</v>
      </c>
      <c r="AR42" s="64">
        <f t="shared" si="7"/>
        <v>667.93666666666672</v>
      </c>
    </row>
    <row r="43" spans="2:44">
      <c r="B43" s="75"/>
      <c r="C43" s="30" t="s">
        <v>427</v>
      </c>
      <c r="D43" s="30">
        <v>7</v>
      </c>
      <c r="E43" s="30"/>
      <c r="F43" s="30"/>
      <c r="G43" s="30"/>
      <c r="H43" s="30">
        <v>1</v>
      </c>
      <c r="I43" s="66">
        <v>2</v>
      </c>
      <c r="J43" s="30">
        <v>1</v>
      </c>
      <c r="K43" s="66">
        <v>3</v>
      </c>
      <c r="L43" s="30">
        <v>1</v>
      </c>
      <c r="M43" s="66">
        <v>5</v>
      </c>
      <c r="N43" s="30"/>
      <c r="O43" s="30"/>
      <c r="P43" s="30"/>
      <c r="Q43" s="30"/>
      <c r="R43" s="65">
        <f>IF(J43=1,装备拆分数值生成!$AF$43,0)+K43*装备拆分数值生成!$N$5</f>
        <v>291.14999999999998</v>
      </c>
      <c r="S43" s="65">
        <f>IF(H43=1,装备拆分数值生成!$L$42,0)+能力数值!I43*装备拆分数值生成!$L$3</f>
        <v>174.57777777777778</v>
      </c>
      <c r="T43" s="65">
        <f>IF(H43=1,装备拆分数值生成!$M$42,0)+能力数值!I43*装备拆分数值生成!$M$3</f>
        <v>87.288888888888891</v>
      </c>
      <c r="U43" s="65">
        <f>IF(L43=1,装备拆分数值生成!$N$44,0)+装备拆分数值生成!$N$5*能力数值!M43</f>
        <v>101.66666666666667</v>
      </c>
      <c r="W43" s="65"/>
      <c r="X43" s="30"/>
      <c r="Y43" s="30"/>
      <c r="Z43" s="30">
        <f>VLOOKUP(D43,宠物成长生成表!$B$5:$J$103,3,0)*$AJ$2</f>
        <v>1626</v>
      </c>
      <c r="AA43" s="30">
        <f>VLOOKUP(D43,宠物成长生成表!$B$5:$J$103,4,0)*$AJ$3</f>
        <v>415.8</v>
      </c>
      <c r="AB43" s="30">
        <f>VLOOKUP(D43,宠物成长生成表!$B$5:$J$103,4,0)*$AJ$4</f>
        <v>415.8</v>
      </c>
      <c r="AC43" s="30">
        <f>VLOOKUP(D43,宠物成长生成表!$B$5:$J$103,7,0)*$AJ$5</f>
        <v>388.08</v>
      </c>
      <c r="AD43" s="30">
        <f>VLOOKUP(D43,宠物成长生成表!$B$5:$J$103,6,0)</f>
        <v>61</v>
      </c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65">
        <f t="shared" si="4"/>
        <v>1917.15</v>
      </c>
      <c r="AP43" s="65">
        <f t="shared" si="5"/>
        <v>590.37777777777774</v>
      </c>
      <c r="AQ43" s="65">
        <f t="shared" si="6"/>
        <v>503.0888888888889</v>
      </c>
      <c r="AR43" s="67">
        <f t="shared" si="7"/>
        <v>489.74666666666667</v>
      </c>
    </row>
    <row r="44" spans="2:44">
      <c r="B44" s="75"/>
      <c r="C44" s="30" t="s">
        <v>394</v>
      </c>
      <c r="D44" s="30">
        <v>7</v>
      </c>
      <c r="E44" s="30"/>
      <c r="F44" s="30"/>
      <c r="G44" s="30"/>
      <c r="H44" s="30">
        <v>1</v>
      </c>
      <c r="I44" s="66">
        <v>3</v>
      </c>
      <c r="J44" s="30">
        <v>1</v>
      </c>
      <c r="K44" s="66">
        <v>2</v>
      </c>
      <c r="L44" s="30">
        <v>1</v>
      </c>
      <c r="M44" s="66">
        <v>4</v>
      </c>
      <c r="N44" s="30"/>
      <c r="O44" s="30"/>
      <c r="P44" s="30"/>
      <c r="Q44" s="30"/>
      <c r="R44" s="65">
        <f>IF(J44=1,装备拆分数值生成!$AF$43,0)+装备拆分数值生成!$AF$4*能力数值!K44</f>
        <v>319.86111111111109</v>
      </c>
      <c r="S44" s="65">
        <f>IF(H44=1,装备拆分数值生成!$AG$42,0)+能力数值!I44*装备拆分数值生成!$AG$3</f>
        <v>140.6</v>
      </c>
      <c r="T44" s="65">
        <f>IF(H44=1,装备拆分数值生成!$AH$42,0)+能力数值!I44*装备拆分数值生成!$AH$3</f>
        <v>140.6</v>
      </c>
      <c r="U44" s="65">
        <f>IF(L44=1,装备拆分数值生成!$AI$44,0)+装备拆分数值生成!$AI$5*能力数值!M44</f>
        <v>119.41666666666667</v>
      </c>
      <c r="W44" s="65"/>
      <c r="X44" s="30"/>
      <c r="Y44" s="30"/>
      <c r="Z44" s="30">
        <f>VLOOKUP(D44,宠物成长生成表!$B$5:$J$103,3,0)*$AI$2</f>
        <v>1761.5</v>
      </c>
      <c r="AA44" s="30">
        <f>VLOOKUP(D44,宠物成长生成表!$B$5:$J$103,4,0)*$AI$3</f>
        <v>369.6</v>
      </c>
      <c r="AB44" s="30">
        <f>VLOOKUP(D44,宠物成长生成表!$B$5:$J$103,4,0)*$AI$4</f>
        <v>369.6</v>
      </c>
      <c r="AC44" s="30">
        <f>VLOOKUP(D44,宠物成长生成表!$B$5:$J$103,7,0)*$AI$5</f>
        <v>582.12</v>
      </c>
      <c r="AD44" s="30">
        <f>VLOOKUP(D44,宠物成长生成表!$B$5:$J$103,6,0)</f>
        <v>61</v>
      </c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65">
        <f t="shared" si="4"/>
        <v>2081.3611111111113</v>
      </c>
      <c r="AP44" s="65">
        <f t="shared" si="5"/>
        <v>510.20000000000005</v>
      </c>
      <c r="AQ44" s="65">
        <f t="shared" si="6"/>
        <v>510.20000000000005</v>
      </c>
      <c r="AR44" s="67">
        <f t="shared" si="7"/>
        <v>701.53666666666663</v>
      </c>
    </row>
    <row r="45" spans="2:44" ht="14.25" thickBot="1">
      <c r="B45" s="76"/>
      <c r="C45" s="40" t="s">
        <v>428</v>
      </c>
      <c r="D45" s="40">
        <v>5</v>
      </c>
      <c r="E45" s="40"/>
      <c r="F45" s="40"/>
      <c r="G45" s="40"/>
      <c r="H45" s="40"/>
      <c r="I45" s="40"/>
      <c r="J45" s="40"/>
      <c r="K45" s="69"/>
      <c r="L45" s="40"/>
      <c r="M45" s="69"/>
      <c r="N45" s="40"/>
      <c r="O45" s="40"/>
      <c r="P45" s="40"/>
      <c r="Q45" s="40"/>
      <c r="R45" s="68">
        <f>IF(能力数值!J45=1,装备拆分数值生成!$Y$4,0)+能力数值!K45*装备拆分数值生成!$Y$4</f>
        <v>0</v>
      </c>
      <c r="S45" s="68">
        <f>IF(H45=0,0,装备拆分数值生成!$Z$42)+装备拆分数值生成!$Z$3*能力数值!I45</f>
        <v>0</v>
      </c>
      <c r="T45" s="68">
        <f>IF(H45=0,0,装备拆分数值生成!$AA$42)+装备拆分数值生成!$AA$3*能力数值!I45</f>
        <v>0</v>
      </c>
      <c r="U45" s="68">
        <f>IF(L45=0,0,装备拆分数值生成!$AB$44)+装备拆分数值生成!$AB$5*能力数值!M45</f>
        <v>0</v>
      </c>
      <c r="V45" s="40"/>
      <c r="W45" s="68"/>
      <c r="X45" s="40"/>
      <c r="Y45" s="40"/>
      <c r="Z45" s="40">
        <f>VLOOKUP(D45,宠物成长生成表!$B$5:$J$103,3,0)</f>
        <v>1267</v>
      </c>
      <c r="AA45" s="40">
        <f>VLOOKUP(D45,宠物成长生成表!$B$5:$J$103,4,0)</f>
        <v>432</v>
      </c>
      <c r="AB45" s="40">
        <f>VLOOKUP(D45,宠物成长生成表!$B$5:$J$103,4,0)</f>
        <v>432</v>
      </c>
      <c r="AC45" s="40">
        <f>VLOOKUP(D45,宠物成长生成表!$B$5:$J$103,7,0)</f>
        <v>412</v>
      </c>
      <c r="AD45" s="40">
        <f>VLOOKUP(D45,宠物成长生成表!$B$5:$J$103,6,0)</f>
        <v>59</v>
      </c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68">
        <f t="shared" si="4"/>
        <v>1267</v>
      </c>
      <c r="AP45" s="68">
        <f t="shared" si="5"/>
        <v>432</v>
      </c>
      <c r="AQ45" s="68">
        <f t="shared" si="6"/>
        <v>432</v>
      </c>
      <c r="AR45" s="70">
        <f t="shared" si="7"/>
        <v>412</v>
      </c>
    </row>
    <row r="46" spans="2:44">
      <c r="B46" s="74" t="s">
        <v>384</v>
      </c>
      <c r="C46" s="27" t="s">
        <v>429</v>
      </c>
      <c r="D46" s="27">
        <v>6</v>
      </c>
      <c r="E46" s="27"/>
      <c r="F46" s="27"/>
      <c r="G46" s="27"/>
      <c r="H46" s="27">
        <v>1</v>
      </c>
      <c r="I46" s="63">
        <v>2</v>
      </c>
      <c r="J46" s="27">
        <v>1</v>
      </c>
      <c r="K46" s="63">
        <v>3</v>
      </c>
      <c r="L46" s="27">
        <v>1</v>
      </c>
      <c r="M46" s="63">
        <v>3</v>
      </c>
      <c r="N46" s="27"/>
      <c r="O46" s="27"/>
      <c r="P46" s="27"/>
      <c r="Q46" s="27"/>
      <c r="R46" s="65">
        <f>IF(J46=1,装备拆分数值生成!$R$43,0)+K46*装备拆分数值生成!$R$4</f>
        <v>343.41666666666669</v>
      </c>
      <c r="S46" s="62">
        <f>IF(H46=1,装备拆分数值生成!$S$42,0)+I46*装备拆分数值生成!$S$3</f>
        <v>87.288888888888891</v>
      </c>
      <c r="T46" s="62">
        <f>IF(H46=1,装备拆分数值生成!$T$42,0)+I46*装备拆分数值生成!$T$3</f>
        <v>174.57777777777778</v>
      </c>
      <c r="U46" s="62">
        <f>IF(J46=1,装备拆分数值生成!$R$43,0)+K46*装备拆分数值生成!$R$4</f>
        <v>343.41666666666669</v>
      </c>
      <c r="W46" s="62"/>
      <c r="X46" s="27"/>
      <c r="Y46" s="27"/>
      <c r="Z46" s="27">
        <f>VLOOKUP(D46,宠物成长生成表!$B$5:$J$103,3,0)*$AH$2</f>
        <v>1271.67</v>
      </c>
      <c r="AA46" s="27">
        <f>VLOOKUP(D46,宠物成长生成表!$B$5:$J$103,4,0)*$AH$3</f>
        <v>397.83</v>
      </c>
      <c r="AB46" s="27">
        <f>VLOOKUP(D46,宠物成长生成表!$B$5:$J$103,4,0)*$AH$4</f>
        <v>514.04999999999995</v>
      </c>
      <c r="AC46" s="27">
        <f>VLOOKUP(D46,宠物成长生成表!$B$5:$J$103,7,0)*$AH$5</f>
        <v>324.52</v>
      </c>
      <c r="AD46" s="27">
        <f>VLOOKUP(D46,宠物成长生成表!$B$5:$J$103,6,0)</f>
        <v>60</v>
      </c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62">
        <f t="shared" si="4"/>
        <v>1615.0866666666668</v>
      </c>
      <c r="AP46" s="62">
        <f t="shared" si="5"/>
        <v>485.11888888888888</v>
      </c>
      <c r="AQ46" s="62">
        <f t="shared" si="6"/>
        <v>688.62777777777774</v>
      </c>
      <c r="AR46" s="64">
        <f t="shared" si="7"/>
        <v>667.93666666666672</v>
      </c>
    </row>
    <row r="47" spans="2:44">
      <c r="B47" s="75"/>
      <c r="C47" s="30" t="s">
        <v>427</v>
      </c>
      <c r="D47" s="30">
        <v>8</v>
      </c>
      <c r="E47" s="30"/>
      <c r="F47" s="30"/>
      <c r="G47" s="30"/>
      <c r="H47" s="30">
        <v>1</v>
      </c>
      <c r="I47" s="66">
        <v>2</v>
      </c>
      <c r="J47" s="30">
        <v>1</v>
      </c>
      <c r="K47" s="66">
        <v>3</v>
      </c>
      <c r="L47" s="30">
        <v>1</v>
      </c>
      <c r="M47" s="66">
        <v>3</v>
      </c>
      <c r="N47" s="30"/>
      <c r="O47" s="30"/>
      <c r="P47" s="30"/>
      <c r="Q47" s="30"/>
      <c r="R47" s="65">
        <f>IF(J47=1,装备拆分数值生成!$AF$43,0)+K47*装备拆分数值生成!$N$5</f>
        <v>291.14999999999998</v>
      </c>
      <c r="S47" s="65">
        <f>IF(H47=1,装备拆分数值生成!$L$42,0)+能力数值!I47*装备拆分数值生成!$L$3</f>
        <v>174.57777777777778</v>
      </c>
      <c r="T47" s="65">
        <f>IF(H47=1,装备拆分数值生成!$M$42,0)+能力数值!I47*装备拆分数值生成!$M$3</f>
        <v>87.288888888888891</v>
      </c>
      <c r="U47" s="65">
        <f>IF(L47=1,装备拆分数值生成!$N$44,0)+装备拆分数值生成!$N$5*能力数值!M47</f>
        <v>89.4</v>
      </c>
      <c r="W47" s="65"/>
      <c r="X47" s="30"/>
      <c r="Y47" s="30"/>
      <c r="Z47" s="30">
        <f>VLOOKUP(D47,宠物成长生成表!$B$5:$J$103,3,0)*$AJ$2</f>
        <v>1678.8</v>
      </c>
      <c r="AA47" s="30">
        <f>VLOOKUP(D47,宠物成长生成表!$B$5:$J$103,4,0)*$AJ$3</f>
        <v>429.3</v>
      </c>
      <c r="AB47" s="30">
        <f>VLOOKUP(D47,宠物成长生成表!$B$5:$J$103,4,0)*$AJ$4</f>
        <v>429.3</v>
      </c>
      <c r="AC47" s="30">
        <f>VLOOKUP(D47,宠物成长生成表!$B$5:$J$103,7,0)*$AJ$5</f>
        <v>400.4</v>
      </c>
      <c r="AD47" s="30">
        <f>VLOOKUP(D47,宠物成长生成表!$B$5:$J$103,6,0)</f>
        <v>62</v>
      </c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65">
        <f t="shared" ref="AO47:AO79" si="8">R47+Z47</f>
        <v>1969.9499999999998</v>
      </c>
      <c r="AP47" s="65">
        <f t="shared" ref="AP47:AP79" si="9">S47+AA47</f>
        <v>603.87777777777774</v>
      </c>
      <c r="AQ47" s="65">
        <f t="shared" ref="AQ47:AQ79" si="10">T47+AB47</f>
        <v>516.58888888888896</v>
      </c>
      <c r="AR47" s="67">
        <f t="shared" ref="AR47:AR79" si="11">U47+AC47</f>
        <v>489.79999999999995</v>
      </c>
    </row>
    <row r="48" spans="2:44">
      <c r="B48" s="75"/>
      <c r="C48" s="30" t="s">
        <v>394</v>
      </c>
      <c r="D48" s="30">
        <v>7</v>
      </c>
      <c r="E48" s="30"/>
      <c r="F48" s="30"/>
      <c r="G48" s="30"/>
      <c r="H48" s="30">
        <v>1</v>
      </c>
      <c r="I48" s="66">
        <v>3</v>
      </c>
      <c r="J48" s="30">
        <v>1</v>
      </c>
      <c r="K48" s="66">
        <v>3</v>
      </c>
      <c r="L48" s="30">
        <v>1</v>
      </c>
      <c r="M48" s="66">
        <v>3</v>
      </c>
      <c r="N48" s="30"/>
      <c r="O48" s="30"/>
      <c r="P48" s="30"/>
      <c r="Q48" s="30"/>
      <c r="R48" s="65">
        <f>IF(J48=1,装备拆分数值生成!$AF$43,0)+装备拆分数值生成!$AF$4*能力数值!K48</f>
        <v>343.41666666666669</v>
      </c>
      <c r="S48" s="65">
        <f>IF(H48=1,装备拆分数值生成!$AG$42,0)+能力数值!I48*装备拆分数值生成!$AG$3</f>
        <v>140.6</v>
      </c>
      <c r="T48" s="65">
        <f>IF(H48=1,装备拆分数值生成!$AH$42,0)+能力数值!I48*装备拆分数值生成!$AH$3</f>
        <v>140.6</v>
      </c>
      <c r="U48" s="65">
        <f>IF(L48=1,装备拆分数值生成!$AI$44,0)+装备拆分数值生成!$AI$5*能力数值!M48</f>
        <v>111.75</v>
      </c>
      <c r="W48" s="65"/>
      <c r="X48" s="30"/>
      <c r="Y48" s="30"/>
      <c r="Z48" s="30">
        <f>VLOOKUP(D48,宠物成长生成表!$B$5:$J$103,3,0)*$AI$2</f>
        <v>1761.5</v>
      </c>
      <c r="AA48" s="30">
        <f>VLOOKUP(D48,宠物成长生成表!$B$5:$J$103,4,0)*$AI$3</f>
        <v>369.6</v>
      </c>
      <c r="AB48" s="30">
        <f>VLOOKUP(D48,宠物成长生成表!$B$5:$J$103,4,0)*$AI$4</f>
        <v>369.6</v>
      </c>
      <c r="AC48" s="30">
        <f>VLOOKUP(D48,宠物成长生成表!$B$5:$J$103,7,0)*$AI$5</f>
        <v>582.12</v>
      </c>
      <c r="AD48" s="30">
        <f>VLOOKUP(D48,宠物成长生成表!$B$5:$J$103,6,0)</f>
        <v>61</v>
      </c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65">
        <f t="shared" si="8"/>
        <v>2104.9166666666665</v>
      </c>
      <c r="AP48" s="65">
        <f t="shared" si="9"/>
        <v>510.20000000000005</v>
      </c>
      <c r="AQ48" s="65">
        <f t="shared" si="10"/>
        <v>510.20000000000005</v>
      </c>
      <c r="AR48" s="67">
        <f t="shared" si="11"/>
        <v>693.87</v>
      </c>
    </row>
    <row r="49" spans="2:44">
      <c r="B49" s="75"/>
      <c r="C49" s="30" t="s">
        <v>428</v>
      </c>
      <c r="D49" s="30">
        <v>5</v>
      </c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65">
        <f>IF(能力数值!J49=1,装备拆分数值生成!$Y$4,0)+能力数值!K49*装备拆分数值生成!$Y$4</f>
        <v>0</v>
      </c>
      <c r="S49" s="65">
        <f>IF(H49=0,0,装备拆分数值生成!$Z$42)+装备拆分数值生成!$Z$3*能力数值!I49</f>
        <v>0</v>
      </c>
      <c r="T49" s="65">
        <f>IF(H49=0,0,装备拆分数值生成!$AA$42)+装备拆分数值生成!$AA$3*能力数值!I49</f>
        <v>0</v>
      </c>
      <c r="U49" s="65">
        <f>IF(L49=0,0,装备拆分数值生成!$AB$44)+装备拆分数值生成!$AB$5*能力数值!M49</f>
        <v>0</v>
      </c>
      <c r="W49" s="65"/>
      <c r="X49" s="30"/>
      <c r="Y49" s="30"/>
      <c r="Z49" s="30">
        <f>VLOOKUP(D49,宠物成长生成表!$B$5:$J$103,3,0)</f>
        <v>1267</v>
      </c>
      <c r="AA49" s="30">
        <f>VLOOKUP(D49,宠物成长生成表!$B$5:$J$103,4,0)</f>
        <v>432</v>
      </c>
      <c r="AB49" s="30">
        <f>VLOOKUP(D49,宠物成长生成表!$B$5:$J$103,4,0)</f>
        <v>432</v>
      </c>
      <c r="AC49" s="30">
        <f>VLOOKUP(D49,宠物成长生成表!$B$5:$J$103,7,0)</f>
        <v>412</v>
      </c>
      <c r="AD49" s="30">
        <f>VLOOKUP(D49,宠物成长生成表!$B$5:$J$103,6,0)</f>
        <v>59</v>
      </c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65">
        <f t="shared" si="8"/>
        <v>1267</v>
      </c>
      <c r="AP49" s="65">
        <f t="shared" si="9"/>
        <v>432</v>
      </c>
      <c r="AQ49" s="65">
        <f t="shared" si="10"/>
        <v>432</v>
      </c>
      <c r="AR49" s="67">
        <f t="shared" si="11"/>
        <v>412</v>
      </c>
    </row>
    <row r="50" spans="2:44" ht="14.25" thickBot="1">
      <c r="B50" s="76"/>
      <c r="C50" s="40" t="s">
        <v>431</v>
      </c>
      <c r="D50" s="40">
        <v>3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68"/>
      <c r="S50" s="68"/>
      <c r="T50" s="68"/>
      <c r="U50" s="68"/>
      <c r="V50" s="40"/>
      <c r="W50" s="68"/>
      <c r="X50" s="40"/>
      <c r="Y50" s="40"/>
      <c r="Z50" s="40">
        <f>VLOOKUP(D50,宠物成长生成表!$B$5:$J$103,3,0)</f>
        <v>1179</v>
      </c>
      <c r="AA50" s="40">
        <f>VLOOKUP(D50,宠物成长生成表!$B$5:$J$103,4,0)</f>
        <v>402</v>
      </c>
      <c r="AB50" s="40">
        <f>VLOOKUP(D50,宠物成长生成表!$B$5:$J$103,4,0)</f>
        <v>402</v>
      </c>
      <c r="AC50" s="40">
        <f>VLOOKUP(D50,宠物成长生成表!$B$5:$J$103,7,0)</f>
        <v>384</v>
      </c>
      <c r="AD50" s="40">
        <f>VLOOKUP(D50,宠物成长生成表!$B$5:$J$103,6,0)</f>
        <v>57</v>
      </c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68">
        <f t="shared" si="8"/>
        <v>1179</v>
      </c>
      <c r="AP50" s="68">
        <f t="shared" si="9"/>
        <v>402</v>
      </c>
      <c r="AQ50" s="68">
        <f t="shared" si="10"/>
        <v>402</v>
      </c>
      <c r="AR50" s="70">
        <f t="shared" si="11"/>
        <v>384</v>
      </c>
    </row>
    <row r="51" spans="2:44">
      <c r="B51" s="74" t="s">
        <v>385</v>
      </c>
      <c r="C51" s="27" t="s">
        <v>429</v>
      </c>
      <c r="D51" s="27">
        <v>6</v>
      </c>
      <c r="E51" s="27"/>
      <c r="F51" s="27"/>
      <c r="G51" s="27"/>
      <c r="H51" s="27">
        <v>1</v>
      </c>
      <c r="I51" s="63">
        <v>2</v>
      </c>
      <c r="J51" s="27">
        <v>1</v>
      </c>
      <c r="K51" s="63">
        <v>3</v>
      </c>
      <c r="L51" s="27">
        <v>1</v>
      </c>
      <c r="M51" s="63">
        <v>3</v>
      </c>
      <c r="N51" s="27"/>
      <c r="O51" s="27"/>
      <c r="P51" s="27"/>
      <c r="Q51" s="27"/>
      <c r="R51" s="65">
        <f>IF(J51=1,装备拆分数值生成!$R$43,0)+K51*装备拆分数值生成!$R$4</f>
        <v>343.41666666666669</v>
      </c>
      <c r="S51" s="62">
        <f>IF(H51=1,装备拆分数值生成!$S$42,0)+I51*装备拆分数值生成!$S$3</f>
        <v>87.288888888888891</v>
      </c>
      <c r="T51" s="62">
        <f>IF(H51=1,装备拆分数值生成!$T$42,0)+I51*装备拆分数值生成!$T$3</f>
        <v>174.57777777777778</v>
      </c>
      <c r="U51" s="62">
        <f>IF(J51=1,装备拆分数值生成!$R$43,0)+K51*装备拆分数值生成!$R$4</f>
        <v>343.41666666666669</v>
      </c>
      <c r="W51" s="62"/>
      <c r="X51" s="27"/>
      <c r="Y51" s="27"/>
      <c r="Z51" s="27">
        <f>VLOOKUP(D51,宠物成长生成表!$B$5:$J$103,3,0)*$AH$2</f>
        <v>1271.67</v>
      </c>
      <c r="AA51" s="27">
        <f>VLOOKUP(D51,宠物成长生成表!$B$5:$J$103,4,0)*$AH$3</f>
        <v>397.83</v>
      </c>
      <c r="AB51" s="27">
        <f>VLOOKUP(D51,宠物成长生成表!$B$5:$J$103,4,0)*$AH$4</f>
        <v>514.04999999999995</v>
      </c>
      <c r="AC51" s="27">
        <f>VLOOKUP(D51,宠物成长生成表!$B$5:$J$103,7,0)*$AH$5</f>
        <v>324.52</v>
      </c>
      <c r="AD51" s="27">
        <f>VLOOKUP(D51,宠物成长生成表!$B$5:$J$103,6,0)</f>
        <v>60</v>
      </c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62">
        <f t="shared" si="8"/>
        <v>1615.0866666666668</v>
      </c>
      <c r="AP51" s="62">
        <f t="shared" si="9"/>
        <v>485.11888888888888</v>
      </c>
      <c r="AQ51" s="62">
        <f t="shared" si="10"/>
        <v>688.62777777777774</v>
      </c>
      <c r="AR51" s="64">
        <f t="shared" si="11"/>
        <v>667.93666666666672</v>
      </c>
    </row>
    <row r="52" spans="2:44">
      <c r="B52" s="75"/>
      <c r="C52" s="30" t="s">
        <v>427</v>
      </c>
      <c r="D52" s="30">
        <v>10</v>
      </c>
      <c r="E52" s="30"/>
      <c r="F52" s="30"/>
      <c r="G52" s="30"/>
      <c r="H52" s="30">
        <v>1</v>
      </c>
      <c r="I52" s="66">
        <v>1</v>
      </c>
      <c r="J52" s="30">
        <v>1</v>
      </c>
      <c r="K52" s="66">
        <v>2</v>
      </c>
      <c r="L52" s="30">
        <v>1</v>
      </c>
      <c r="M52" s="66">
        <v>3</v>
      </c>
      <c r="N52" s="30"/>
      <c r="O52" s="30"/>
      <c r="P52" s="30"/>
      <c r="Q52" s="30"/>
      <c r="R52" s="65">
        <f>IF(J52=1,装备拆分数值生成!$AF$43,0)+K52*装备拆分数值生成!$N$5</f>
        <v>285.01666666666665</v>
      </c>
      <c r="S52" s="65">
        <f>IF(H52=1,装备拆分数值生成!$L$42,0)+能力数值!I52*装备拆分数值生成!$L$3</f>
        <v>161.6888888888889</v>
      </c>
      <c r="T52" s="65">
        <f>IF(H52=1,装备拆分数值生成!$M$42,0)+能力数值!I52*装备拆分数值生成!$M$3</f>
        <v>80.844444444444449</v>
      </c>
      <c r="U52" s="65">
        <f>IF(L52=1,装备拆分数值生成!$N$44,0)+装备拆分数值生成!$N$5*能力数值!M52</f>
        <v>89.4</v>
      </c>
      <c r="W52" s="65"/>
      <c r="X52" s="30"/>
      <c r="Y52" s="30"/>
      <c r="Z52" s="30">
        <f>VLOOKUP(D52,宠物成长生成表!$B$5:$J$103,3,0)*$AJ$2</f>
        <v>1785.6</v>
      </c>
      <c r="AA52" s="30">
        <f>VLOOKUP(D52,宠物成长生成表!$B$5:$J$103,4,0)*$AJ$3</f>
        <v>456.3</v>
      </c>
      <c r="AB52" s="30">
        <f>VLOOKUP(D52,宠物成长生成表!$B$5:$J$103,4,0)*$AJ$4</f>
        <v>456.3</v>
      </c>
      <c r="AC52" s="30">
        <f>VLOOKUP(D52,宠物成长生成表!$B$5:$J$103,7,0)*$AJ$5</f>
        <v>425.92</v>
      </c>
      <c r="AD52" s="30">
        <f>VLOOKUP(D52,宠物成长生成表!$B$5:$J$103,6,0)</f>
        <v>64</v>
      </c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65">
        <f t="shared" si="8"/>
        <v>2070.6166666666668</v>
      </c>
      <c r="AP52" s="65">
        <f t="shared" si="9"/>
        <v>617.98888888888894</v>
      </c>
      <c r="AQ52" s="65">
        <f t="shared" si="10"/>
        <v>537.1444444444445</v>
      </c>
      <c r="AR52" s="67">
        <f t="shared" si="11"/>
        <v>515.32000000000005</v>
      </c>
    </row>
    <row r="53" spans="2:44">
      <c r="B53" s="75"/>
      <c r="C53" s="30" t="s">
        <v>394</v>
      </c>
      <c r="D53" s="30">
        <v>7</v>
      </c>
      <c r="E53" s="30"/>
      <c r="F53" s="30"/>
      <c r="G53" s="30"/>
      <c r="H53" s="30">
        <v>1</v>
      </c>
      <c r="I53" s="66">
        <v>1</v>
      </c>
      <c r="J53" s="30">
        <v>1</v>
      </c>
      <c r="K53" s="66">
        <v>3</v>
      </c>
      <c r="L53" s="30">
        <v>1</v>
      </c>
      <c r="M53" s="66">
        <v>3</v>
      </c>
      <c r="N53" s="30"/>
      <c r="O53" s="30"/>
      <c r="P53" s="30"/>
      <c r="Q53" s="30"/>
      <c r="R53" s="65">
        <f>IF(J53=1,装备拆分数值生成!$AF$43,0)+装备拆分数值生成!$AF$4*能力数值!K53</f>
        <v>343.41666666666669</v>
      </c>
      <c r="S53" s="65">
        <f>IF(H53=1,装备拆分数值生成!$AG$42,0)+能力数值!I53*装备拆分数值生成!$AG$3</f>
        <v>121.26666666666667</v>
      </c>
      <c r="T53" s="65">
        <f>IF(H53=1,装备拆分数值生成!$AH$42,0)+能力数值!I53*装备拆分数值生成!$AH$3</f>
        <v>121.26666666666667</v>
      </c>
      <c r="U53" s="65">
        <f>IF(L53=1,装备拆分数值生成!$AI$44,0)+装备拆分数值生成!$AI$5*能力数值!M53</f>
        <v>111.75</v>
      </c>
      <c r="W53" s="65"/>
      <c r="X53" s="30"/>
      <c r="Y53" s="30"/>
      <c r="Z53" s="30">
        <f>VLOOKUP(D53,宠物成长生成表!$B$5:$J$103,3,0)*$AI$2</f>
        <v>1761.5</v>
      </c>
      <c r="AA53" s="30">
        <f>VLOOKUP(D53,宠物成长生成表!$B$5:$J$103,4,0)*$AI$3</f>
        <v>369.6</v>
      </c>
      <c r="AB53" s="30">
        <f>VLOOKUP(D53,宠物成长生成表!$B$5:$J$103,4,0)*$AI$4</f>
        <v>369.6</v>
      </c>
      <c r="AC53" s="30">
        <f>VLOOKUP(D53,宠物成长生成表!$B$5:$J$103,7,0)*$AI$5</f>
        <v>582.12</v>
      </c>
      <c r="AD53" s="30">
        <f>VLOOKUP(D53,宠物成长生成表!$B$5:$J$103,6,0)</f>
        <v>61</v>
      </c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65">
        <f t="shared" si="8"/>
        <v>2104.9166666666665</v>
      </c>
      <c r="AP53" s="65">
        <f t="shared" si="9"/>
        <v>490.86666666666667</v>
      </c>
      <c r="AQ53" s="65">
        <f t="shared" si="10"/>
        <v>490.86666666666667</v>
      </c>
      <c r="AR53" s="67">
        <f t="shared" si="11"/>
        <v>693.87</v>
      </c>
    </row>
    <row r="54" spans="2:44">
      <c r="B54" s="75"/>
      <c r="C54" s="30" t="s">
        <v>428</v>
      </c>
      <c r="D54" s="30">
        <v>5</v>
      </c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65">
        <f>IF(能力数值!J54=1,装备拆分数值生成!$Y$4,0)+能力数值!K54*装备拆分数值生成!$Y$4</f>
        <v>0</v>
      </c>
      <c r="S54" s="65">
        <f>IF(H54=0,0,装备拆分数值生成!$Z$42)+装备拆分数值生成!$Z$3*能力数值!I54</f>
        <v>0</v>
      </c>
      <c r="T54" s="65">
        <f>IF(H54=0,0,装备拆分数值生成!$AA$42)+装备拆分数值生成!$AA$3*能力数值!I54</f>
        <v>0</v>
      </c>
      <c r="U54" s="65">
        <f>IF(L54=0,0,装备拆分数值生成!$AB$44)+装备拆分数值生成!$AB$5*能力数值!M54</f>
        <v>0</v>
      </c>
      <c r="W54" s="65"/>
      <c r="X54" s="30"/>
      <c r="Y54" s="30"/>
      <c r="Z54" s="30">
        <f>VLOOKUP(D54,宠物成长生成表!$B$5:$J$103,3,0)</f>
        <v>1267</v>
      </c>
      <c r="AA54" s="30">
        <f>VLOOKUP(D54,宠物成长生成表!$B$5:$J$103,4,0)</f>
        <v>432</v>
      </c>
      <c r="AB54" s="30">
        <f>VLOOKUP(D54,宠物成长生成表!$B$5:$J$103,4,0)</f>
        <v>432</v>
      </c>
      <c r="AC54" s="30">
        <f>VLOOKUP(D54,宠物成长生成表!$B$5:$J$103,7,0)</f>
        <v>412</v>
      </c>
      <c r="AD54" s="30">
        <f>VLOOKUP(D54,宠物成长生成表!$B$5:$J$103,6,0)</f>
        <v>59</v>
      </c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65">
        <f t="shared" si="8"/>
        <v>1267</v>
      </c>
      <c r="AP54" s="65">
        <f t="shared" si="9"/>
        <v>432</v>
      </c>
      <c r="AQ54" s="65">
        <f t="shared" si="10"/>
        <v>432</v>
      </c>
      <c r="AR54" s="67">
        <f t="shared" si="11"/>
        <v>412</v>
      </c>
    </row>
    <row r="55" spans="2:44" ht="14.25" thickBot="1">
      <c r="B55" s="76"/>
      <c r="C55" s="40" t="s">
        <v>431</v>
      </c>
      <c r="D55" s="40">
        <v>2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68"/>
      <c r="S55" s="68"/>
      <c r="T55" s="68"/>
      <c r="U55" s="68"/>
      <c r="V55" s="40"/>
      <c r="W55" s="68"/>
      <c r="X55" s="40"/>
      <c r="Y55" s="40"/>
      <c r="Z55" s="40">
        <f>VLOOKUP(D55,宠物成长生成表!$B$5:$J$103,3,0)</f>
        <v>1135</v>
      </c>
      <c r="AA55" s="40">
        <f>VLOOKUP(D55,宠物成长生成表!$B$5:$J$103,4,0)</f>
        <v>387</v>
      </c>
      <c r="AB55" s="40">
        <f>VLOOKUP(D55,宠物成长生成表!$B$5:$J$103,4,0)</f>
        <v>387</v>
      </c>
      <c r="AC55" s="40">
        <f>VLOOKUP(D55,宠物成长生成表!$B$5:$J$103,7,0)</f>
        <v>369</v>
      </c>
      <c r="AD55" s="40">
        <f>VLOOKUP(D55,宠物成长生成表!$B$5:$J$103,6,0)</f>
        <v>56</v>
      </c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68">
        <f t="shared" si="8"/>
        <v>1135</v>
      </c>
      <c r="AP55" s="68">
        <f t="shared" si="9"/>
        <v>387</v>
      </c>
      <c r="AQ55" s="68">
        <f t="shared" si="10"/>
        <v>387</v>
      </c>
      <c r="AR55" s="70">
        <f t="shared" si="11"/>
        <v>369</v>
      </c>
    </row>
    <row r="56" spans="2:44">
      <c r="B56" s="74" t="s">
        <v>388</v>
      </c>
      <c r="C56" s="27" t="s">
        <v>429</v>
      </c>
      <c r="D56" s="27">
        <v>5</v>
      </c>
      <c r="E56" s="27"/>
      <c r="F56" s="27"/>
      <c r="G56" s="27"/>
      <c r="H56" s="27">
        <v>1</v>
      </c>
      <c r="I56" s="63">
        <v>3</v>
      </c>
      <c r="J56" s="27">
        <v>1</v>
      </c>
      <c r="K56" s="63">
        <v>3</v>
      </c>
      <c r="L56" s="27">
        <v>1</v>
      </c>
      <c r="M56" s="63">
        <v>3</v>
      </c>
      <c r="N56" s="27"/>
      <c r="O56" s="27"/>
      <c r="P56" s="27"/>
      <c r="Q56" s="27"/>
      <c r="R56" s="65">
        <f>IF(J56=1,装备拆分数值生成!$R$43,0)+K56*装备拆分数值生成!$R$4</f>
        <v>343.41666666666669</v>
      </c>
      <c r="S56" s="62">
        <f>IF(H56=1,装备拆分数值生成!$S$42,0)+I56*装备拆分数值生成!$S$3</f>
        <v>93.733333333333348</v>
      </c>
      <c r="T56" s="62">
        <f>IF(H56=1,装备拆分数值生成!$T$42,0)+I56*装备拆分数值生成!$T$3</f>
        <v>187.4666666666667</v>
      </c>
      <c r="U56" s="62">
        <f>IF(J56=1,装备拆分数值生成!$R$43,0)+K56*装备拆分数值生成!$R$4</f>
        <v>343.41666666666669</v>
      </c>
      <c r="W56" s="62"/>
      <c r="X56" s="27"/>
      <c r="Y56" s="27"/>
      <c r="Z56" s="27">
        <f>VLOOKUP(D56,宠物成长生成表!$B$5:$J$103,3,0)*$AH$2</f>
        <v>1228.99</v>
      </c>
      <c r="AA56" s="27">
        <f>VLOOKUP(D56,宠物成长生成表!$B$5:$J$103,4,0)*$AH$3</f>
        <v>384.48</v>
      </c>
      <c r="AB56" s="27">
        <f>VLOOKUP(D56,宠物成长生成表!$B$5:$J$103,4,0)*$AH$4</f>
        <v>496.79999999999995</v>
      </c>
      <c r="AC56" s="27">
        <f>VLOOKUP(D56,宠物成长生成表!$B$5:$J$103,7,0)*$AH$5</f>
        <v>313.12</v>
      </c>
      <c r="AD56" s="27">
        <f>VLOOKUP(D56,宠物成长生成表!$B$5:$J$103,6,0)</f>
        <v>59</v>
      </c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62">
        <f t="shared" si="8"/>
        <v>1572.4066666666668</v>
      </c>
      <c r="AP56" s="62">
        <f t="shared" si="9"/>
        <v>478.21333333333337</v>
      </c>
      <c r="AQ56" s="62">
        <f t="shared" si="10"/>
        <v>684.26666666666665</v>
      </c>
      <c r="AR56" s="64">
        <f t="shared" si="11"/>
        <v>656.53666666666663</v>
      </c>
    </row>
    <row r="57" spans="2:44">
      <c r="B57" s="75"/>
      <c r="C57" s="30" t="s">
        <v>427</v>
      </c>
      <c r="D57" s="30">
        <v>9</v>
      </c>
      <c r="E57" s="30"/>
      <c r="F57" s="30"/>
      <c r="G57" s="30"/>
      <c r="H57" s="30">
        <v>1</v>
      </c>
      <c r="I57" s="66">
        <v>3</v>
      </c>
      <c r="J57" s="30">
        <v>1</v>
      </c>
      <c r="K57" s="66">
        <v>3</v>
      </c>
      <c r="L57" s="30">
        <v>1</v>
      </c>
      <c r="M57" s="66">
        <v>2</v>
      </c>
      <c r="N57" s="30"/>
      <c r="O57" s="30"/>
      <c r="P57" s="30"/>
      <c r="Q57" s="30"/>
      <c r="R57" s="65">
        <f>IF(J57=1,装备拆分数值生成!$AF$43,0)+K57*装备拆分数值生成!$N$5</f>
        <v>291.14999999999998</v>
      </c>
      <c r="S57" s="65">
        <f>IF(H57=1,装备拆分数值生成!$L$42,0)+能力数值!I57*装备拆分数值生成!$L$3</f>
        <v>187.4666666666667</v>
      </c>
      <c r="T57" s="65">
        <f>IF(H57=1,装备拆分数值生成!$M$42,0)+能力数值!I57*装备拆分数值生成!$M$3</f>
        <v>93.733333333333348</v>
      </c>
      <c r="U57" s="65">
        <f>IF(L57=1,装备拆分数值生成!$N$44,0)+装备拆分数值生成!$N$5*能力数值!M57</f>
        <v>83.266666666666666</v>
      </c>
      <c r="W57" s="65"/>
      <c r="X57" s="30"/>
      <c r="Y57" s="30"/>
      <c r="Z57" s="30">
        <f>VLOOKUP(D57,宠物成长生成表!$B$5:$J$103,3,0)*$AJ$2</f>
        <v>1731.6</v>
      </c>
      <c r="AA57" s="30">
        <f>VLOOKUP(D57,宠物成长生成表!$B$5:$J$103,4,0)*$AJ$3</f>
        <v>442.8</v>
      </c>
      <c r="AB57" s="30">
        <f>VLOOKUP(D57,宠物成长生成表!$B$5:$J$103,4,0)*$AJ$4</f>
        <v>442.8</v>
      </c>
      <c r="AC57" s="30">
        <f>VLOOKUP(D57,宠物成长生成表!$B$5:$J$103,7,0)*$AJ$5</f>
        <v>413.6</v>
      </c>
      <c r="AD57" s="30">
        <f>VLOOKUP(D57,宠物成长生成表!$B$5:$J$103,6,0)</f>
        <v>63</v>
      </c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65">
        <f t="shared" si="8"/>
        <v>2022.75</v>
      </c>
      <c r="AP57" s="65">
        <f t="shared" si="9"/>
        <v>630.26666666666665</v>
      </c>
      <c r="AQ57" s="65">
        <f t="shared" si="10"/>
        <v>536.5333333333333</v>
      </c>
      <c r="AR57" s="67">
        <f t="shared" si="11"/>
        <v>496.86666666666667</v>
      </c>
    </row>
    <row r="58" spans="2:44">
      <c r="B58" s="75"/>
      <c r="C58" s="30" t="s">
        <v>394</v>
      </c>
      <c r="D58" s="30">
        <v>5</v>
      </c>
      <c r="E58" s="30"/>
      <c r="F58" s="30"/>
      <c r="G58" s="30"/>
      <c r="H58" s="30">
        <v>1</v>
      </c>
      <c r="I58" s="66">
        <v>3</v>
      </c>
      <c r="J58" s="30">
        <v>1</v>
      </c>
      <c r="K58" s="66">
        <v>5</v>
      </c>
      <c r="L58" s="30">
        <v>1</v>
      </c>
      <c r="M58" s="66">
        <v>2</v>
      </c>
      <c r="N58" s="30"/>
      <c r="O58" s="30"/>
      <c r="P58" s="30"/>
      <c r="Q58" s="30"/>
      <c r="R58" s="65">
        <f>IF(J58=1,装备拆分数值生成!$AF$43,0)+装备拆分数值生成!$AF$4*能力数值!K58</f>
        <v>390.52777777777777</v>
      </c>
      <c r="S58" s="65">
        <f>IF(H58=1,装备拆分数值生成!$AG$42,0)+能力数值!I58*装备拆分数值生成!$AG$3</f>
        <v>140.6</v>
      </c>
      <c r="T58" s="65">
        <f>IF(H58=1,装备拆分数值生成!$AH$42,0)+能力数值!I58*装备拆分数值生成!$AH$3</f>
        <v>140.6</v>
      </c>
      <c r="U58" s="65">
        <f>IF(L58=1,装备拆分数值生成!$AI$44,0)+装备拆分数值生成!$AI$5*能力数值!M58</f>
        <v>104.08333333333333</v>
      </c>
      <c r="W58" s="65"/>
      <c r="X58" s="30"/>
      <c r="Y58" s="30"/>
      <c r="Z58" s="30">
        <f>VLOOKUP(D58,宠物成长生成表!$B$5:$J$103,3,0)*$AI$2</f>
        <v>1647.1000000000001</v>
      </c>
      <c r="AA58" s="30">
        <f>VLOOKUP(D58,宠物成长生成表!$B$5:$J$103,4,0)*$AI$3</f>
        <v>345.6</v>
      </c>
      <c r="AB58" s="30">
        <f>VLOOKUP(D58,宠物成长生成表!$B$5:$J$103,4,0)*$AI$4</f>
        <v>345.6</v>
      </c>
      <c r="AC58" s="30">
        <f>VLOOKUP(D58,宠物成长生成表!$B$5:$J$103,7,0)*$AI$5</f>
        <v>543.84</v>
      </c>
      <c r="AD58" s="30">
        <f>VLOOKUP(D58,宠物成长生成表!$B$5:$J$103,6,0)</f>
        <v>59</v>
      </c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65">
        <f t="shared" si="8"/>
        <v>2037.627777777778</v>
      </c>
      <c r="AP58" s="65">
        <f t="shared" si="9"/>
        <v>486.20000000000005</v>
      </c>
      <c r="AQ58" s="65">
        <f t="shared" si="10"/>
        <v>486.20000000000005</v>
      </c>
      <c r="AR58" s="67">
        <f t="shared" si="11"/>
        <v>647.9233333333334</v>
      </c>
    </row>
    <row r="59" spans="2:44">
      <c r="B59" s="75"/>
      <c r="C59" s="30" t="s">
        <v>428</v>
      </c>
      <c r="D59" s="30">
        <v>7</v>
      </c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65">
        <f>IF(能力数值!J59=1,装备拆分数值生成!$Y$4,0)+能力数值!K59*装备拆分数值生成!$Y$4</f>
        <v>0</v>
      </c>
      <c r="S59" s="65">
        <f>IF(H59=0,0,装备拆分数值生成!$Z$42)+装备拆分数值生成!$Z$3*能力数值!I59</f>
        <v>0</v>
      </c>
      <c r="T59" s="65">
        <f>IF(H59=0,0,装备拆分数值生成!$AA$42)+装备拆分数值生成!$AA$3*能力数值!I59</f>
        <v>0</v>
      </c>
      <c r="U59" s="65">
        <f>IF(L59=0,0,装备拆分数值生成!$AB$44)+装备拆分数值生成!$AB$5*能力数值!M59</f>
        <v>0</v>
      </c>
      <c r="W59" s="65"/>
      <c r="X59" s="30"/>
      <c r="Y59" s="30"/>
      <c r="Z59" s="30">
        <f>VLOOKUP(D59,宠物成长生成表!$B$5:$J$103,3,0)</f>
        <v>1355</v>
      </c>
      <c r="AA59" s="30">
        <f>VLOOKUP(D59,宠物成长生成表!$B$5:$J$103,4,0)</f>
        <v>462</v>
      </c>
      <c r="AB59" s="30">
        <f>VLOOKUP(D59,宠物成长生成表!$B$5:$J$103,4,0)</f>
        <v>462</v>
      </c>
      <c r="AC59" s="30">
        <f>VLOOKUP(D59,宠物成长生成表!$B$5:$J$103,7,0)</f>
        <v>441</v>
      </c>
      <c r="AD59" s="30">
        <f>VLOOKUP(D59,宠物成长生成表!$B$5:$J$103,6,0)</f>
        <v>61</v>
      </c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65">
        <f t="shared" si="8"/>
        <v>1355</v>
      </c>
      <c r="AP59" s="65">
        <f t="shared" si="9"/>
        <v>462</v>
      </c>
      <c r="AQ59" s="65">
        <f t="shared" si="10"/>
        <v>462</v>
      </c>
      <c r="AR59" s="67">
        <f t="shared" si="11"/>
        <v>441</v>
      </c>
    </row>
    <row r="60" spans="2:44" ht="14.25" thickBot="1">
      <c r="B60" s="76"/>
      <c r="C60" s="40" t="s">
        <v>431</v>
      </c>
      <c r="D60" s="40">
        <v>2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68"/>
      <c r="S60" s="68"/>
      <c r="T60" s="68"/>
      <c r="U60" s="68"/>
      <c r="V60" s="40"/>
      <c r="W60" s="68"/>
      <c r="X60" s="40"/>
      <c r="Y60" s="40"/>
      <c r="Z60" s="40">
        <f>VLOOKUP(D60,宠物成长生成表!$B$5:$J$103,3,0)</f>
        <v>1135</v>
      </c>
      <c r="AA60" s="40">
        <f>VLOOKUP(D60,宠物成长生成表!$B$5:$J$103,4,0)</f>
        <v>387</v>
      </c>
      <c r="AB60" s="40">
        <f>VLOOKUP(D60,宠物成长生成表!$B$5:$J$103,4,0)</f>
        <v>387</v>
      </c>
      <c r="AC60" s="40">
        <f>VLOOKUP(D60,宠物成长生成表!$B$5:$J$103,7,0)</f>
        <v>369</v>
      </c>
      <c r="AD60" s="40">
        <f>VLOOKUP(D60,宠物成长生成表!$B$5:$J$103,6,0)</f>
        <v>56</v>
      </c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68">
        <f t="shared" si="8"/>
        <v>1135</v>
      </c>
      <c r="AP60" s="68">
        <f t="shared" si="9"/>
        <v>387</v>
      </c>
      <c r="AQ60" s="68">
        <f t="shared" si="10"/>
        <v>387</v>
      </c>
      <c r="AR60" s="70">
        <f t="shared" si="11"/>
        <v>369</v>
      </c>
    </row>
    <row r="61" spans="2:44">
      <c r="B61" s="74" t="s">
        <v>389</v>
      </c>
      <c r="C61" s="27" t="s">
        <v>429</v>
      </c>
      <c r="D61" s="27">
        <v>6</v>
      </c>
      <c r="E61" s="27"/>
      <c r="F61" s="27"/>
      <c r="G61" s="27"/>
      <c r="H61" s="27">
        <v>1</v>
      </c>
      <c r="I61" s="63">
        <v>7</v>
      </c>
      <c r="J61" s="27">
        <v>1</v>
      </c>
      <c r="K61" s="63">
        <v>3</v>
      </c>
      <c r="L61" s="27">
        <v>1</v>
      </c>
      <c r="M61" s="63">
        <v>3</v>
      </c>
      <c r="N61" s="27"/>
      <c r="O61" s="27"/>
      <c r="P61" s="27"/>
      <c r="Q61" s="27"/>
      <c r="R61" s="65">
        <f>IF(J61=1,装备拆分数值生成!$R$43,0)+K61*装备拆分数值生成!$R$4</f>
        <v>343.41666666666669</v>
      </c>
      <c r="S61" s="62">
        <f>IF(H61=1,装备拆分数值生成!$S$42,0)+I61*装备拆分数值生成!$S$3</f>
        <v>119.51111111111112</v>
      </c>
      <c r="T61" s="62">
        <f>IF(H61=1,装备拆分数值生成!$T$42,0)+I61*装备拆分数值生成!$T$3</f>
        <v>239.02222222222224</v>
      </c>
      <c r="U61" s="62">
        <f>IF(J61=1,装备拆分数值生成!$R$43,0)+K61*装备拆分数值生成!$R$4</f>
        <v>343.41666666666669</v>
      </c>
      <c r="W61" s="62"/>
      <c r="X61" s="27"/>
      <c r="Y61" s="27"/>
      <c r="Z61" s="27">
        <f>VLOOKUP(D61,宠物成长生成表!$B$5:$J$103,3,0)*$AH$2</f>
        <v>1271.67</v>
      </c>
      <c r="AA61" s="27">
        <f>VLOOKUP(D61,宠物成长生成表!$B$5:$J$103,4,0)*$AH$3</f>
        <v>397.83</v>
      </c>
      <c r="AB61" s="27">
        <f>VLOOKUP(D61,宠物成长生成表!$B$5:$J$103,4,0)*$AH$4</f>
        <v>514.04999999999995</v>
      </c>
      <c r="AC61" s="27">
        <f>VLOOKUP(D61,宠物成长生成表!$B$5:$J$103,7,0)*$AH$5</f>
        <v>324.52</v>
      </c>
      <c r="AD61" s="27">
        <f>VLOOKUP(D61,宠物成长生成表!$B$5:$J$103,6,0)</f>
        <v>60</v>
      </c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62">
        <f t="shared" si="8"/>
        <v>1615.0866666666668</v>
      </c>
      <c r="AP61" s="62">
        <f t="shared" si="9"/>
        <v>517.3411111111111</v>
      </c>
      <c r="AQ61" s="62">
        <f t="shared" si="10"/>
        <v>753.07222222222219</v>
      </c>
      <c r="AR61" s="64">
        <f t="shared" si="11"/>
        <v>667.93666666666672</v>
      </c>
    </row>
    <row r="62" spans="2:44">
      <c r="B62" s="75"/>
      <c r="C62" s="30" t="s">
        <v>427</v>
      </c>
      <c r="D62" s="30">
        <v>10</v>
      </c>
      <c r="E62" s="30"/>
      <c r="F62" s="30"/>
      <c r="G62" s="30"/>
      <c r="H62" s="30">
        <v>1</v>
      </c>
      <c r="I62" s="66">
        <v>4</v>
      </c>
      <c r="J62" s="30">
        <v>1</v>
      </c>
      <c r="K62" s="66">
        <v>2</v>
      </c>
      <c r="L62" s="30">
        <v>1</v>
      </c>
      <c r="M62" s="66">
        <v>1</v>
      </c>
      <c r="N62" s="30"/>
      <c r="O62" s="30"/>
      <c r="P62" s="30"/>
      <c r="Q62" s="30"/>
      <c r="R62" s="65">
        <f>IF(J62=1,装备拆分数值生成!$AF$43,0)+K62*装备拆分数值生成!$N$5</f>
        <v>285.01666666666665</v>
      </c>
      <c r="S62" s="65">
        <f>IF(H62=1,装备拆分数值生成!$L$42,0)+能力数值!I62*装备拆分数值生成!$L$3</f>
        <v>200.35555555555555</v>
      </c>
      <c r="T62" s="65">
        <f>IF(H62=1,装备拆分数值生成!$M$42,0)+能力数值!I62*装备拆分数值生成!$M$3</f>
        <v>100.17777777777778</v>
      </c>
      <c r="U62" s="65">
        <f>IF(L62=1,装备拆分数值生成!$N$44,0)+装备拆分数值生成!$N$5*能力数值!M62</f>
        <v>77.13333333333334</v>
      </c>
      <c r="W62" s="65"/>
      <c r="X62" s="30"/>
      <c r="Y62" s="30"/>
      <c r="Z62" s="30">
        <f>VLOOKUP(D62,宠物成长生成表!$B$5:$J$103,3,0)*$AJ$2</f>
        <v>1785.6</v>
      </c>
      <c r="AA62" s="30">
        <f>VLOOKUP(D62,宠物成长生成表!$B$5:$J$103,4,0)*$AJ$3</f>
        <v>456.3</v>
      </c>
      <c r="AB62" s="30">
        <f>VLOOKUP(D62,宠物成长生成表!$B$5:$J$103,4,0)*$AJ$4</f>
        <v>456.3</v>
      </c>
      <c r="AC62" s="30">
        <f>VLOOKUP(D62,宠物成长生成表!$B$5:$J$103,7,0)*$AJ$5</f>
        <v>425.92</v>
      </c>
      <c r="AD62" s="30">
        <f>VLOOKUP(D62,宠物成长生成表!$B$5:$J$103,6,0)</f>
        <v>64</v>
      </c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65">
        <f t="shared" si="8"/>
        <v>2070.6166666666668</v>
      </c>
      <c r="AP62" s="65">
        <f t="shared" si="9"/>
        <v>656.65555555555557</v>
      </c>
      <c r="AQ62" s="65">
        <f t="shared" si="10"/>
        <v>556.47777777777776</v>
      </c>
      <c r="AR62" s="67">
        <f t="shared" si="11"/>
        <v>503.05333333333334</v>
      </c>
    </row>
    <row r="63" spans="2:44">
      <c r="B63" s="75"/>
      <c r="C63" s="30" t="s">
        <v>394</v>
      </c>
      <c r="D63" s="30">
        <v>7</v>
      </c>
      <c r="E63" s="30"/>
      <c r="F63" s="30"/>
      <c r="G63" s="30"/>
      <c r="H63" s="30">
        <v>1</v>
      </c>
      <c r="I63" s="66">
        <v>5</v>
      </c>
      <c r="J63" s="30">
        <v>1</v>
      </c>
      <c r="K63" s="66">
        <v>3</v>
      </c>
      <c r="L63" s="30">
        <v>1</v>
      </c>
      <c r="M63" s="66">
        <v>2</v>
      </c>
      <c r="N63" s="30"/>
      <c r="O63" s="30"/>
      <c r="P63" s="30"/>
      <c r="Q63" s="30"/>
      <c r="R63" s="65">
        <f>IF(J63=1,装备拆分数值生成!$AF$43,0)+装备拆分数值生成!$AF$4*能力数值!K63</f>
        <v>343.41666666666669</v>
      </c>
      <c r="S63" s="65">
        <f>IF(H63=1,装备拆分数值生成!$AG$42,0)+能力数值!I63*装备拆分数值生成!$AG$3</f>
        <v>159.93333333333334</v>
      </c>
      <c r="T63" s="65">
        <f>IF(H63=1,装备拆分数值生成!$AH$42,0)+能力数值!I63*装备拆分数值生成!$AH$3</f>
        <v>159.93333333333334</v>
      </c>
      <c r="U63" s="65">
        <f>IF(L63=1,装备拆分数值生成!$AI$44,0)+装备拆分数值生成!$AI$5*能力数值!M63</f>
        <v>104.08333333333333</v>
      </c>
      <c r="W63" s="65"/>
      <c r="X63" s="30"/>
      <c r="Y63" s="30"/>
      <c r="Z63" s="30">
        <f>VLOOKUP(D63,宠物成长生成表!$B$5:$J$103,3,0)*$AI$2</f>
        <v>1761.5</v>
      </c>
      <c r="AA63" s="30">
        <f>VLOOKUP(D63,宠物成长生成表!$B$5:$J$103,4,0)*$AI$3</f>
        <v>369.6</v>
      </c>
      <c r="AB63" s="30">
        <f>VLOOKUP(D63,宠物成长生成表!$B$5:$J$103,4,0)*$AI$4</f>
        <v>369.6</v>
      </c>
      <c r="AC63" s="30">
        <f>VLOOKUP(D63,宠物成长生成表!$B$5:$J$103,7,0)*$AI$5</f>
        <v>582.12</v>
      </c>
      <c r="AD63" s="30">
        <f>VLOOKUP(D63,宠物成长生成表!$B$5:$J$103,6,0)</f>
        <v>61</v>
      </c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65">
        <f t="shared" si="8"/>
        <v>2104.9166666666665</v>
      </c>
      <c r="AP63" s="65">
        <f t="shared" si="9"/>
        <v>529.5333333333333</v>
      </c>
      <c r="AQ63" s="65">
        <f t="shared" si="10"/>
        <v>529.5333333333333</v>
      </c>
      <c r="AR63" s="67">
        <f t="shared" si="11"/>
        <v>686.20333333333338</v>
      </c>
    </row>
    <row r="64" spans="2:44">
      <c r="B64" s="75"/>
      <c r="C64" s="30" t="s">
        <v>428</v>
      </c>
      <c r="D64" s="30">
        <v>5</v>
      </c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65">
        <f>IF(能力数值!J64=1,装备拆分数值生成!$Y$4,0)+能力数值!K64*装备拆分数值生成!$Y$4</f>
        <v>0</v>
      </c>
      <c r="S64" s="65">
        <f>IF(H64=0,0,装备拆分数值生成!$Z$42)+装备拆分数值生成!$Z$3*能力数值!I64</f>
        <v>0</v>
      </c>
      <c r="T64" s="65">
        <f>IF(H64=0,0,装备拆分数值生成!$AA$42)+装备拆分数值生成!$AA$3*能力数值!I64</f>
        <v>0</v>
      </c>
      <c r="U64" s="65">
        <f>IF(L64=0,0,装备拆分数值生成!$AB$44)+装备拆分数值生成!$AB$5*能力数值!M64</f>
        <v>0</v>
      </c>
      <c r="W64" s="65"/>
      <c r="X64" s="30"/>
      <c r="Y64" s="30"/>
      <c r="Z64" s="30">
        <f>VLOOKUP(D64,宠物成长生成表!$B$5:$J$103,3,0)</f>
        <v>1267</v>
      </c>
      <c r="AA64" s="30">
        <f>VLOOKUP(D64,宠物成长生成表!$B$5:$J$103,4,0)</f>
        <v>432</v>
      </c>
      <c r="AB64" s="30">
        <f>VLOOKUP(D64,宠物成长生成表!$B$5:$J$103,4,0)</f>
        <v>432</v>
      </c>
      <c r="AC64" s="30">
        <f>VLOOKUP(D64,宠物成长生成表!$B$5:$J$103,7,0)</f>
        <v>412</v>
      </c>
      <c r="AD64" s="30">
        <f>VLOOKUP(D64,宠物成长生成表!$B$5:$J$103,6,0)</f>
        <v>59</v>
      </c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65">
        <f t="shared" si="8"/>
        <v>1267</v>
      </c>
      <c r="AP64" s="65">
        <f t="shared" si="9"/>
        <v>432</v>
      </c>
      <c r="AQ64" s="65">
        <f t="shared" si="10"/>
        <v>432</v>
      </c>
      <c r="AR64" s="67">
        <f t="shared" si="11"/>
        <v>412</v>
      </c>
    </row>
    <row r="65" spans="2:44" ht="14.25" thickBot="1">
      <c r="B65" s="76"/>
      <c r="C65" s="40" t="s">
        <v>431</v>
      </c>
      <c r="D65" s="40">
        <v>3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68"/>
      <c r="S65" s="68"/>
      <c r="T65" s="68"/>
      <c r="U65" s="68"/>
      <c r="V65" s="40"/>
      <c r="W65" s="68"/>
      <c r="X65" s="40"/>
      <c r="Y65" s="40"/>
      <c r="Z65" s="40">
        <f>VLOOKUP(D65,宠物成长生成表!$B$5:$J$103,3,0)</f>
        <v>1179</v>
      </c>
      <c r="AA65" s="40">
        <f>VLOOKUP(D65,宠物成长生成表!$B$5:$J$103,4,0)</f>
        <v>402</v>
      </c>
      <c r="AB65" s="40">
        <f>VLOOKUP(D65,宠物成长生成表!$B$5:$J$103,4,0)</f>
        <v>402</v>
      </c>
      <c r="AC65" s="40">
        <f>VLOOKUP(D65,宠物成长生成表!$B$5:$J$103,7,0)</f>
        <v>384</v>
      </c>
      <c r="AD65" s="40">
        <f>VLOOKUP(D65,宠物成长生成表!$B$5:$J$103,6,0)</f>
        <v>57</v>
      </c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68">
        <f t="shared" si="8"/>
        <v>1179</v>
      </c>
      <c r="AP65" s="68">
        <f t="shared" si="9"/>
        <v>402</v>
      </c>
      <c r="AQ65" s="68">
        <f t="shared" si="10"/>
        <v>402</v>
      </c>
      <c r="AR65" s="70">
        <f t="shared" si="11"/>
        <v>384</v>
      </c>
    </row>
    <row r="66" spans="2:44">
      <c r="B66" s="74" t="s">
        <v>390</v>
      </c>
      <c r="C66" s="27" t="s">
        <v>429</v>
      </c>
      <c r="D66" s="27">
        <v>7</v>
      </c>
      <c r="E66" s="27"/>
      <c r="F66" s="27"/>
      <c r="G66" s="27"/>
      <c r="H66" s="27">
        <v>1</v>
      </c>
      <c r="I66" s="63">
        <v>7</v>
      </c>
      <c r="J66" s="27">
        <v>1</v>
      </c>
      <c r="K66" s="63">
        <v>3</v>
      </c>
      <c r="L66" s="27">
        <v>1</v>
      </c>
      <c r="M66" s="63">
        <v>3</v>
      </c>
      <c r="N66" s="27"/>
      <c r="O66" s="27"/>
      <c r="P66" s="27"/>
      <c r="Q66" s="27"/>
      <c r="R66" s="65">
        <f>IF(J66=1,装备拆分数值生成!$R$43,0)+K66*装备拆分数值生成!$R$4</f>
        <v>343.41666666666669</v>
      </c>
      <c r="S66" s="62">
        <f>IF(H66=1,装备拆分数值生成!$S$42,0)+I66*装备拆分数值生成!$S$3</f>
        <v>119.51111111111112</v>
      </c>
      <c r="T66" s="62">
        <f>IF(H66=1,装备拆分数值生成!$T$42,0)+I66*装备拆分数值生成!$T$3</f>
        <v>239.02222222222224</v>
      </c>
      <c r="U66" s="62">
        <f>IF(J66=1,装备拆分数值生成!$R$43,0)+K66*装备拆分数值生成!$R$4</f>
        <v>343.41666666666669</v>
      </c>
      <c r="W66" s="62"/>
      <c r="X66" s="27"/>
      <c r="Y66" s="27"/>
      <c r="Z66" s="27">
        <f>VLOOKUP(D66,宠物成长生成表!$B$5:$J$103,3,0)*$AH$2</f>
        <v>1314.35</v>
      </c>
      <c r="AA66" s="27">
        <f>VLOOKUP(D66,宠物成长生成表!$B$5:$J$103,4,0)*$AH$3</f>
        <v>411.18</v>
      </c>
      <c r="AB66" s="27">
        <f>VLOOKUP(D66,宠物成长生成表!$B$5:$J$103,4,0)*$AH$4</f>
        <v>531.29999999999995</v>
      </c>
      <c r="AC66" s="27">
        <f>VLOOKUP(D66,宠物成长生成表!$B$5:$J$103,7,0)*$AH$5</f>
        <v>335.16</v>
      </c>
      <c r="AD66" s="27">
        <f>VLOOKUP(D66,宠物成长生成表!$B$5:$J$103,6,0)</f>
        <v>61</v>
      </c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62">
        <f t="shared" si="8"/>
        <v>1657.7666666666667</v>
      </c>
      <c r="AP66" s="62">
        <f t="shared" si="9"/>
        <v>530.69111111111113</v>
      </c>
      <c r="AQ66" s="62">
        <f t="shared" si="10"/>
        <v>770.32222222222219</v>
      </c>
      <c r="AR66" s="64">
        <f t="shared" si="11"/>
        <v>678.57666666666671</v>
      </c>
    </row>
    <row r="67" spans="2:44">
      <c r="B67" s="75"/>
      <c r="C67" s="30" t="s">
        <v>427</v>
      </c>
      <c r="D67" s="30">
        <v>11</v>
      </c>
      <c r="E67" s="30"/>
      <c r="F67" s="30"/>
      <c r="G67" s="30"/>
      <c r="H67" s="30">
        <v>1</v>
      </c>
      <c r="I67" s="66">
        <v>2</v>
      </c>
      <c r="J67" s="30">
        <v>1</v>
      </c>
      <c r="K67" s="66">
        <v>8</v>
      </c>
      <c r="L67" s="30">
        <v>1</v>
      </c>
      <c r="M67" s="66">
        <v>1</v>
      </c>
      <c r="N67" s="30"/>
      <c r="O67" s="30"/>
      <c r="P67" s="30"/>
      <c r="Q67" s="30"/>
      <c r="R67" s="65">
        <f>IF(J67=1,装备拆分数值生成!$AF$43,0)+K67*装备拆分数值生成!$N$5</f>
        <v>321.81666666666666</v>
      </c>
      <c r="S67" s="65">
        <f>IF(H67=1,装备拆分数值生成!$L$42,0)+能力数值!I67*装备拆分数值生成!$L$3</f>
        <v>174.57777777777778</v>
      </c>
      <c r="T67" s="65">
        <f>IF(H67=1,装备拆分数值生成!$M$42,0)+能力数值!I67*装备拆分数值生成!$M$3</f>
        <v>87.288888888888891</v>
      </c>
      <c r="U67" s="65">
        <f>IF(L67=1,装备拆分数值生成!$N$44,0)+装备拆分数值生成!$N$5*能力数值!M67</f>
        <v>77.13333333333334</v>
      </c>
      <c r="W67" s="65"/>
      <c r="X67" s="30"/>
      <c r="Y67" s="30"/>
      <c r="Z67" s="30">
        <f>VLOOKUP(D67,宠物成长生成表!$B$5:$J$103,3,0)*$AJ$2</f>
        <v>1838.3999999999999</v>
      </c>
      <c r="AA67" s="30">
        <f>VLOOKUP(D67,宠物成长生成表!$B$5:$J$103,4,0)*$AJ$3</f>
        <v>470.7</v>
      </c>
      <c r="AB67" s="30">
        <f>VLOOKUP(D67,宠物成长生成表!$B$5:$J$103,4,0)*$AJ$4</f>
        <v>470.7</v>
      </c>
      <c r="AC67" s="30">
        <f>VLOOKUP(D67,宠物成长生成表!$B$5:$J$103,7,0)*$AJ$5</f>
        <v>438.24</v>
      </c>
      <c r="AD67" s="30">
        <f>VLOOKUP(D67,宠物成长生成表!$B$5:$J$103,6,0)</f>
        <v>66</v>
      </c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65">
        <f t="shared" si="8"/>
        <v>2160.2166666666667</v>
      </c>
      <c r="AP67" s="65">
        <f t="shared" si="9"/>
        <v>645.27777777777783</v>
      </c>
      <c r="AQ67" s="65">
        <f t="shared" si="10"/>
        <v>557.98888888888882</v>
      </c>
      <c r="AR67" s="67">
        <f t="shared" si="11"/>
        <v>515.37333333333333</v>
      </c>
    </row>
    <row r="68" spans="2:44">
      <c r="B68" s="75"/>
      <c r="C68" s="30" t="s">
        <v>394</v>
      </c>
      <c r="D68" s="30">
        <v>9</v>
      </c>
      <c r="E68" s="30"/>
      <c r="F68" s="30"/>
      <c r="G68" s="30"/>
      <c r="H68" s="30">
        <v>1</v>
      </c>
      <c r="I68" s="66">
        <v>7</v>
      </c>
      <c r="J68" s="30">
        <v>1</v>
      </c>
      <c r="K68" s="66">
        <v>3</v>
      </c>
      <c r="L68" s="30">
        <v>1</v>
      </c>
      <c r="M68" s="66">
        <v>2</v>
      </c>
      <c r="N68" s="30"/>
      <c r="O68" s="30"/>
      <c r="P68" s="30"/>
      <c r="Q68" s="30"/>
      <c r="R68" s="65">
        <f>IF(J68=1,装备拆分数值生成!$AF$43,0)+装备拆分数值生成!$AF$4*能力数值!K68</f>
        <v>343.41666666666669</v>
      </c>
      <c r="S68" s="65">
        <f>IF(H68=1,装备拆分数值生成!$AG$42,0)+能力数值!I68*装备拆分数值生成!$AG$3</f>
        <v>179.26666666666665</v>
      </c>
      <c r="T68" s="65">
        <f>IF(H68=1,装备拆分数值生成!$AH$42,0)+能力数值!I68*装备拆分数值生成!$AH$3</f>
        <v>179.26666666666665</v>
      </c>
      <c r="U68" s="65">
        <f>IF(L68=1,装备拆分数值生成!$AI$44,0)+装备拆分数值生成!$AI$5*能力数值!M68</f>
        <v>104.08333333333333</v>
      </c>
      <c r="W68" s="65"/>
      <c r="X68" s="30"/>
      <c r="Y68" s="30"/>
      <c r="Z68" s="30">
        <f>VLOOKUP(D68,宠物成长生成表!$B$5:$J$103,3,0)*$AI$2</f>
        <v>1875.9</v>
      </c>
      <c r="AA68" s="30">
        <f>VLOOKUP(D68,宠物成长生成表!$B$5:$J$103,4,0)*$AI$3</f>
        <v>393.6</v>
      </c>
      <c r="AB68" s="30">
        <f>VLOOKUP(D68,宠物成长生成表!$B$5:$J$103,4,0)*$AI$4</f>
        <v>393.6</v>
      </c>
      <c r="AC68" s="30">
        <f>VLOOKUP(D68,宠物成长生成表!$B$5:$J$103,7,0)*$AI$5</f>
        <v>620.4</v>
      </c>
      <c r="AD68" s="30">
        <f>VLOOKUP(D68,宠物成长生成表!$B$5:$J$103,6,0)</f>
        <v>63</v>
      </c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65">
        <f t="shared" si="8"/>
        <v>2219.3166666666666</v>
      </c>
      <c r="AP68" s="65">
        <f t="shared" si="9"/>
        <v>572.86666666666667</v>
      </c>
      <c r="AQ68" s="65">
        <f t="shared" si="10"/>
        <v>572.86666666666667</v>
      </c>
      <c r="AR68" s="67">
        <f t="shared" si="11"/>
        <v>724.48333333333335</v>
      </c>
    </row>
    <row r="69" spans="2:44">
      <c r="B69" s="75"/>
      <c r="C69" s="30" t="s">
        <v>428</v>
      </c>
      <c r="D69" s="30">
        <v>7</v>
      </c>
      <c r="E69" s="30"/>
      <c r="F69" s="30"/>
      <c r="G69" s="30"/>
      <c r="H69" s="30"/>
      <c r="I69" s="66"/>
      <c r="J69" s="30"/>
      <c r="K69" s="30"/>
      <c r="L69" s="30"/>
      <c r="M69" s="30"/>
      <c r="N69" s="30"/>
      <c r="O69" s="30"/>
      <c r="P69" s="30"/>
      <c r="Q69" s="30"/>
      <c r="R69" s="65">
        <f>IF(能力数值!J69=1,装备拆分数值生成!$Y$4,0)+能力数值!K69*装备拆分数值生成!$Y$4</f>
        <v>0</v>
      </c>
      <c r="S69" s="65">
        <f>IF(H69=0,0,装备拆分数值生成!$Z$42)+装备拆分数值生成!$Z$3*能力数值!I69</f>
        <v>0</v>
      </c>
      <c r="T69" s="65">
        <f>IF(H69=0,0,装备拆分数值生成!$AA$42)+装备拆分数值生成!$AA$3*能力数值!I69</f>
        <v>0</v>
      </c>
      <c r="U69" s="65">
        <f>IF(L69=0,0,装备拆分数值生成!$AB$44)+装备拆分数值生成!$AB$5*能力数值!M69</f>
        <v>0</v>
      </c>
      <c r="W69" s="65"/>
      <c r="X69" s="30"/>
      <c r="Y69" s="30"/>
      <c r="Z69" s="30">
        <f>VLOOKUP(D69,宠物成长生成表!$B$5:$J$103,3,0)</f>
        <v>1355</v>
      </c>
      <c r="AA69" s="30">
        <f>VLOOKUP(D69,宠物成长生成表!$B$5:$J$103,4,0)</f>
        <v>462</v>
      </c>
      <c r="AB69" s="30">
        <f>VLOOKUP(D69,宠物成长生成表!$B$5:$J$103,4,0)</f>
        <v>462</v>
      </c>
      <c r="AC69" s="30">
        <f>VLOOKUP(D69,宠物成长生成表!$B$5:$J$103,7,0)</f>
        <v>441</v>
      </c>
      <c r="AD69" s="30">
        <f>VLOOKUP(D69,宠物成长生成表!$B$5:$J$103,6,0)</f>
        <v>61</v>
      </c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65">
        <f t="shared" si="8"/>
        <v>1355</v>
      </c>
      <c r="AP69" s="65">
        <f t="shared" si="9"/>
        <v>462</v>
      </c>
      <c r="AQ69" s="65">
        <f t="shared" si="10"/>
        <v>462</v>
      </c>
      <c r="AR69" s="67">
        <f t="shared" si="11"/>
        <v>441</v>
      </c>
    </row>
    <row r="70" spans="2:44" ht="14.25" thickBot="1">
      <c r="B70" s="76"/>
      <c r="C70" s="40" t="s">
        <v>431</v>
      </c>
      <c r="D70" s="40">
        <v>9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68"/>
      <c r="S70" s="68"/>
      <c r="T70" s="68"/>
      <c r="U70" s="68"/>
      <c r="V70" s="40"/>
      <c r="W70" s="68"/>
      <c r="X70" s="40"/>
      <c r="Y70" s="40"/>
      <c r="Z70" s="40">
        <f>VLOOKUP(D70,宠物成长生成表!$B$5:$J$103,3,0)</f>
        <v>1443</v>
      </c>
      <c r="AA70" s="40">
        <f>VLOOKUP(D70,宠物成长生成表!$B$5:$J$103,4,0)</f>
        <v>492</v>
      </c>
      <c r="AB70" s="40">
        <f>VLOOKUP(D70,宠物成长生成表!$B$5:$J$103,4,0)</f>
        <v>492</v>
      </c>
      <c r="AC70" s="40">
        <f>VLOOKUP(D70,宠物成长生成表!$B$5:$J$103,7,0)</f>
        <v>470</v>
      </c>
      <c r="AD70" s="40">
        <f>VLOOKUP(D70,宠物成长生成表!$B$5:$J$103,6,0)</f>
        <v>63</v>
      </c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68">
        <f t="shared" si="8"/>
        <v>1443</v>
      </c>
      <c r="AP70" s="68">
        <f t="shared" si="9"/>
        <v>492</v>
      </c>
      <c r="AQ70" s="68">
        <f t="shared" si="10"/>
        <v>492</v>
      </c>
      <c r="AR70" s="70">
        <f t="shared" si="11"/>
        <v>470</v>
      </c>
    </row>
    <row r="71" spans="2:44">
      <c r="B71" s="74" t="s">
        <v>386</v>
      </c>
      <c r="C71" s="27" t="s">
        <v>429</v>
      </c>
      <c r="D71" s="27">
        <v>8</v>
      </c>
      <c r="E71" s="27"/>
      <c r="F71" s="27"/>
      <c r="G71" s="27"/>
      <c r="H71" s="27">
        <v>1</v>
      </c>
      <c r="I71" s="63">
        <v>7</v>
      </c>
      <c r="J71" s="27">
        <v>1</v>
      </c>
      <c r="K71" s="63">
        <v>3</v>
      </c>
      <c r="L71" s="27">
        <v>1</v>
      </c>
      <c r="M71" s="63">
        <v>3</v>
      </c>
      <c r="N71" s="27"/>
      <c r="O71" s="27"/>
      <c r="P71" s="27"/>
      <c r="Q71" s="27"/>
      <c r="R71" s="65">
        <f>IF(J71=1,装备拆分数值生成!$R$43,0)+K71*装备拆分数值生成!$R$4</f>
        <v>343.41666666666669</v>
      </c>
      <c r="S71" s="62">
        <f>IF(H71=1,装备拆分数值生成!$S$42,0)+I71*装备拆分数值生成!$S$3</f>
        <v>119.51111111111112</v>
      </c>
      <c r="T71" s="62">
        <f>IF(H71=1,装备拆分数值生成!$T$42,0)+I71*装备拆分数值生成!$T$3</f>
        <v>239.02222222222224</v>
      </c>
      <c r="U71" s="62">
        <f>IF(J71=1,装备拆分数值生成!$R$43,0)+K71*装备拆分数值生成!$R$4</f>
        <v>343.41666666666669</v>
      </c>
      <c r="W71" s="62"/>
      <c r="X71" s="27"/>
      <c r="Y71" s="27"/>
      <c r="Z71" s="27">
        <f>VLOOKUP(D71,宠物成长生成表!$B$5:$J$103,3,0)*$AH$2</f>
        <v>1357.03</v>
      </c>
      <c r="AA71" s="27">
        <f>VLOOKUP(D71,宠物成长生成表!$B$5:$J$103,4,0)*$AH$3</f>
        <v>424.53000000000003</v>
      </c>
      <c r="AB71" s="27">
        <f>VLOOKUP(D71,宠物成长生成表!$B$5:$J$103,4,0)*$AH$4</f>
        <v>548.54999999999995</v>
      </c>
      <c r="AC71" s="27">
        <f>VLOOKUP(D71,宠物成长生成表!$B$5:$J$103,7,0)*$AH$5</f>
        <v>345.8</v>
      </c>
      <c r="AD71" s="27">
        <f>VLOOKUP(D71,宠物成长生成表!$B$5:$J$103,6,0)</f>
        <v>62</v>
      </c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62">
        <f t="shared" si="8"/>
        <v>1700.4466666666667</v>
      </c>
      <c r="AP71" s="62">
        <f t="shared" si="9"/>
        <v>544.04111111111115</v>
      </c>
      <c r="AQ71" s="62">
        <f t="shared" si="10"/>
        <v>787.57222222222219</v>
      </c>
      <c r="AR71" s="64">
        <f t="shared" si="11"/>
        <v>689.2166666666667</v>
      </c>
    </row>
    <row r="72" spans="2:44">
      <c r="B72" s="75"/>
      <c r="C72" s="30" t="s">
        <v>427</v>
      </c>
      <c r="D72" s="30">
        <v>10</v>
      </c>
      <c r="E72" s="30"/>
      <c r="F72" s="30"/>
      <c r="G72" s="30"/>
      <c r="H72" s="30">
        <v>1</v>
      </c>
      <c r="I72" s="66">
        <v>3</v>
      </c>
      <c r="J72" s="30">
        <v>1</v>
      </c>
      <c r="K72" s="66">
        <v>6</v>
      </c>
      <c r="L72" s="30">
        <v>1</v>
      </c>
      <c r="M72" s="66">
        <v>4</v>
      </c>
      <c r="N72" s="30"/>
      <c r="O72" s="30"/>
      <c r="P72" s="30"/>
      <c r="Q72" s="30"/>
      <c r="R72" s="65">
        <f>IF(J72=1,装备拆分数值生成!$AF$43,0)+K72*装备拆分数值生成!$N$5</f>
        <v>309.55</v>
      </c>
      <c r="S72" s="65">
        <f>IF(H72=1,装备拆分数值生成!$L$42,0)+能力数值!I72*装备拆分数值生成!$L$3</f>
        <v>187.4666666666667</v>
      </c>
      <c r="T72" s="65">
        <f>IF(H72=1,装备拆分数值生成!$M$42,0)+能力数值!I72*装备拆分数值生成!$M$3</f>
        <v>93.733333333333348</v>
      </c>
      <c r="U72" s="65">
        <f>IF(L72=1,装备拆分数值生成!$N$44,0)+装备拆分数值生成!$N$5*能力数值!M72</f>
        <v>95.533333333333331</v>
      </c>
      <c r="W72" s="65"/>
      <c r="X72" s="30"/>
      <c r="Y72" s="30"/>
      <c r="Z72" s="30">
        <f>VLOOKUP(D72,宠物成长生成表!$B$5:$J$103,3,0)*$AJ$2</f>
        <v>1785.6</v>
      </c>
      <c r="AA72" s="30">
        <f>VLOOKUP(D72,宠物成长生成表!$B$5:$J$103,4,0)*$AJ$3</f>
        <v>456.3</v>
      </c>
      <c r="AB72" s="30">
        <f>VLOOKUP(D72,宠物成长生成表!$B$5:$J$103,4,0)*$AJ$4</f>
        <v>456.3</v>
      </c>
      <c r="AC72" s="30">
        <f>VLOOKUP(D72,宠物成长生成表!$B$5:$J$103,7,0)*$AJ$5</f>
        <v>425.92</v>
      </c>
      <c r="AD72" s="30">
        <f>VLOOKUP(D72,宠物成长生成表!$B$5:$J$103,6,0)</f>
        <v>64</v>
      </c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65">
        <f t="shared" si="8"/>
        <v>2095.15</v>
      </c>
      <c r="AP72" s="65">
        <f t="shared" si="9"/>
        <v>643.76666666666665</v>
      </c>
      <c r="AQ72" s="65">
        <f t="shared" si="10"/>
        <v>550.0333333333333</v>
      </c>
      <c r="AR72" s="67">
        <f t="shared" si="11"/>
        <v>521.45333333333338</v>
      </c>
    </row>
    <row r="73" spans="2:44">
      <c r="B73" s="75"/>
      <c r="C73" s="30" t="s">
        <v>394</v>
      </c>
      <c r="D73" s="30">
        <v>6</v>
      </c>
      <c r="E73" s="30"/>
      <c r="F73" s="30"/>
      <c r="G73" s="30"/>
      <c r="H73" s="30">
        <v>1</v>
      </c>
      <c r="I73" s="66">
        <v>5</v>
      </c>
      <c r="J73" s="30">
        <v>1</v>
      </c>
      <c r="K73" s="66">
        <v>7</v>
      </c>
      <c r="L73" s="30">
        <v>1</v>
      </c>
      <c r="M73" s="66">
        <v>3</v>
      </c>
      <c r="N73" s="30"/>
      <c r="O73" s="30"/>
      <c r="P73" s="30"/>
      <c r="Q73" s="30"/>
      <c r="R73" s="65">
        <f>IF(J73=1,装备拆分数值生成!$AF$43,0)+装备拆分数值生成!$AF$4*能力数值!K73</f>
        <v>437.63888888888891</v>
      </c>
      <c r="S73" s="65">
        <f>IF(H73=1,装备拆分数值生成!$AG$42,0)+能力数值!I73*装备拆分数值生成!$AG$3</f>
        <v>159.93333333333334</v>
      </c>
      <c r="T73" s="65">
        <f>IF(H73=1,装备拆分数值生成!$AH$42,0)+能力数值!I73*装备拆分数值生成!$AH$3</f>
        <v>159.93333333333334</v>
      </c>
      <c r="U73" s="65">
        <f>IF(L73=1,装备拆分数值生成!$AI$44,0)+装备拆分数值生成!$AI$5*能力数值!M73</f>
        <v>111.75</v>
      </c>
      <c r="W73" s="65"/>
      <c r="X73" s="30"/>
      <c r="Y73" s="30"/>
      <c r="Z73" s="30">
        <f>VLOOKUP(D73,宠物成长生成表!$B$5:$J$103,3,0)*$AI$2</f>
        <v>1704.3</v>
      </c>
      <c r="AA73" s="30">
        <f>VLOOKUP(D73,宠物成长生成表!$B$5:$J$103,4,0)*$AI$3</f>
        <v>357.6</v>
      </c>
      <c r="AB73" s="30">
        <f>VLOOKUP(D73,宠物成长生成表!$B$5:$J$103,4,0)*$AI$4</f>
        <v>357.6</v>
      </c>
      <c r="AC73" s="30">
        <f>VLOOKUP(D73,宠物成长生成表!$B$5:$J$103,7,0)*$AI$5</f>
        <v>563.64</v>
      </c>
      <c r="AD73" s="30">
        <f>VLOOKUP(D73,宠物成长生成表!$B$5:$J$103,6,0)</f>
        <v>60</v>
      </c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65">
        <f t="shared" si="8"/>
        <v>2141.9388888888889</v>
      </c>
      <c r="AP73" s="65">
        <f t="shared" si="9"/>
        <v>517.5333333333333</v>
      </c>
      <c r="AQ73" s="65">
        <f t="shared" si="10"/>
        <v>517.5333333333333</v>
      </c>
      <c r="AR73" s="67">
        <f t="shared" si="11"/>
        <v>675.39</v>
      </c>
    </row>
    <row r="74" spans="2:44">
      <c r="B74" s="75"/>
      <c r="C74" s="30" t="s">
        <v>428</v>
      </c>
      <c r="D74" s="30">
        <v>5</v>
      </c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65">
        <f>IF(能力数值!J74=1,装备拆分数值生成!$Y$4,0)+能力数值!K74*装备拆分数值生成!$Y$4</f>
        <v>0</v>
      </c>
      <c r="S74" s="65">
        <f>IF(H74=0,0,装备拆分数值生成!$Z$42)+装备拆分数值生成!$Z$3*能力数值!I74</f>
        <v>0</v>
      </c>
      <c r="T74" s="65">
        <f>IF(H74=0,0,装备拆分数值生成!$AA$42)+装备拆分数值生成!$AA$3*能力数值!I74</f>
        <v>0</v>
      </c>
      <c r="U74" s="65">
        <f>IF(L74=0,0,装备拆分数值生成!$AB$44)+装备拆分数值生成!$AB$5*能力数值!M74</f>
        <v>0</v>
      </c>
      <c r="W74" s="65"/>
      <c r="X74" s="30"/>
      <c r="Y74" s="30"/>
      <c r="Z74" s="30">
        <f>VLOOKUP(D74,宠物成长生成表!$B$5:$J$103,3,0)</f>
        <v>1267</v>
      </c>
      <c r="AA74" s="30">
        <f>VLOOKUP(D74,宠物成长生成表!$B$5:$J$103,4,0)</f>
        <v>432</v>
      </c>
      <c r="AB74" s="30">
        <f>VLOOKUP(D74,宠物成长生成表!$B$5:$J$103,4,0)</f>
        <v>432</v>
      </c>
      <c r="AC74" s="30">
        <f>VLOOKUP(D74,宠物成长生成表!$B$5:$J$103,7,0)</f>
        <v>412</v>
      </c>
      <c r="AD74" s="30">
        <f>VLOOKUP(D74,宠物成长生成表!$B$5:$J$103,6,0)</f>
        <v>59</v>
      </c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65">
        <f t="shared" si="8"/>
        <v>1267</v>
      </c>
      <c r="AP74" s="65">
        <f t="shared" si="9"/>
        <v>432</v>
      </c>
      <c r="AQ74" s="65">
        <f t="shared" si="10"/>
        <v>432</v>
      </c>
      <c r="AR74" s="67">
        <f t="shared" si="11"/>
        <v>412</v>
      </c>
    </row>
    <row r="75" spans="2:44" ht="14.25" thickBot="1">
      <c r="B75" s="76"/>
      <c r="C75" s="40" t="s">
        <v>431</v>
      </c>
      <c r="D75" s="40">
        <v>10</v>
      </c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68"/>
      <c r="S75" s="68"/>
      <c r="T75" s="68"/>
      <c r="U75" s="68"/>
      <c r="V75" s="40"/>
      <c r="W75" s="68"/>
      <c r="X75" s="40"/>
      <c r="Y75" s="40"/>
      <c r="Z75" s="40">
        <f>VLOOKUP(D75,宠物成长生成表!$B$5:$J$103,3,0)</f>
        <v>1488</v>
      </c>
      <c r="AA75" s="40">
        <f>VLOOKUP(D75,宠物成长生成表!$B$5:$J$103,4,0)</f>
        <v>507</v>
      </c>
      <c r="AB75" s="40">
        <f>VLOOKUP(D75,宠物成长生成表!$B$5:$J$103,4,0)</f>
        <v>507</v>
      </c>
      <c r="AC75" s="40">
        <f>VLOOKUP(D75,宠物成长生成表!$B$5:$J$103,7,0)</f>
        <v>484</v>
      </c>
      <c r="AD75" s="40">
        <f>VLOOKUP(D75,宠物成长生成表!$B$5:$J$103,6,0)</f>
        <v>64</v>
      </c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68">
        <f t="shared" si="8"/>
        <v>1488</v>
      </c>
      <c r="AP75" s="68">
        <f t="shared" si="9"/>
        <v>507</v>
      </c>
      <c r="AQ75" s="68">
        <f t="shared" si="10"/>
        <v>507</v>
      </c>
      <c r="AR75" s="70">
        <f t="shared" si="11"/>
        <v>484</v>
      </c>
    </row>
    <row r="76" spans="2:44">
      <c r="B76" s="74" t="s">
        <v>387</v>
      </c>
      <c r="C76" s="27" t="s">
        <v>429</v>
      </c>
      <c r="D76" s="27">
        <v>9</v>
      </c>
      <c r="E76" s="27"/>
      <c r="F76" s="27"/>
      <c r="G76" s="27"/>
      <c r="H76" s="27">
        <v>1</v>
      </c>
      <c r="I76" s="63">
        <v>7</v>
      </c>
      <c r="J76" s="27">
        <v>1</v>
      </c>
      <c r="K76" s="63">
        <v>3</v>
      </c>
      <c r="L76" s="27">
        <v>1</v>
      </c>
      <c r="M76" s="63">
        <v>3</v>
      </c>
      <c r="N76" s="27"/>
      <c r="O76" s="27"/>
      <c r="P76" s="27"/>
      <c r="Q76" s="27"/>
      <c r="R76" s="65">
        <f>IF(J76=1,装备拆分数值生成!$R$43,0)+K76*装备拆分数值生成!$R$4</f>
        <v>343.41666666666669</v>
      </c>
      <c r="S76" s="62">
        <f>IF(H76=1,装备拆分数值生成!$S$42,0)+I76*装备拆分数值生成!$S$3</f>
        <v>119.51111111111112</v>
      </c>
      <c r="T76" s="62">
        <f>IF(H76=1,装备拆分数值生成!$T$42,0)+I76*装备拆分数值生成!$T$3</f>
        <v>239.02222222222224</v>
      </c>
      <c r="U76" s="62">
        <f>IF(J76=1,装备拆分数值生成!$R$43,0)+K76*装备拆分数值生成!$R$4</f>
        <v>343.41666666666669</v>
      </c>
      <c r="W76" s="62"/>
      <c r="X76" s="27"/>
      <c r="Y76" s="27"/>
      <c r="Z76" s="27">
        <f>VLOOKUP(D76,宠物成长生成表!$B$5:$J$103,3,0)*$AH$2</f>
        <v>1399.71</v>
      </c>
      <c r="AA76" s="27">
        <f>VLOOKUP(D76,宠物成长生成表!$B$5:$J$103,4,0)*$AH$3</f>
        <v>437.88</v>
      </c>
      <c r="AB76" s="27">
        <f>VLOOKUP(D76,宠物成长生成表!$B$5:$J$103,4,0)*$AH$4</f>
        <v>565.79999999999995</v>
      </c>
      <c r="AC76" s="27">
        <f>VLOOKUP(D76,宠物成长生成表!$B$5:$J$103,7,0)*$AH$5</f>
        <v>357.2</v>
      </c>
      <c r="AD76" s="27">
        <f>VLOOKUP(D76,宠物成长生成表!$B$5:$J$103,6,0)</f>
        <v>63</v>
      </c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62">
        <f t="shared" si="8"/>
        <v>1743.1266666666668</v>
      </c>
      <c r="AP76" s="62">
        <f t="shared" si="9"/>
        <v>557.39111111111106</v>
      </c>
      <c r="AQ76" s="62">
        <f t="shared" si="10"/>
        <v>804.82222222222219</v>
      </c>
      <c r="AR76" s="64">
        <f t="shared" si="11"/>
        <v>700.61666666666667</v>
      </c>
    </row>
    <row r="77" spans="2:44">
      <c r="B77" s="75"/>
      <c r="C77" s="30" t="s">
        <v>427</v>
      </c>
      <c r="D77" s="30">
        <v>12</v>
      </c>
      <c r="E77" s="30"/>
      <c r="F77" s="30"/>
      <c r="G77" s="30"/>
      <c r="H77" s="30">
        <v>1</v>
      </c>
      <c r="I77" s="66">
        <v>7</v>
      </c>
      <c r="J77" s="30">
        <v>1</v>
      </c>
      <c r="K77" s="66">
        <v>6</v>
      </c>
      <c r="L77" s="30">
        <v>1</v>
      </c>
      <c r="M77" s="66">
        <v>3</v>
      </c>
      <c r="N77" s="30"/>
      <c r="O77" s="30"/>
      <c r="P77" s="30"/>
      <c r="Q77" s="30"/>
      <c r="R77" s="65">
        <f>IF(J77=1,装备拆分数值生成!$AF$43,0)+K77*装备拆分数值生成!$N$5</f>
        <v>309.55</v>
      </c>
      <c r="S77" s="65">
        <f>IF(H77=1,装备拆分数值生成!$L$42,0)+能力数值!I77*装备拆分数值生成!$L$3</f>
        <v>239.02222222222224</v>
      </c>
      <c r="T77" s="65">
        <f>IF(H77=1,装备拆分数值生成!$M$42,0)+能力数值!I77*装备拆分数值生成!$M$3</f>
        <v>119.51111111111112</v>
      </c>
      <c r="U77" s="65">
        <f>IF(L77=1,装备拆分数值生成!$N$44,0)+装备拆分数值生成!$N$5*能力数值!M77</f>
        <v>89.4</v>
      </c>
      <c r="W77" s="65"/>
      <c r="X77" s="30"/>
      <c r="Y77" s="30"/>
      <c r="Z77" s="30">
        <f>VLOOKUP(D77,宠物成长生成表!$B$5:$J$103,3,0)*$AJ$2</f>
        <v>1891.1999999999998</v>
      </c>
      <c r="AA77" s="30">
        <f>VLOOKUP(D77,宠物成长生成表!$B$5:$J$103,4,0)*$AJ$3</f>
        <v>484.2</v>
      </c>
      <c r="AB77" s="30">
        <f>VLOOKUP(D77,宠物成长生成表!$B$5:$J$103,4,0)*$AJ$4</f>
        <v>484.2</v>
      </c>
      <c r="AC77" s="30">
        <f>VLOOKUP(D77,宠物成长生成表!$B$5:$J$103,7,0)*$AJ$5</f>
        <v>451.44</v>
      </c>
      <c r="AD77" s="30">
        <f>VLOOKUP(D77,宠物成长生成表!$B$5:$J$103,6,0)</f>
        <v>67</v>
      </c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65">
        <f t="shared" si="8"/>
        <v>2200.75</v>
      </c>
      <c r="AP77" s="65">
        <f t="shared" si="9"/>
        <v>723.22222222222217</v>
      </c>
      <c r="AQ77" s="65">
        <f t="shared" si="10"/>
        <v>603.71111111111111</v>
      </c>
      <c r="AR77" s="67">
        <f t="shared" si="11"/>
        <v>540.84</v>
      </c>
    </row>
    <row r="78" spans="2:44">
      <c r="B78" s="75"/>
      <c r="C78" s="30" t="s">
        <v>394</v>
      </c>
      <c r="D78" s="30">
        <v>11</v>
      </c>
      <c r="E78" s="30"/>
      <c r="F78" s="30"/>
      <c r="G78" s="30"/>
      <c r="H78" s="30">
        <v>1</v>
      </c>
      <c r="I78" s="66">
        <v>2</v>
      </c>
      <c r="J78" s="30">
        <v>1</v>
      </c>
      <c r="K78" s="66">
        <v>2</v>
      </c>
      <c r="L78" s="30">
        <v>1</v>
      </c>
      <c r="M78" s="66">
        <v>3</v>
      </c>
      <c r="N78" s="30"/>
      <c r="O78" s="30"/>
      <c r="P78" s="30"/>
      <c r="Q78" s="30"/>
      <c r="R78" s="65">
        <f>IF(J78=1,装备拆分数值生成!$AF$43,0)+装备拆分数值生成!$AF$4*能力数值!K78</f>
        <v>319.86111111111109</v>
      </c>
      <c r="S78" s="65">
        <f>IF(H78=1,装备拆分数值生成!$AG$42,0)+能力数值!I78*装备拆分数值生成!$AG$3</f>
        <v>130.93333333333334</v>
      </c>
      <c r="T78" s="65">
        <f>IF(H78=1,装备拆分数值生成!$AH$42,0)+能力数值!I78*装备拆分数值生成!$AH$3</f>
        <v>130.93333333333334</v>
      </c>
      <c r="U78" s="65">
        <f>IF(L78=1,装备拆分数值生成!$AI$44,0)+装备拆分数值生成!$AI$5*能力数值!M78</f>
        <v>111.75</v>
      </c>
      <c r="W78" s="65"/>
      <c r="X78" s="30"/>
      <c r="Y78" s="30"/>
      <c r="Z78" s="30">
        <f>VLOOKUP(D78,宠物成长生成表!$B$5:$J$103,3,0)*$AI$2</f>
        <v>1991.6000000000001</v>
      </c>
      <c r="AA78" s="30">
        <f>VLOOKUP(D78,宠物成长生成表!$B$5:$J$103,4,0)*$AI$3</f>
        <v>418.40000000000003</v>
      </c>
      <c r="AB78" s="30">
        <f>VLOOKUP(D78,宠物成长生成表!$B$5:$J$103,4,0)*$AI$4</f>
        <v>418.40000000000003</v>
      </c>
      <c r="AC78" s="30">
        <f>VLOOKUP(D78,宠物成长生成表!$B$5:$J$103,7,0)*$AI$5</f>
        <v>657.36</v>
      </c>
      <c r="AD78" s="30">
        <f>VLOOKUP(D78,宠物成长生成表!$B$5:$J$103,6,0)</f>
        <v>66</v>
      </c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65">
        <f t="shared" si="8"/>
        <v>2311.4611111111112</v>
      </c>
      <c r="AP78" s="65">
        <f t="shared" si="9"/>
        <v>549.33333333333337</v>
      </c>
      <c r="AQ78" s="65">
        <f t="shared" si="10"/>
        <v>549.33333333333337</v>
      </c>
      <c r="AR78" s="67">
        <f t="shared" si="11"/>
        <v>769.11</v>
      </c>
    </row>
    <row r="79" spans="2:44">
      <c r="B79" s="75"/>
      <c r="C79" s="30" t="s">
        <v>428</v>
      </c>
      <c r="D79" s="30">
        <v>8</v>
      </c>
      <c r="E79" s="30"/>
      <c r="F79" s="30"/>
      <c r="G79" s="30"/>
      <c r="H79" s="35">
        <v>1</v>
      </c>
      <c r="I79" s="38">
        <v>5</v>
      </c>
      <c r="J79" s="35">
        <v>1</v>
      </c>
      <c r="K79" s="38">
        <v>6</v>
      </c>
      <c r="L79" s="35">
        <v>1</v>
      </c>
      <c r="M79" s="38">
        <v>8</v>
      </c>
      <c r="N79" s="30"/>
      <c r="O79" s="30"/>
      <c r="P79" s="30"/>
      <c r="Q79" s="30"/>
      <c r="R79" s="65">
        <f>IF(能力数值!J79=1,装备拆分数值生成!$Y$4,0)+能力数值!K79*装备拆分数值生成!$Y$4</f>
        <v>263.82222222222219</v>
      </c>
      <c r="S79" s="65">
        <f>IF(H79=0,0,装备拆分数值生成!$Z$42)+装备拆分数值生成!$Z$3*能力数值!I79</f>
        <v>146.60555555555558</v>
      </c>
      <c r="T79" s="65">
        <f>IF(H79=0,0,装备拆分数值生成!$AA$42)+装备拆分数值生成!$AA$3*能力数值!I79</f>
        <v>146.60555555555558</v>
      </c>
      <c r="U79" s="65">
        <f>IF(L79=0,0,装备拆分数值生成!$AB$44)+装备拆分数值生成!$AB$5*能力数值!M79</f>
        <v>180.1</v>
      </c>
      <c r="W79" s="65"/>
      <c r="X79" s="30"/>
      <c r="Y79" s="30"/>
      <c r="Z79" s="30">
        <f>VLOOKUP(D79,宠物成长生成表!$B$5:$J$103,3,0)</f>
        <v>1399</v>
      </c>
      <c r="AA79" s="30">
        <f>VLOOKUP(D79,宠物成长生成表!$B$5:$J$103,4,0)</f>
        <v>477</v>
      </c>
      <c r="AB79" s="30">
        <f>VLOOKUP(D79,宠物成长生成表!$B$5:$J$103,4,0)</f>
        <v>477</v>
      </c>
      <c r="AC79" s="30">
        <f>VLOOKUP(D79,宠物成长生成表!$B$5:$J$103,7,0)</f>
        <v>455</v>
      </c>
      <c r="AD79" s="30">
        <f>VLOOKUP(D79,宠物成长生成表!$B$5:$J$103,6,0)</f>
        <v>62</v>
      </c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65">
        <f t="shared" si="8"/>
        <v>1662.8222222222221</v>
      </c>
      <c r="AP79" s="65">
        <f t="shared" si="9"/>
        <v>623.60555555555561</v>
      </c>
      <c r="AQ79" s="65">
        <f t="shared" si="10"/>
        <v>623.60555555555561</v>
      </c>
      <c r="AR79" s="67">
        <f t="shared" si="11"/>
        <v>635.1</v>
      </c>
    </row>
    <row r="80" spans="2:44" ht="14.25" thickBot="1">
      <c r="B80" s="76"/>
      <c r="C80" s="40" t="s">
        <v>431</v>
      </c>
      <c r="D80" s="40">
        <v>12</v>
      </c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68"/>
      <c r="T80" s="68"/>
      <c r="U80" s="68"/>
      <c r="V80" s="68"/>
      <c r="W80" s="68"/>
      <c r="X80" s="40"/>
      <c r="Y80" s="40"/>
      <c r="Z80" s="40">
        <f>VLOOKUP(D80,宠物成长生成表!$B$5:$J$103,3,0)</f>
        <v>1576</v>
      </c>
      <c r="AA80" s="40">
        <f>VLOOKUP(D80,宠物成长生成表!$B$5:$J$103,4,0)</f>
        <v>538</v>
      </c>
      <c r="AB80" s="40">
        <f>VLOOKUP(D80,宠物成长生成表!$B$5:$J$103,4,0)</f>
        <v>538</v>
      </c>
      <c r="AC80" s="40">
        <f>VLOOKUP(D80,宠物成长生成表!$B$5:$J$103,7,0)</f>
        <v>513</v>
      </c>
      <c r="AD80" s="40">
        <f>VLOOKUP(D80,宠物成长生成表!$B$5:$J$103,6,0)</f>
        <v>67</v>
      </c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1"/>
    </row>
    <row r="81" spans="18:23">
      <c r="R81"/>
      <c r="V81" s="60"/>
      <c r="W81" s="60"/>
    </row>
    <row r="82" spans="18:23">
      <c r="R82"/>
      <c r="V82" s="60"/>
      <c r="W82" s="60"/>
    </row>
    <row r="83" spans="18:23">
      <c r="R83"/>
      <c r="V83" s="60"/>
      <c r="W83" s="60"/>
    </row>
    <row r="84" spans="18:23">
      <c r="R84"/>
      <c r="V84" s="60"/>
      <c r="W84" s="60"/>
    </row>
  </sheetData>
  <mergeCells count="19">
    <mergeCell ref="B42:B45"/>
    <mergeCell ref="B3:B5"/>
    <mergeCell ref="B6:B8"/>
    <mergeCell ref="B9:B11"/>
    <mergeCell ref="B12:B14"/>
    <mergeCell ref="B15:B17"/>
    <mergeCell ref="B30:B33"/>
    <mergeCell ref="B34:B37"/>
    <mergeCell ref="B38:B41"/>
    <mergeCell ref="B18:B21"/>
    <mergeCell ref="B22:B25"/>
    <mergeCell ref="B26:B29"/>
    <mergeCell ref="B76:B80"/>
    <mergeCell ref="B46:B50"/>
    <mergeCell ref="B51:B55"/>
    <mergeCell ref="B56:B60"/>
    <mergeCell ref="B61:B65"/>
    <mergeCell ref="B66:B70"/>
    <mergeCell ref="B71:B7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能力数值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2016-01-28T11:09:49Z</dcterms:modified>
</cp:coreProperties>
</file>