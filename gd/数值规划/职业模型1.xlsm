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35" yWindow="45" windowWidth="28350" windowHeight="12150" activeTab="8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自用草稿" sheetId="13" r:id="rId11"/>
  </sheets>
  <externalReferences>
    <externalReference r:id="rId12"/>
    <externalReference r:id="rId13"/>
    <externalReference r:id="rId14"/>
  </externalReferences>
  <calcPr calcId="145621"/>
</workbook>
</file>

<file path=xl/calcChain.xml><?xml version="1.0" encoding="utf-8"?>
<calcChain xmlns="http://schemas.openxmlformats.org/spreadsheetml/2006/main"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D23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/>
  <c r="O24" i="6"/>
  <c r="N23" i="6"/>
  <c r="N24" i="6"/>
  <c r="M23" i="6"/>
  <c r="M24" i="6"/>
  <c r="L23" i="6"/>
  <c r="L24" i="6"/>
  <c r="I11" i="12"/>
  <c r="I9" i="8"/>
  <c r="D10" i="12"/>
  <c r="I8" i="12"/>
  <c r="K6" i="12"/>
  <c r="D17" i="12"/>
  <c r="D15" i="12"/>
  <c r="I12" i="12"/>
  <c r="D16" i="12"/>
  <c r="D5" i="12"/>
  <c r="D6" i="12"/>
  <c r="D7" i="12"/>
  <c r="D9" i="12"/>
  <c r="D8" i="12"/>
  <c r="D11" i="12"/>
  <c r="I9" i="12"/>
  <c r="D12" i="12"/>
  <c r="I10" i="12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/>
  <c r="F5" i="3"/>
  <c r="F6" i="3" s="1"/>
  <c r="F7" i="3" s="1"/>
  <c r="F8" i="3"/>
  <c r="F9" i="3" s="1"/>
  <c r="P3" i="3"/>
  <c r="E5" i="3" s="1"/>
  <c r="P4" i="3"/>
  <c r="E6" i="3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P5" i="3"/>
  <c r="F10" i="3"/>
  <c r="F12" i="3" s="1"/>
  <c r="M2" i="3"/>
  <c r="E11" i="3"/>
  <c r="H11" i="3" s="1"/>
  <c r="E10" i="3"/>
  <c r="K13" i="1"/>
  <c r="C14" i="1"/>
  <c r="D14" i="1" s="1"/>
  <c r="S12" i="1"/>
  <c r="T12" i="1" s="1"/>
  <c r="C12" i="1"/>
  <c r="D12" i="1"/>
  <c r="C13" i="1"/>
  <c r="D13" i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/>
  <c r="C6" i="8"/>
  <c r="H6" i="8"/>
  <c r="C7" i="12"/>
  <c r="C5" i="8"/>
  <c r="H5" i="8"/>
  <c r="C6" i="12"/>
  <c r="C4" i="8"/>
  <c r="H4" i="8"/>
  <c r="C5" i="12" s="1"/>
  <c r="C8" i="8"/>
  <c r="C9" i="8"/>
  <c r="C10" i="8"/>
  <c r="H13" i="8"/>
  <c r="C14" i="12" s="1"/>
  <c r="H16" i="8"/>
  <c r="C3" i="8"/>
  <c r="H3" i="8"/>
  <c r="H14" i="9"/>
  <c r="H5" i="9"/>
  <c r="H23" i="9"/>
  <c r="H32" i="9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F14" i="3"/>
  <c r="F15" i="3" s="1"/>
  <c r="H3" i="3"/>
  <c r="D3" i="8"/>
  <c r="S14" i="1"/>
  <c r="T14" i="1"/>
  <c r="O14" i="1"/>
  <c r="P14" i="1" s="1"/>
  <c r="K14" i="1"/>
  <c r="L14" i="1"/>
  <c r="G14" i="1"/>
  <c r="H14" i="1" s="1"/>
  <c r="H39" i="1" s="1"/>
  <c r="H40" i="1" s="1"/>
  <c r="O13" i="1"/>
  <c r="P13" i="1" s="1"/>
  <c r="O12" i="1"/>
  <c r="P12" i="1"/>
  <c r="L13" i="1"/>
  <c r="K12" i="1"/>
  <c r="L12" i="1" s="1"/>
  <c r="C60" i="1" s="1"/>
  <c r="G13" i="1"/>
  <c r="H13" i="1" s="1"/>
  <c r="H43" i="1" s="1"/>
  <c r="G12" i="1"/>
  <c r="H12" i="1" s="1"/>
  <c r="S13" i="1"/>
  <c r="T13" i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R58" i="1" s="1"/>
  <c r="Q57" i="1"/>
  <c r="Q58" i="1" s="1"/>
  <c r="N57" i="1"/>
  <c r="N58" i="1" s="1"/>
  <c r="M57" i="1"/>
  <c r="M58" i="1" s="1"/>
  <c r="E51" i="1"/>
  <c r="I57" i="1"/>
  <c r="I58" i="1" s="1"/>
  <c r="H57" i="1"/>
  <c r="H58" i="1" s="1"/>
  <c r="D57" i="1"/>
  <c r="D58" i="1" s="1"/>
  <c r="C57" i="1"/>
  <c r="C58" i="1" s="1"/>
  <c r="C26" i="1"/>
  <c r="C34" i="1"/>
  <c r="I34" i="1"/>
  <c r="H34" i="1"/>
  <c r="D76" i="1"/>
  <c r="E3" i="8"/>
  <c r="C4" i="12"/>
  <c r="H9" i="8"/>
  <c r="C10" i="12"/>
  <c r="Q12" i="8"/>
  <c r="H8" i="8"/>
  <c r="C9" i="12" s="1"/>
  <c r="Q11" i="8"/>
  <c r="H11" i="8"/>
  <c r="C12" i="12"/>
  <c r="Q14" i="8"/>
  <c r="H10" i="8"/>
  <c r="Q13" i="8"/>
  <c r="H12" i="8"/>
  <c r="C13" i="12"/>
  <c r="Q15" i="8"/>
  <c r="I60" i="1"/>
  <c r="D60" i="1"/>
  <c r="H60" i="1"/>
  <c r="Q60" i="1"/>
  <c r="Q65" i="1" s="1"/>
  <c r="M60" i="1"/>
  <c r="N60" i="1"/>
  <c r="R60" i="1"/>
  <c r="H15" i="8"/>
  <c r="H14" i="8"/>
  <c r="G19" i="1"/>
  <c r="G5" i="8"/>
  <c r="G6" i="8" s="1"/>
  <c r="C39" i="1"/>
  <c r="C40" i="1" s="1"/>
  <c r="C65" i="1"/>
  <c r="K18" i="1"/>
  <c r="C67" i="1"/>
  <c r="D34" i="1"/>
  <c r="C81" i="1"/>
  <c r="C82" i="1" s="1"/>
  <c r="J20" i="3" s="1"/>
  <c r="F4" i="8"/>
  <c r="O18" i="1"/>
  <c r="H5" i="3"/>
  <c r="F16" i="3"/>
  <c r="C61" i="1"/>
  <c r="D61" i="1"/>
  <c r="C66" i="1"/>
  <c r="Q61" i="1"/>
  <c r="M66" i="1"/>
  <c r="N61" i="1"/>
  <c r="F17" i="3"/>
  <c r="F18" i="3" s="1"/>
  <c r="M4" i="3"/>
  <c r="M5" i="3"/>
  <c r="H6" i="3"/>
  <c r="D7" i="8" s="1"/>
  <c r="D6" i="8"/>
  <c r="M6" i="3"/>
  <c r="M7" i="3"/>
  <c r="M8" i="3"/>
  <c r="H10" i="3"/>
  <c r="D9" i="8" s="1"/>
  <c r="M9" i="3"/>
  <c r="M10" i="3"/>
  <c r="M11" i="3"/>
  <c r="E13" i="3"/>
  <c r="H13" i="3"/>
  <c r="M12" i="3"/>
  <c r="E14" i="3" s="1"/>
  <c r="H14" i="3"/>
  <c r="M13" i="3"/>
  <c r="E15" i="3" s="1"/>
  <c r="H15" i="3" s="1"/>
  <c r="D13" i="8"/>
  <c r="M14" i="3"/>
  <c r="E16" i="3"/>
  <c r="H16" i="3" s="1"/>
  <c r="D14" i="8" s="1"/>
  <c r="M15" i="3"/>
  <c r="E17" i="3" s="1"/>
  <c r="M16" i="3"/>
  <c r="E18" i="3"/>
  <c r="I16" i="8"/>
  <c r="C15" i="12" l="1"/>
  <c r="M65" i="1"/>
  <c r="M61" i="1"/>
  <c r="O61" i="1" s="1"/>
  <c r="H66" i="1"/>
  <c r="I61" i="1"/>
  <c r="H36" i="1"/>
  <c r="G18" i="1"/>
  <c r="I36" i="1"/>
  <c r="H63" i="1"/>
  <c r="H64" i="1" s="1"/>
  <c r="C63" i="1"/>
  <c r="C64" i="1" s="1"/>
  <c r="C18" i="1"/>
  <c r="C36" i="1"/>
  <c r="D36" i="1"/>
  <c r="R61" i="1"/>
  <c r="S61" i="1" s="1"/>
  <c r="Q66" i="1"/>
  <c r="H65" i="1"/>
  <c r="H61" i="1"/>
  <c r="C85" i="1"/>
  <c r="J23" i="3" s="1"/>
  <c r="S19" i="1"/>
  <c r="Q67" i="1"/>
  <c r="M67" i="1"/>
  <c r="M64" i="1"/>
  <c r="M63" i="1" s="1"/>
  <c r="O19" i="1"/>
  <c r="Q64" i="1"/>
  <c r="Q63" i="1" s="1"/>
  <c r="C8" i="12"/>
  <c r="G7" i="8"/>
  <c r="G8" i="8" s="1"/>
  <c r="G9" i="8" s="1"/>
  <c r="G10" i="8" s="1"/>
  <c r="G11" i="8" s="1"/>
  <c r="G12" i="8" s="1"/>
  <c r="G13" i="8" s="1"/>
  <c r="G14" i="8" s="1"/>
  <c r="G15" i="8" s="1"/>
  <c r="G16" i="8" s="1"/>
  <c r="C43" i="1"/>
  <c r="C19" i="1"/>
  <c r="C78" i="1"/>
  <c r="S18" i="1"/>
  <c r="D78" i="1"/>
  <c r="H18" i="3"/>
  <c r="D16" i="8" s="1"/>
  <c r="E19" i="3"/>
  <c r="D12" i="8"/>
  <c r="D11" i="8"/>
  <c r="H17" i="3"/>
  <c r="D15" i="8" s="1"/>
  <c r="C16" i="12"/>
  <c r="C11" i="12"/>
  <c r="C17" i="12"/>
  <c r="E9" i="3"/>
  <c r="H9" i="3" s="1"/>
  <c r="E8" i="3"/>
  <c r="H8" i="3" s="1"/>
  <c r="D8" i="8" s="1"/>
  <c r="E12" i="3"/>
  <c r="H12" i="3" s="1"/>
  <c r="D10" i="8" s="1"/>
  <c r="P6" i="3"/>
  <c r="P7" i="3" s="1"/>
  <c r="E7" i="3"/>
  <c r="H7" i="3" s="1"/>
  <c r="E61" i="1"/>
  <c r="F5" i="8"/>
  <c r="E4" i="8"/>
  <c r="K19" i="1"/>
  <c r="H67" i="1"/>
  <c r="E4" i="3"/>
  <c r="I37" i="1" l="1"/>
  <c r="H41" i="1"/>
  <c r="H4" i="3"/>
  <c r="E5" i="8"/>
  <c r="F6" i="8"/>
  <c r="C83" i="1"/>
  <c r="J21" i="3" s="1"/>
  <c r="C79" i="1"/>
  <c r="C42" i="1"/>
  <c r="D37" i="1"/>
  <c r="J61" i="1"/>
  <c r="D79" i="1"/>
  <c r="C84" i="1"/>
  <c r="J22" i="3" s="1"/>
  <c r="E20" i="3"/>
  <c r="H19" i="3"/>
  <c r="C37" i="1"/>
  <c r="C41" i="1"/>
  <c r="H37" i="1"/>
  <c r="J37" i="1" s="1"/>
  <c r="H42" i="1"/>
  <c r="E21" i="3" l="1"/>
  <c r="H20" i="3"/>
  <c r="F7" i="8"/>
  <c r="E6" i="8"/>
  <c r="E37" i="1"/>
  <c r="E79" i="1"/>
  <c r="D4" i="8"/>
  <c r="D5" i="8"/>
  <c r="F8" i="8" l="1"/>
  <c r="E7" i="8"/>
  <c r="E22" i="3"/>
  <c r="H22" i="3" s="1"/>
  <c r="H21" i="3"/>
  <c r="F9" i="8" l="1"/>
  <c r="E8" i="8"/>
  <c r="E14" i="1"/>
  <c r="I13" i="1"/>
  <c r="K22" i="3"/>
  <c r="I14" i="1"/>
  <c r="C127" i="3"/>
  <c r="K21" i="3"/>
  <c r="K20" i="3"/>
  <c r="F127" i="3"/>
  <c r="K23" i="3"/>
  <c r="I12" i="1"/>
  <c r="E127" i="3"/>
  <c r="E12" i="1"/>
  <c r="E13" i="1"/>
  <c r="D127" i="3"/>
  <c r="D28" i="3" l="1"/>
  <c r="D25" i="3" s="1"/>
  <c r="D20" i="8"/>
  <c r="F28" i="3"/>
  <c r="F20" i="8"/>
  <c r="C25" i="3"/>
  <c r="C28" i="3"/>
  <c r="C20" i="8"/>
  <c r="E20" i="8"/>
  <c r="E28" i="3"/>
  <c r="E9" i="8"/>
  <c r="F10" i="8"/>
  <c r="AF69" i="9" l="1"/>
  <c r="F242" i="10" s="1"/>
  <c r="Y68" i="9"/>
  <c r="F211" i="10" s="1"/>
  <c r="K53" i="9"/>
  <c r="F136" i="10" s="1"/>
  <c r="Y61" i="9"/>
  <c r="R49" i="9"/>
  <c r="F162" i="10" s="1"/>
  <c r="R61" i="9"/>
  <c r="F174" i="10" s="1"/>
  <c r="Y50" i="9"/>
  <c r="F193" i="10" s="1"/>
  <c r="R71" i="9"/>
  <c r="F184" i="10" s="1"/>
  <c r="Y67" i="9"/>
  <c r="F210" i="10" s="1"/>
  <c r="K49" i="9"/>
  <c r="F132" i="10" s="1"/>
  <c r="K60" i="9"/>
  <c r="F143" i="10" s="1"/>
  <c r="R53" i="9"/>
  <c r="F166" i="10" s="1"/>
  <c r="R52" i="9"/>
  <c r="F165" i="10" s="1"/>
  <c r="R70" i="9"/>
  <c r="F183" i="10" s="1"/>
  <c r="Y64" i="9"/>
  <c r="R63" i="9"/>
  <c r="F176" i="10" s="1"/>
  <c r="K62" i="9"/>
  <c r="F145" i="10" s="1"/>
  <c r="Y66" i="9"/>
  <c r="F209" i="10" s="1"/>
  <c r="AF71" i="9"/>
  <c r="F244" i="10" s="1"/>
  <c r="AF53" i="9"/>
  <c r="F226" i="10" s="1"/>
  <c r="Y51" i="9"/>
  <c r="F194" i="10" s="1"/>
  <c r="AF62" i="9"/>
  <c r="F235" i="10" s="1"/>
  <c r="AF65" i="9"/>
  <c r="F238" i="10" s="1"/>
  <c r="AF63" i="9"/>
  <c r="F236" i="10" s="1"/>
  <c r="Y71" i="9"/>
  <c r="F214" i="10" s="1"/>
  <c r="K70" i="9"/>
  <c r="F153" i="10" s="1"/>
  <c r="R62" i="9"/>
  <c r="F175" i="10" s="1"/>
  <c r="R64" i="9"/>
  <c r="F177" i="10" s="1"/>
  <c r="R60" i="9"/>
  <c r="F173" i="10" s="1"/>
  <c r="AF60" i="9"/>
  <c r="F233" i="10" s="1"/>
  <c r="K71" i="9"/>
  <c r="F154" i="10" s="1"/>
  <c r="Y53" i="9"/>
  <c r="F196" i="10" s="1"/>
  <c r="R69" i="9"/>
  <c r="F182" i="10" s="1"/>
  <c r="AF52" i="9"/>
  <c r="F225" i="10" s="1"/>
  <c r="Y69" i="9"/>
  <c r="F212" i="10" s="1"/>
  <c r="K66" i="9"/>
  <c r="F149" i="10" s="1"/>
  <c r="AF67" i="9"/>
  <c r="F240" i="10" s="1"/>
  <c r="R65" i="9"/>
  <c r="F178" i="10" s="1"/>
  <c r="K67" i="9"/>
  <c r="F150" i="10" s="1"/>
  <c r="Y52" i="9"/>
  <c r="F195" i="10" s="1"/>
  <c r="K51" i="9"/>
  <c r="F134" i="10" s="1"/>
  <c r="K50" i="9"/>
  <c r="F133" i="10" s="1"/>
  <c r="R50" i="9"/>
  <c r="F163" i="10" s="1"/>
  <c r="AF48" i="9"/>
  <c r="F221" i="10" s="1"/>
  <c r="K68" i="9"/>
  <c r="F151" i="10" s="1"/>
  <c r="AF61" i="9"/>
  <c r="F234" i="10" s="1"/>
  <c r="AF50" i="9"/>
  <c r="F223" i="10" s="1"/>
  <c r="Y49" i="9"/>
  <c r="F192" i="10" s="1"/>
  <c r="R66" i="9"/>
  <c r="F179" i="10" s="1"/>
  <c r="K63" i="9"/>
  <c r="F146" i="10" s="1"/>
  <c r="C21" i="8"/>
  <c r="Y62" i="9"/>
  <c r="Y70" i="9"/>
  <c r="F213" i="10" s="1"/>
  <c r="R67" i="9"/>
  <c r="F180" i="10" s="1"/>
  <c r="AF66" i="9"/>
  <c r="F239" i="10" s="1"/>
  <c r="K52" i="9"/>
  <c r="F135" i="10" s="1"/>
  <c r="R68" i="9"/>
  <c r="F181" i="10" s="1"/>
  <c r="K69" i="9"/>
  <c r="F152" i="10" s="1"/>
  <c r="Y60" i="9"/>
  <c r="AF64" i="9"/>
  <c r="F237" i="10" s="1"/>
  <c r="Y63" i="9"/>
  <c r="AF49" i="9"/>
  <c r="F222" i="10" s="1"/>
  <c r="C25" i="8"/>
  <c r="C24" i="8" s="1"/>
  <c r="C26" i="8" s="1"/>
  <c r="R48" i="9"/>
  <c r="F161" i="10" s="1"/>
  <c r="AF68" i="9"/>
  <c r="F241" i="10" s="1"/>
  <c r="K61" i="9"/>
  <c r="F144" i="10" s="1"/>
  <c r="AF59" i="9"/>
  <c r="F232" i="10" s="1"/>
  <c r="Y48" i="9"/>
  <c r="F191" i="10" s="1"/>
  <c r="K64" i="9"/>
  <c r="F147" i="10" s="1"/>
  <c r="AF70" i="9"/>
  <c r="F243" i="10" s="1"/>
  <c r="K55" i="9"/>
  <c r="F138" i="10" s="1"/>
  <c r="AF51" i="9"/>
  <c r="F224" i="10" s="1"/>
  <c r="R51" i="9"/>
  <c r="F164" i="10" s="1"/>
  <c r="K65" i="9"/>
  <c r="F148" i="10" s="1"/>
  <c r="Y65" i="9"/>
  <c r="K48" i="9"/>
  <c r="F131" i="10" s="1"/>
  <c r="R58" i="9"/>
  <c r="F171" i="10" s="1"/>
  <c r="AF57" i="9"/>
  <c r="F230" i="10" s="1"/>
  <c r="R59" i="9"/>
  <c r="F172" i="10" s="1"/>
  <c r="Y57" i="9"/>
  <c r="AF55" i="9"/>
  <c r="F228" i="10" s="1"/>
  <c r="AF56" i="9"/>
  <c r="F229" i="10" s="1"/>
  <c r="K58" i="9"/>
  <c r="F141" i="10" s="1"/>
  <c r="AF54" i="9"/>
  <c r="F227" i="10" s="1"/>
  <c r="K54" i="9"/>
  <c r="F137" i="10" s="1"/>
  <c r="Y54" i="9"/>
  <c r="AF58" i="9"/>
  <c r="F231" i="10" s="1"/>
  <c r="K59" i="9"/>
  <c r="F142" i="10" s="1"/>
  <c r="Y58" i="9"/>
  <c r="R55" i="9"/>
  <c r="F168" i="10" s="1"/>
  <c r="Y59" i="9"/>
  <c r="K57" i="9"/>
  <c r="F140" i="10" s="1"/>
  <c r="K56" i="9"/>
  <c r="F139" i="10" s="1"/>
  <c r="Y55" i="9"/>
  <c r="Y56" i="9"/>
  <c r="R57" i="9"/>
  <c r="F170" i="10" s="1"/>
  <c r="R56" i="9"/>
  <c r="F169" i="10" s="1"/>
  <c r="R54" i="9"/>
  <c r="F167" i="10" s="1"/>
  <c r="C37" i="8"/>
  <c r="C36" i="8" s="1"/>
  <c r="C38" i="8" s="1"/>
  <c r="C49" i="8"/>
  <c r="C48" i="8" s="1"/>
  <c r="C50" i="8" s="1"/>
  <c r="C98" i="3"/>
  <c r="D5" i="5"/>
  <c r="C41" i="3"/>
  <c r="D18" i="5" s="1"/>
  <c r="C76" i="3"/>
  <c r="D53" i="5" s="1"/>
  <c r="C36" i="3"/>
  <c r="D13" i="5" s="1"/>
  <c r="C42" i="3"/>
  <c r="D19" i="5" s="1"/>
  <c r="C86" i="3"/>
  <c r="C111" i="3"/>
  <c r="C55" i="3"/>
  <c r="D32" i="5" s="1"/>
  <c r="C97" i="3"/>
  <c r="C112" i="3"/>
  <c r="C34" i="3"/>
  <c r="D11" i="5" s="1"/>
  <c r="C70" i="3"/>
  <c r="D47" i="5" s="1"/>
  <c r="C49" i="3"/>
  <c r="D26" i="5" s="1"/>
  <c r="C102" i="3"/>
  <c r="C67" i="3"/>
  <c r="D44" i="5" s="1"/>
  <c r="C32" i="3"/>
  <c r="D9" i="5" s="1"/>
  <c r="C63" i="3"/>
  <c r="D40" i="5" s="1"/>
  <c r="C35" i="3"/>
  <c r="D12" i="5" s="1"/>
  <c r="C73" i="3"/>
  <c r="D50" i="5" s="1"/>
  <c r="C91" i="3"/>
  <c r="C124" i="3"/>
  <c r="C96" i="3"/>
  <c r="C53" i="3"/>
  <c r="D30" i="5" s="1"/>
  <c r="C99" i="3"/>
  <c r="C39" i="3"/>
  <c r="D16" i="5" s="1"/>
  <c r="C110" i="3"/>
  <c r="C94" i="3"/>
  <c r="C106" i="3"/>
  <c r="C71" i="3"/>
  <c r="D48" i="5" s="1"/>
  <c r="C59" i="3"/>
  <c r="D36" i="5" s="1"/>
  <c r="C116" i="3"/>
  <c r="C77" i="3"/>
  <c r="D54" i="5" s="1"/>
  <c r="C44" i="3"/>
  <c r="D21" i="5" s="1"/>
  <c r="C30" i="3"/>
  <c r="D7" i="5" s="1"/>
  <c r="C126" i="3"/>
  <c r="C89" i="3"/>
  <c r="C81" i="3"/>
  <c r="C40" i="3"/>
  <c r="D17" i="5" s="1"/>
  <c r="C61" i="3"/>
  <c r="D38" i="5" s="1"/>
  <c r="C56" i="3"/>
  <c r="D33" i="5" s="1"/>
  <c r="C47" i="3"/>
  <c r="D24" i="5" s="1"/>
  <c r="C122" i="3"/>
  <c r="C104" i="3"/>
  <c r="C121" i="3"/>
  <c r="C123" i="3"/>
  <c r="C50" i="3"/>
  <c r="D27" i="5" s="1"/>
  <c r="C38" i="3"/>
  <c r="D15" i="5" s="1"/>
  <c r="C103" i="3"/>
  <c r="C74" i="3"/>
  <c r="D51" i="5" s="1"/>
  <c r="C52" i="3"/>
  <c r="D29" i="5" s="1"/>
  <c r="C90" i="3"/>
  <c r="C29" i="3"/>
  <c r="D6" i="5" s="1"/>
  <c r="C80" i="3"/>
  <c r="C37" i="3"/>
  <c r="D14" i="5" s="1"/>
  <c r="C115" i="3"/>
  <c r="C100" i="3"/>
  <c r="C113" i="3"/>
  <c r="C82" i="3"/>
  <c r="C85" i="3"/>
  <c r="C119" i="3"/>
  <c r="C66" i="3"/>
  <c r="D43" i="5" s="1"/>
  <c r="C88" i="3"/>
  <c r="C92" i="3"/>
  <c r="C69" i="3"/>
  <c r="D46" i="5" s="1"/>
  <c r="C108" i="3"/>
  <c r="C84" i="3"/>
  <c r="C48" i="3"/>
  <c r="D25" i="5" s="1"/>
  <c r="C58" i="3"/>
  <c r="D35" i="5" s="1"/>
  <c r="C64" i="3"/>
  <c r="D41" i="5" s="1"/>
  <c r="C93" i="3"/>
  <c r="C109" i="3"/>
  <c r="C114" i="3"/>
  <c r="C83" i="3"/>
  <c r="C72" i="3"/>
  <c r="D49" i="5" s="1"/>
  <c r="C60" i="3"/>
  <c r="D37" i="5" s="1"/>
  <c r="C101" i="3"/>
  <c r="C51" i="3"/>
  <c r="D28" i="5" s="1"/>
  <c r="C57" i="3"/>
  <c r="D34" i="5" s="1"/>
  <c r="C79" i="3"/>
  <c r="C117" i="3"/>
  <c r="C43" i="3"/>
  <c r="D20" i="5" s="1"/>
  <c r="C75" i="3"/>
  <c r="D52" i="5" s="1"/>
  <c r="C125" i="3"/>
  <c r="C107" i="3"/>
  <c r="C105" i="3"/>
  <c r="C120" i="3"/>
  <c r="C62" i="3"/>
  <c r="D39" i="5" s="1"/>
  <c r="C54" i="3"/>
  <c r="D31" i="5" s="1"/>
  <c r="C65" i="3"/>
  <c r="D42" i="5" s="1"/>
  <c r="C78" i="3"/>
  <c r="C33" i="3"/>
  <c r="D10" i="5" s="1"/>
  <c r="C68" i="3"/>
  <c r="D45" i="5" s="1"/>
  <c r="C87" i="3"/>
  <c r="C46" i="3"/>
  <c r="D23" i="5" s="1"/>
  <c r="C45" i="3"/>
  <c r="D22" i="5" s="1"/>
  <c r="C95" i="3"/>
  <c r="C31" i="3"/>
  <c r="D8" i="5" s="1"/>
  <c r="C118" i="3"/>
  <c r="Q27" i="3"/>
  <c r="N49" i="9"/>
  <c r="E132" i="10" s="1"/>
  <c r="N66" i="9"/>
  <c r="E149" i="10" s="1"/>
  <c r="U60" i="9"/>
  <c r="E173" i="10" s="1"/>
  <c r="AB69" i="9"/>
  <c r="E212" i="10" s="1"/>
  <c r="U53" i="9"/>
  <c r="E166" i="10" s="1"/>
  <c r="N60" i="9"/>
  <c r="E143" i="10" s="1"/>
  <c r="AB63" i="9"/>
  <c r="U69" i="9"/>
  <c r="E182" i="10" s="1"/>
  <c r="U61" i="9"/>
  <c r="E174" i="10" s="1"/>
  <c r="U65" i="9"/>
  <c r="E178" i="10" s="1"/>
  <c r="N62" i="9"/>
  <c r="E145" i="10" s="1"/>
  <c r="AB60" i="9"/>
  <c r="N69" i="9"/>
  <c r="E152" i="10" s="1"/>
  <c r="AB64" i="9"/>
  <c r="U63" i="9"/>
  <c r="E176" i="10" s="1"/>
  <c r="AB71" i="9"/>
  <c r="E214" i="10" s="1"/>
  <c r="U51" i="9"/>
  <c r="E164" i="10" s="1"/>
  <c r="N64" i="9"/>
  <c r="E147" i="10" s="1"/>
  <c r="N53" i="9"/>
  <c r="E136" i="10" s="1"/>
  <c r="AI69" i="9"/>
  <c r="E242" i="10" s="1"/>
  <c r="N65" i="9"/>
  <c r="E148" i="10" s="1"/>
  <c r="AI71" i="9"/>
  <c r="E244" i="10" s="1"/>
  <c r="AB66" i="9"/>
  <c r="E209" i="10" s="1"/>
  <c r="AI52" i="9"/>
  <c r="E225" i="10" s="1"/>
  <c r="AI63" i="9"/>
  <c r="E236" i="10" s="1"/>
  <c r="U64" i="9"/>
  <c r="E177" i="10" s="1"/>
  <c r="AB50" i="9"/>
  <c r="E193" i="10" s="1"/>
  <c r="AI48" i="9"/>
  <c r="E221" i="10" s="1"/>
  <c r="U68" i="9"/>
  <c r="E181" i="10" s="1"/>
  <c r="AI65" i="9"/>
  <c r="E238" i="10" s="1"/>
  <c r="U62" i="9"/>
  <c r="E175" i="10" s="1"/>
  <c r="U52" i="9"/>
  <c r="E165" i="10" s="1"/>
  <c r="N48" i="9"/>
  <c r="E131" i="10" s="1"/>
  <c r="N70" i="9"/>
  <c r="E153" i="10" s="1"/>
  <c r="N51" i="9"/>
  <c r="E134" i="10" s="1"/>
  <c r="U71" i="9"/>
  <c r="E184" i="10" s="1"/>
  <c r="N52" i="9"/>
  <c r="E135" i="10" s="1"/>
  <c r="AI60" i="9"/>
  <c r="E233" i="10" s="1"/>
  <c r="F25" i="8"/>
  <c r="F24" i="8" s="1"/>
  <c r="F26" i="8" s="1"/>
  <c r="AB67" i="9"/>
  <c r="E210" i="10" s="1"/>
  <c r="AB70" i="9"/>
  <c r="E213" i="10" s="1"/>
  <c r="AI67" i="9"/>
  <c r="E240" i="10" s="1"/>
  <c r="U66" i="9"/>
  <c r="E179" i="10" s="1"/>
  <c r="AB52" i="9"/>
  <c r="E195" i="10" s="1"/>
  <c r="N71" i="9"/>
  <c r="E154" i="10" s="1"/>
  <c r="AI50" i="9"/>
  <c r="E223" i="10" s="1"/>
  <c r="AB62" i="9"/>
  <c r="U50" i="9"/>
  <c r="E163" i="10" s="1"/>
  <c r="AI53" i="9"/>
  <c r="E226" i="10" s="1"/>
  <c r="AB53" i="9"/>
  <c r="E196" i="10" s="1"/>
  <c r="AB51" i="9"/>
  <c r="E194" i="10" s="1"/>
  <c r="N63" i="9"/>
  <c r="E146" i="10" s="1"/>
  <c r="N61" i="9"/>
  <c r="E144" i="10" s="1"/>
  <c r="AI51" i="9"/>
  <c r="E224" i="10" s="1"/>
  <c r="F21" i="8"/>
  <c r="N67" i="9"/>
  <c r="E150" i="10" s="1"/>
  <c r="AI64" i="9"/>
  <c r="E237" i="10" s="1"/>
  <c r="U70" i="9"/>
  <c r="E183" i="10" s="1"/>
  <c r="U48" i="9"/>
  <c r="E161" i="10" s="1"/>
  <c r="AI68" i="9"/>
  <c r="E241" i="10" s="1"/>
  <c r="AB49" i="9"/>
  <c r="E192" i="10" s="1"/>
  <c r="AB68" i="9"/>
  <c r="E211" i="10" s="1"/>
  <c r="AI49" i="9"/>
  <c r="E222" i="10" s="1"/>
  <c r="U67" i="9"/>
  <c r="E180" i="10" s="1"/>
  <c r="U49" i="9"/>
  <c r="E162" i="10" s="1"/>
  <c r="AI66" i="9"/>
  <c r="E239" i="10" s="1"/>
  <c r="AI62" i="9"/>
  <c r="E235" i="10" s="1"/>
  <c r="AB61" i="9"/>
  <c r="N58" i="9"/>
  <c r="E141" i="10" s="1"/>
  <c r="AB48" i="9"/>
  <c r="E191" i="10" s="1"/>
  <c r="AI70" i="9"/>
  <c r="E243" i="10" s="1"/>
  <c r="AB65" i="9"/>
  <c r="AI61" i="9"/>
  <c r="E234" i="10" s="1"/>
  <c r="N68" i="9"/>
  <c r="E151" i="10" s="1"/>
  <c r="N50" i="9"/>
  <c r="E133" i="10" s="1"/>
  <c r="AB57" i="9"/>
  <c r="N55" i="9"/>
  <c r="E138" i="10" s="1"/>
  <c r="AI55" i="9"/>
  <c r="E228" i="10" s="1"/>
  <c r="AB58" i="9"/>
  <c r="AI59" i="9"/>
  <c r="E232" i="10" s="1"/>
  <c r="N59" i="9"/>
  <c r="E142" i="10" s="1"/>
  <c r="U58" i="9"/>
  <c r="E171" i="10" s="1"/>
  <c r="U54" i="9"/>
  <c r="E167" i="10" s="1"/>
  <c r="AB55" i="9"/>
  <c r="U59" i="9"/>
  <c r="E172" i="10" s="1"/>
  <c r="AB59" i="9"/>
  <c r="N57" i="9"/>
  <c r="E140" i="10" s="1"/>
  <c r="U55" i="9"/>
  <c r="E168" i="10" s="1"/>
  <c r="U57" i="9"/>
  <c r="E170" i="10" s="1"/>
  <c r="AB56" i="9"/>
  <c r="AI57" i="9"/>
  <c r="E230" i="10" s="1"/>
  <c r="AB54" i="9"/>
  <c r="U56" i="9"/>
  <c r="E169" i="10" s="1"/>
  <c r="AI58" i="9"/>
  <c r="E231" i="10" s="1"/>
  <c r="N54" i="9"/>
  <c r="E137" i="10" s="1"/>
  <c r="AI54" i="9"/>
  <c r="E227" i="10" s="1"/>
  <c r="AI56" i="9"/>
  <c r="E229" i="10" s="1"/>
  <c r="N56" i="9"/>
  <c r="E139" i="10" s="1"/>
  <c r="F37" i="8"/>
  <c r="F36" i="8" s="1"/>
  <c r="F38" i="8" s="1"/>
  <c r="F49" i="8"/>
  <c r="F48" i="8" s="1"/>
  <c r="F50" i="8" s="1"/>
  <c r="E90" i="3"/>
  <c r="E110" i="3"/>
  <c r="E80" i="3"/>
  <c r="E95" i="3"/>
  <c r="E76" i="3"/>
  <c r="F53" i="5" s="1"/>
  <c r="E125" i="3"/>
  <c r="E121" i="3"/>
  <c r="E66" i="3"/>
  <c r="F43" i="5" s="1"/>
  <c r="E48" i="3"/>
  <c r="F25" i="5" s="1"/>
  <c r="E29" i="3"/>
  <c r="F6" i="5" s="1"/>
  <c r="E106" i="3"/>
  <c r="E96" i="3"/>
  <c r="E79" i="3"/>
  <c r="E112" i="3"/>
  <c r="E71" i="3"/>
  <c r="F48" i="5" s="1"/>
  <c r="E100" i="3"/>
  <c r="E61" i="3"/>
  <c r="F38" i="5" s="1"/>
  <c r="E38" i="3"/>
  <c r="F15" i="5" s="1"/>
  <c r="E116" i="3"/>
  <c r="E44" i="3"/>
  <c r="F21" i="5" s="1"/>
  <c r="E65" i="3"/>
  <c r="F42" i="5" s="1"/>
  <c r="E54" i="3"/>
  <c r="F31" i="5" s="1"/>
  <c r="E67" i="3"/>
  <c r="F44" i="5" s="1"/>
  <c r="F5" i="5"/>
  <c r="E78" i="3"/>
  <c r="E62" i="3"/>
  <c r="F39" i="5" s="1"/>
  <c r="E49" i="3"/>
  <c r="F26" i="5" s="1"/>
  <c r="E45" i="3"/>
  <c r="F22" i="5" s="1"/>
  <c r="E75" i="3"/>
  <c r="F52" i="5" s="1"/>
  <c r="E51" i="3"/>
  <c r="F28" i="5" s="1"/>
  <c r="E124" i="3"/>
  <c r="E82" i="3"/>
  <c r="E59" i="3"/>
  <c r="F36" i="5" s="1"/>
  <c r="E39" i="3"/>
  <c r="F16" i="5" s="1"/>
  <c r="E101" i="3"/>
  <c r="E40" i="3"/>
  <c r="F17" i="5" s="1"/>
  <c r="E122" i="3"/>
  <c r="E55" i="3"/>
  <c r="F32" i="5" s="1"/>
  <c r="E32" i="3"/>
  <c r="F9" i="5" s="1"/>
  <c r="E118" i="3"/>
  <c r="E123" i="3"/>
  <c r="E83" i="3"/>
  <c r="E89" i="3"/>
  <c r="E50" i="3"/>
  <c r="F27" i="5" s="1"/>
  <c r="E69" i="3"/>
  <c r="F46" i="5" s="1"/>
  <c r="E46" i="3"/>
  <c r="F23" i="5" s="1"/>
  <c r="E113" i="3"/>
  <c r="E68" i="3"/>
  <c r="F45" i="5" s="1"/>
  <c r="E84" i="3"/>
  <c r="S27" i="3"/>
  <c r="E25" i="3"/>
  <c r="E93" i="3" s="1"/>
  <c r="H5" i="5"/>
  <c r="T27" i="3"/>
  <c r="AA53" i="9"/>
  <c r="C196" i="10" s="1"/>
  <c r="M60" i="9"/>
  <c r="C143" i="10" s="1"/>
  <c r="T70" i="9"/>
  <c r="C183" i="10" s="1"/>
  <c r="T50" i="9"/>
  <c r="C163" i="10" s="1"/>
  <c r="AA60" i="9"/>
  <c r="C203" i="10" s="1"/>
  <c r="M53" i="9"/>
  <c r="C136" i="10" s="1"/>
  <c r="AH51" i="9"/>
  <c r="C224" i="10" s="1"/>
  <c r="AA71" i="9"/>
  <c r="C214" i="10" s="1"/>
  <c r="AH67" i="9"/>
  <c r="C240" i="10" s="1"/>
  <c r="AH60" i="9"/>
  <c r="C233" i="10" s="1"/>
  <c r="AA48" i="9"/>
  <c r="C191" i="10" s="1"/>
  <c r="M62" i="9"/>
  <c r="C145" i="10" s="1"/>
  <c r="M51" i="9"/>
  <c r="C134" i="10" s="1"/>
  <c r="AH68" i="9"/>
  <c r="C241" i="10" s="1"/>
  <c r="T69" i="9"/>
  <c r="C182" i="10" s="1"/>
  <c r="AA61" i="9"/>
  <c r="C204" i="10" s="1"/>
  <c r="T52" i="9"/>
  <c r="C165" i="10" s="1"/>
  <c r="E21" i="8"/>
  <c r="M66" i="9"/>
  <c r="C149" i="10" s="1"/>
  <c r="T68" i="9"/>
  <c r="C181" i="10" s="1"/>
  <c r="AH70" i="9"/>
  <c r="C243" i="10" s="1"/>
  <c r="T61" i="9"/>
  <c r="C174" i="10" s="1"/>
  <c r="T60" i="9"/>
  <c r="C173" i="10" s="1"/>
  <c r="M63" i="9"/>
  <c r="C146" i="10" s="1"/>
  <c r="AH69" i="9"/>
  <c r="C242" i="10" s="1"/>
  <c r="AH48" i="9"/>
  <c r="C221" i="10" s="1"/>
  <c r="M67" i="9"/>
  <c r="C150" i="10" s="1"/>
  <c r="T67" i="9"/>
  <c r="C180" i="10" s="1"/>
  <c r="AA69" i="9"/>
  <c r="C212" i="10" s="1"/>
  <c r="M64" i="9"/>
  <c r="C147" i="10" s="1"/>
  <c r="AA67" i="9"/>
  <c r="C210" i="10" s="1"/>
  <c r="M69" i="9"/>
  <c r="C152" i="10" s="1"/>
  <c r="AH66" i="9"/>
  <c r="C239" i="10" s="1"/>
  <c r="T65" i="9"/>
  <c r="C178" i="10" s="1"/>
  <c r="AA62" i="9"/>
  <c r="C205" i="10" s="1"/>
  <c r="T51" i="9"/>
  <c r="C164" i="10" s="1"/>
  <c r="M61" i="9"/>
  <c r="C144" i="10" s="1"/>
  <c r="AA49" i="9"/>
  <c r="C192" i="10" s="1"/>
  <c r="AH61" i="9"/>
  <c r="C234" i="10" s="1"/>
  <c r="M71" i="9"/>
  <c r="C154" i="10" s="1"/>
  <c r="M49" i="9"/>
  <c r="C132" i="10" s="1"/>
  <c r="AA64" i="9"/>
  <c r="C207" i="10" s="1"/>
  <c r="AH53" i="9"/>
  <c r="C226" i="10" s="1"/>
  <c r="AH62" i="9"/>
  <c r="C235" i="10" s="1"/>
  <c r="M70" i="9"/>
  <c r="C153" i="10" s="1"/>
  <c r="T63" i="9"/>
  <c r="C176" i="10" s="1"/>
  <c r="T48" i="9"/>
  <c r="C161" i="10" s="1"/>
  <c r="M48" i="9"/>
  <c r="C131" i="10" s="1"/>
  <c r="AH50" i="9"/>
  <c r="C223" i="10" s="1"/>
  <c r="AA66" i="9"/>
  <c r="C209" i="10" s="1"/>
  <c r="M50" i="9"/>
  <c r="C133" i="10" s="1"/>
  <c r="AH64" i="9"/>
  <c r="C237" i="10" s="1"/>
  <c r="AH71" i="9"/>
  <c r="C244" i="10" s="1"/>
  <c r="AA63" i="9"/>
  <c r="C206" i="10" s="1"/>
  <c r="AA51" i="9"/>
  <c r="C194" i="10" s="1"/>
  <c r="T49" i="9"/>
  <c r="C162" i="10" s="1"/>
  <c r="E25" i="8"/>
  <c r="E24" i="8" s="1"/>
  <c r="E26" i="8" s="1"/>
  <c r="AA52" i="9"/>
  <c r="C195" i="10" s="1"/>
  <c r="AA70" i="9"/>
  <c r="C213" i="10" s="1"/>
  <c r="AA65" i="9"/>
  <c r="C208" i="10" s="1"/>
  <c r="AA50" i="9"/>
  <c r="C193" i="10" s="1"/>
  <c r="M65" i="9"/>
  <c r="C148" i="10" s="1"/>
  <c r="T66" i="9"/>
  <c r="C179" i="10" s="1"/>
  <c r="AH65" i="9"/>
  <c r="C238" i="10" s="1"/>
  <c r="T64" i="9"/>
  <c r="C177" i="10" s="1"/>
  <c r="T62" i="9"/>
  <c r="C175" i="10" s="1"/>
  <c r="AA68" i="9"/>
  <c r="C211" i="10" s="1"/>
  <c r="T71" i="9"/>
  <c r="C184" i="10" s="1"/>
  <c r="M68" i="9"/>
  <c r="C151" i="10" s="1"/>
  <c r="AH63" i="9"/>
  <c r="C236" i="10" s="1"/>
  <c r="M58" i="9"/>
  <c r="C141" i="10" s="1"/>
  <c r="M54" i="9"/>
  <c r="C137" i="10" s="1"/>
  <c r="M52" i="9"/>
  <c r="C135" i="10" s="1"/>
  <c r="AH49" i="9"/>
  <c r="C222" i="10" s="1"/>
  <c r="AH52" i="9"/>
  <c r="C225" i="10" s="1"/>
  <c r="T53" i="9"/>
  <c r="C166" i="10" s="1"/>
  <c r="M57" i="9"/>
  <c r="C140" i="10" s="1"/>
  <c r="M59" i="9"/>
  <c r="C142" i="10" s="1"/>
  <c r="AA56" i="9"/>
  <c r="C199" i="10" s="1"/>
  <c r="AA59" i="9"/>
  <c r="C202" i="10" s="1"/>
  <c r="AA54" i="9"/>
  <c r="C197" i="10" s="1"/>
  <c r="T56" i="9"/>
  <c r="C169" i="10" s="1"/>
  <c r="AH57" i="9"/>
  <c r="C230" i="10" s="1"/>
  <c r="AA58" i="9"/>
  <c r="C201" i="10" s="1"/>
  <c r="T58" i="9"/>
  <c r="C171" i="10" s="1"/>
  <c r="AA57" i="9"/>
  <c r="C200" i="10" s="1"/>
  <c r="M56" i="9"/>
  <c r="C139" i="10" s="1"/>
  <c r="AH54" i="9"/>
  <c r="C227" i="10" s="1"/>
  <c r="T59" i="9"/>
  <c r="C172" i="10" s="1"/>
  <c r="T55" i="9"/>
  <c r="C168" i="10" s="1"/>
  <c r="M55" i="9"/>
  <c r="C138" i="10" s="1"/>
  <c r="T54" i="9"/>
  <c r="C167" i="10" s="1"/>
  <c r="AH56" i="9"/>
  <c r="C229" i="10" s="1"/>
  <c r="AH58" i="9"/>
  <c r="C231" i="10" s="1"/>
  <c r="T57" i="9"/>
  <c r="C170" i="10" s="1"/>
  <c r="AA55" i="9"/>
  <c r="C198" i="10" s="1"/>
  <c r="AH55" i="9"/>
  <c r="C228" i="10" s="1"/>
  <c r="AH59" i="9"/>
  <c r="C232" i="10" s="1"/>
  <c r="E37" i="8"/>
  <c r="E36" i="8" s="1"/>
  <c r="E38" i="8" s="1"/>
  <c r="E49" i="8"/>
  <c r="E48" i="8" s="1"/>
  <c r="E50" i="8" s="1"/>
  <c r="F25" i="3"/>
  <c r="F107" i="3" s="1"/>
  <c r="AG51" i="9"/>
  <c r="B224" i="10" s="1"/>
  <c r="Z67" i="9"/>
  <c r="B210" i="10" s="1"/>
  <c r="L51" i="9"/>
  <c r="B134" i="10" s="1"/>
  <c r="Z68" i="9"/>
  <c r="B211" i="10" s="1"/>
  <c r="S64" i="9"/>
  <c r="B177" i="10" s="1"/>
  <c r="S50" i="9"/>
  <c r="B163" i="10" s="1"/>
  <c r="AG65" i="9"/>
  <c r="B238" i="10" s="1"/>
  <c r="Z71" i="9"/>
  <c r="B214" i="10" s="1"/>
  <c r="AG71" i="9"/>
  <c r="B244" i="10" s="1"/>
  <c r="Z49" i="9"/>
  <c r="B192" i="10" s="1"/>
  <c r="Z48" i="9"/>
  <c r="B191" i="10" s="1"/>
  <c r="Z62" i="9"/>
  <c r="B205" i="10" s="1"/>
  <c r="S68" i="9"/>
  <c r="B181" i="10" s="1"/>
  <c r="S66" i="9"/>
  <c r="B179" i="10" s="1"/>
  <c r="L63" i="9"/>
  <c r="B146" i="10" s="1"/>
  <c r="AG48" i="9"/>
  <c r="B221" i="10" s="1"/>
  <c r="Z51" i="9"/>
  <c r="B194" i="10" s="1"/>
  <c r="Z64" i="9"/>
  <c r="B207" i="10" s="1"/>
  <c r="D21" i="8"/>
  <c r="Z65" i="9"/>
  <c r="B208" i="10" s="1"/>
  <c r="AG63" i="9"/>
  <c r="B236" i="10" s="1"/>
  <c r="S49" i="9"/>
  <c r="B162" i="10" s="1"/>
  <c r="Z63" i="9"/>
  <c r="B206" i="10" s="1"/>
  <c r="L68" i="9"/>
  <c r="B151" i="10" s="1"/>
  <c r="L70" i="9"/>
  <c r="B153" i="10" s="1"/>
  <c r="S69" i="9"/>
  <c r="B182" i="10" s="1"/>
  <c r="AG62" i="9"/>
  <c r="B235" i="10" s="1"/>
  <c r="Z53" i="9"/>
  <c r="B196" i="10" s="1"/>
  <c r="S67" i="9"/>
  <c r="B180" i="10" s="1"/>
  <c r="AG61" i="9"/>
  <c r="B234" i="10" s="1"/>
  <c r="L50" i="9"/>
  <c r="B133" i="10" s="1"/>
  <c r="S52" i="9"/>
  <c r="B165" i="10" s="1"/>
  <c r="AG52" i="9"/>
  <c r="B225" i="10" s="1"/>
  <c r="Z52" i="9"/>
  <c r="B195" i="10" s="1"/>
  <c r="S48" i="9"/>
  <c r="B161" i="10" s="1"/>
  <c r="Z60" i="9"/>
  <c r="B203" i="10" s="1"/>
  <c r="S60" i="9"/>
  <c r="B173" i="10" s="1"/>
  <c r="L62" i="9"/>
  <c r="B145" i="10" s="1"/>
  <c r="Z61" i="9"/>
  <c r="B204" i="10" s="1"/>
  <c r="Z70" i="9"/>
  <c r="B213" i="10" s="1"/>
  <c r="Z66" i="9"/>
  <c r="B209" i="10" s="1"/>
  <c r="L60" i="9"/>
  <c r="B143" i="10" s="1"/>
  <c r="L69" i="9"/>
  <c r="B152" i="10" s="1"/>
  <c r="AG64" i="9"/>
  <c r="B237" i="10" s="1"/>
  <c r="AG50" i="9"/>
  <c r="B223" i="10" s="1"/>
  <c r="L67" i="9"/>
  <c r="B150" i="10" s="1"/>
  <c r="S62" i="9"/>
  <c r="B175" i="10" s="1"/>
  <c r="S61" i="9"/>
  <c r="B174" i="10" s="1"/>
  <c r="L64" i="9"/>
  <c r="B147" i="10" s="1"/>
  <c r="AG70" i="9"/>
  <c r="B243" i="10" s="1"/>
  <c r="Z69" i="9"/>
  <c r="B212" i="10" s="1"/>
  <c r="L53" i="9"/>
  <c r="B136" i="10" s="1"/>
  <c r="S65" i="9"/>
  <c r="B178" i="10" s="1"/>
  <c r="D25" i="8"/>
  <c r="D24" i="8" s="1"/>
  <c r="D26" i="8" s="1"/>
  <c r="L52" i="9"/>
  <c r="B135" i="10" s="1"/>
  <c r="S71" i="9"/>
  <c r="B184" i="10" s="1"/>
  <c r="L49" i="9"/>
  <c r="B132" i="10" s="1"/>
  <c r="AG66" i="9"/>
  <c r="B239" i="10" s="1"/>
  <c r="L66" i="9"/>
  <c r="B149" i="10" s="1"/>
  <c r="S63" i="9"/>
  <c r="B176" i="10" s="1"/>
  <c r="S53" i="9"/>
  <c r="B166" i="10" s="1"/>
  <c r="Z50" i="9"/>
  <c r="B193" i="10" s="1"/>
  <c r="S51" i="9"/>
  <c r="B164" i="10" s="1"/>
  <c r="AG53" i="9"/>
  <c r="B226" i="10" s="1"/>
  <c r="AG68" i="9"/>
  <c r="B241" i="10" s="1"/>
  <c r="L71" i="9"/>
  <c r="B154" i="10" s="1"/>
  <c r="AG69" i="9"/>
  <c r="B242" i="10" s="1"/>
  <c r="L48" i="9"/>
  <c r="B131" i="10" s="1"/>
  <c r="AG67" i="9"/>
  <c r="B240" i="10" s="1"/>
  <c r="AG49" i="9"/>
  <c r="B222" i="10" s="1"/>
  <c r="AG60" i="9"/>
  <c r="B233" i="10" s="1"/>
  <c r="L61" i="9"/>
  <c r="B144" i="10" s="1"/>
  <c r="L65" i="9"/>
  <c r="B148" i="10" s="1"/>
  <c r="S70" i="9"/>
  <c r="B183" i="10" s="1"/>
  <c r="L55" i="9"/>
  <c r="B138" i="10" s="1"/>
  <c r="AG55" i="9"/>
  <c r="B228" i="10" s="1"/>
  <c r="S59" i="9"/>
  <c r="B172" i="10" s="1"/>
  <c r="Z58" i="9"/>
  <c r="B201" i="10" s="1"/>
  <c r="S55" i="9"/>
  <c r="B168" i="10" s="1"/>
  <c r="AG57" i="9"/>
  <c r="B230" i="10" s="1"/>
  <c r="AG54" i="9"/>
  <c r="B227" i="10" s="1"/>
  <c r="AG58" i="9"/>
  <c r="B231" i="10" s="1"/>
  <c r="L58" i="9"/>
  <c r="B141" i="10" s="1"/>
  <c r="Z56" i="9"/>
  <c r="B199" i="10" s="1"/>
  <c r="Z54" i="9"/>
  <c r="B197" i="10" s="1"/>
  <c r="L59" i="9"/>
  <c r="B142" i="10" s="1"/>
  <c r="L54" i="9"/>
  <c r="B137" i="10" s="1"/>
  <c r="S54" i="9"/>
  <c r="B167" i="10" s="1"/>
  <c r="AG59" i="9"/>
  <c r="B232" i="10" s="1"/>
  <c r="S56" i="9"/>
  <c r="B169" i="10" s="1"/>
  <c r="Z55" i="9"/>
  <c r="B198" i="10" s="1"/>
  <c r="S58" i="9"/>
  <c r="B171" i="10" s="1"/>
  <c r="L57" i="9"/>
  <c r="B140" i="10" s="1"/>
  <c r="AG56" i="9"/>
  <c r="B229" i="10" s="1"/>
  <c r="Z57" i="9"/>
  <c r="B200" i="10" s="1"/>
  <c r="Z59" i="9"/>
  <c r="B202" i="10" s="1"/>
  <c r="S57" i="9"/>
  <c r="B170" i="10" s="1"/>
  <c r="L56" i="9"/>
  <c r="B139" i="10" s="1"/>
  <c r="D37" i="8"/>
  <c r="D36" i="8" s="1"/>
  <c r="D38" i="8" s="1"/>
  <c r="D49" i="8"/>
  <c r="D48" i="8" s="1"/>
  <c r="D50" i="8" s="1"/>
  <c r="E10" i="8"/>
  <c r="F11" i="8"/>
  <c r="D79" i="3"/>
  <c r="D115" i="3"/>
  <c r="D99" i="3"/>
  <c r="D74" i="3"/>
  <c r="E51" i="5" s="1"/>
  <c r="E5" i="5"/>
  <c r="D84" i="3"/>
  <c r="D82" i="3"/>
  <c r="D101" i="3"/>
  <c r="D105" i="3"/>
  <c r="D124" i="3"/>
  <c r="D36" i="3"/>
  <c r="E13" i="5" s="1"/>
  <c r="D113" i="3"/>
  <c r="D83" i="3"/>
  <c r="D44" i="3"/>
  <c r="E21" i="5" s="1"/>
  <c r="D65" i="3"/>
  <c r="E42" i="5" s="1"/>
  <c r="D68" i="3"/>
  <c r="E45" i="5" s="1"/>
  <c r="D96" i="3"/>
  <c r="D117" i="3"/>
  <c r="D94" i="3"/>
  <c r="D125" i="3"/>
  <c r="D109" i="3"/>
  <c r="D81" i="3"/>
  <c r="D61" i="3"/>
  <c r="E38" i="5" s="1"/>
  <c r="D108" i="3"/>
  <c r="D120" i="3"/>
  <c r="D103" i="3"/>
  <c r="D106" i="3"/>
  <c r="D110" i="3"/>
  <c r="D121" i="3"/>
  <c r="D118" i="3"/>
  <c r="D59" i="3"/>
  <c r="E36" i="5" s="1"/>
  <c r="D92" i="3"/>
  <c r="D53" i="3"/>
  <c r="E30" i="5" s="1"/>
  <c r="D35" i="3"/>
  <c r="E12" i="5" s="1"/>
  <c r="D63" i="3"/>
  <c r="E40" i="5" s="1"/>
  <c r="D38" i="3"/>
  <c r="E15" i="5" s="1"/>
  <c r="D80" i="3"/>
  <c r="D48" i="3"/>
  <c r="E25" i="5" s="1"/>
  <c r="D98" i="3"/>
  <c r="D102" i="3"/>
  <c r="D73" i="3"/>
  <c r="E50" i="5" s="1"/>
  <c r="D70" i="3"/>
  <c r="E47" i="5" s="1"/>
  <c r="D51" i="3"/>
  <c r="E28" i="5" s="1"/>
  <c r="D69" i="3"/>
  <c r="E46" i="5" s="1"/>
  <c r="D43" i="3"/>
  <c r="E20" i="5" s="1"/>
  <c r="D41" i="3"/>
  <c r="E18" i="5" s="1"/>
  <c r="D46" i="3"/>
  <c r="E23" i="5" s="1"/>
  <c r="D75" i="3"/>
  <c r="E52" i="5" s="1"/>
  <c r="D78" i="3"/>
  <c r="D86" i="3"/>
  <c r="D49" i="3"/>
  <c r="E26" i="5" s="1"/>
  <c r="D114" i="3"/>
  <c r="D89" i="3"/>
  <c r="D122" i="3"/>
  <c r="D100" i="3"/>
  <c r="D116" i="3"/>
  <c r="D66" i="3"/>
  <c r="E43" i="5" s="1"/>
  <c r="D58" i="3"/>
  <c r="E35" i="5" s="1"/>
  <c r="D71" i="3"/>
  <c r="E48" i="5" s="1"/>
  <c r="D56" i="3"/>
  <c r="E33" i="5" s="1"/>
  <c r="D104" i="3"/>
  <c r="D60" i="3"/>
  <c r="E37" i="5" s="1"/>
  <c r="D37" i="3"/>
  <c r="E14" i="5" s="1"/>
  <c r="D42" i="3"/>
  <c r="E19" i="5" s="1"/>
  <c r="D97" i="3"/>
  <c r="D55" i="3"/>
  <c r="E32" i="5" s="1"/>
  <c r="D45" i="3"/>
  <c r="E22" i="5" s="1"/>
  <c r="D33" i="3"/>
  <c r="E10" i="5" s="1"/>
  <c r="D88" i="3"/>
  <c r="D87" i="3"/>
  <c r="D40" i="3"/>
  <c r="E17" i="5" s="1"/>
  <c r="D77" i="3"/>
  <c r="E54" i="5" s="1"/>
  <c r="D111" i="3"/>
  <c r="D39" i="3"/>
  <c r="E16" i="5" s="1"/>
  <c r="D126" i="3"/>
  <c r="D91" i="3"/>
  <c r="D31" i="3"/>
  <c r="E8" i="5" s="1"/>
  <c r="D112" i="3"/>
  <c r="D90" i="3"/>
  <c r="D34" i="3"/>
  <c r="E11" i="5" s="1"/>
  <c r="D57" i="3"/>
  <c r="E34" i="5" s="1"/>
  <c r="D72" i="3"/>
  <c r="E49" i="5" s="1"/>
  <c r="D62" i="3"/>
  <c r="E39" i="5" s="1"/>
  <c r="D85" i="3"/>
  <c r="D95" i="3"/>
  <c r="D52" i="3"/>
  <c r="E29" i="5" s="1"/>
  <c r="D64" i="3"/>
  <c r="E41" i="5" s="1"/>
  <c r="D67" i="3"/>
  <c r="E44" i="5" s="1"/>
  <c r="D32" i="3"/>
  <c r="E9" i="5" s="1"/>
  <c r="D107" i="3"/>
  <c r="D76" i="3"/>
  <c r="E53" i="5" s="1"/>
  <c r="D29" i="3"/>
  <c r="E6" i="5" s="1"/>
  <c r="D47" i="3"/>
  <c r="E24" i="5" s="1"/>
  <c r="D30" i="3"/>
  <c r="E7" i="5" s="1"/>
  <c r="D93" i="3"/>
  <c r="D119" i="3"/>
  <c r="D54" i="3"/>
  <c r="E31" i="5" s="1"/>
  <c r="D123" i="3"/>
  <c r="D50" i="3"/>
  <c r="E27" i="5" s="1"/>
  <c r="R27" i="3"/>
  <c r="D7" i="7" l="1"/>
  <c r="R28" i="3"/>
  <c r="D8" i="7" s="1"/>
  <c r="F12" i="8"/>
  <c r="D61" i="8"/>
  <c r="D60" i="8" s="1"/>
  <c r="D62" i="8" s="1"/>
  <c r="E11" i="8"/>
  <c r="F61" i="8"/>
  <c r="F60" i="8" s="1"/>
  <c r="F62" i="8" s="1"/>
  <c r="C61" i="8"/>
  <c r="C60" i="8" s="1"/>
  <c r="C62" i="8" s="1"/>
  <c r="E61" i="8"/>
  <c r="E60" i="8" s="1"/>
  <c r="E62" i="8" s="1"/>
  <c r="AG7" i="9"/>
  <c r="B99" i="10" s="1"/>
  <c r="S3" i="9"/>
  <c r="B35" i="10" s="1"/>
  <c r="Z3" i="9"/>
  <c r="B65" i="10" s="1"/>
  <c r="S4" i="9"/>
  <c r="B36" i="10" s="1"/>
  <c r="AG6" i="9"/>
  <c r="B98" i="10" s="1"/>
  <c r="AG5" i="9"/>
  <c r="B97" i="10" s="1"/>
  <c r="D29" i="8"/>
  <c r="D30" i="8" s="1"/>
  <c r="D31" i="8" s="1"/>
  <c r="D32" i="8" s="1"/>
  <c r="D33" i="8" s="1"/>
  <c r="D34" i="8" s="1"/>
  <c r="L5" i="9"/>
  <c r="B7" i="10" s="1"/>
  <c r="D27" i="8"/>
  <c r="S8" i="9"/>
  <c r="B40" i="10" s="1"/>
  <c r="Z8" i="9"/>
  <c r="B70" i="10" s="1"/>
  <c r="Z4" i="9"/>
  <c r="B66" i="10" s="1"/>
  <c r="S5" i="9"/>
  <c r="B37" i="10" s="1"/>
  <c r="L3" i="9"/>
  <c r="L4" i="9"/>
  <c r="B6" i="10" s="1"/>
  <c r="AG4" i="9"/>
  <c r="B96" i="10" s="1"/>
  <c r="Z5" i="9"/>
  <c r="B67" i="10" s="1"/>
  <c r="Z6" i="9"/>
  <c r="B68" i="10" s="1"/>
  <c r="AG3" i="9"/>
  <c r="B95" i="10" s="1"/>
  <c r="L6" i="9"/>
  <c r="B8" i="10" s="1"/>
  <c r="S6" i="9"/>
  <c r="B38" i="10" s="1"/>
  <c r="Z7" i="9"/>
  <c r="B69" i="10" s="1"/>
  <c r="S7" i="9"/>
  <c r="B39" i="10" s="1"/>
  <c r="L7" i="9"/>
  <c r="B9" i="10" s="1"/>
  <c r="D28" i="8"/>
  <c r="AG8" i="9"/>
  <c r="B100" i="10" s="1"/>
  <c r="L8" i="9"/>
  <c r="B10" i="10" s="1"/>
  <c r="AA15" i="9"/>
  <c r="C75" i="10" s="1"/>
  <c r="M12" i="9"/>
  <c r="C12" i="10" s="1"/>
  <c r="AH13" i="9"/>
  <c r="C103" i="10" s="1"/>
  <c r="AA11" i="9"/>
  <c r="C71" i="10" s="1"/>
  <c r="M15" i="9"/>
  <c r="C15" i="10" s="1"/>
  <c r="AA12" i="9"/>
  <c r="C72" i="10" s="1"/>
  <c r="T11" i="9"/>
  <c r="C41" i="10" s="1"/>
  <c r="T12" i="9"/>
  <c r="C42" i="10" s="1"/>
  <c r="AA16" i="9"/>
  <c r="C76" i="10" s="1"/>
  <c r="AA13" i="9"/>
  <c r="C73" i="10" s="1"/>
  <c r="E39" i="8"/>
  <c r="E40" i="8" s="1"/>
  <c r="E41" i="8" s="1"/>
  <c r="E42" i="8" s="1"/>
  <c r="E43" i="8" s="1"/>
  <c r="E44" i="8" s="1"/>
  <c r="E45" i="8" s="1"/>
  <c r="E46" i="8" s="1"/>
  <c r="AH14" i="9"/>
  <c r="C104" i="10" s="1"/>
  <c r="AA14" i="9"/>
  <c r="C74" i="10" s="1"/>
  <c r="AH12" i="9"/>
  <c r="C102" i="10" s="1"/>
  <c r="T13" i="9"/>
  <c r="C43" i="10" s="1"/>
  <c r="AH16" i="9"/>
  <c r="C106" i="10" s="1"/>
  <c r="AH15" i="9"/>
  <c r="C105" i="10" s="1"/>
  <c r="M11" i="9"/>
  <c r="C11" i="10" s="1"/>
  <c r="T16" i="9"/>
  <c r="C46" i="10" s="1"/>
  <c r="M16" i="9"/>
  <c r="C16" i="10" s="1"/>
  <c r="M13" i="9"/>
  <c r="C13" i="10" s="1"/>
  <c r="T14" i="9"/>
  <c r="C44" i="10" s="1"/>
  <c r="T15" i="9"/>
  <c r="C45" i="10" s="1"/>
  <c r="AH11" i="9"/>
  <c r="C101" i="10" s="1"/>
  <c r="M14" i="9"/>
  <c r="C14" i="10" s="1"/>
  <c r="F60" i="3"/>
  <c r="H37" i="5" s="1"/>
  <c r="F56" i="3"/>
  <c r="H33" i="5" s="1"/>
  <c r="F65" i="3"/>
  <c r="H42" i="5" s="1"/>
  <c r="F80" i="3"/>
  <c r="F57" i="3"/>
  <c r="H34" i="5" s="1"/>
  <c r="F110" i="3"/>
  <c r="F53" i="3"/>
  <c r="H30" i="5" s="1"/>
  <c r="F95" i="3"/>
  <c r="F36" i="3"/>
  <c r="H13" i="5" s="1"/>
  <c r="F74" i="3"/>
  <c r="H51" i="5" s="1"/>
  <c r="F81" i="3"/>
  <c r="F31" i="3"/>
  <c r="H8" i="5" s="1"/>
  <c r="F108" i="3"/>
  <c r="F88" i="3"/>
  <c r="F113" i="3"/>
  <c r="F92" i="3"/>
  <c r="F30" i="3"/>
  <c r="H7" i="5" s="1"/>
  <c r="F61" i="3"/>
  <c r="H38" i="5" s="1"/>
  <c r="F111" i="3"/>
  <c r="F106" i="3"/>
  <c r="F48" i="3"/>
  <c r="H25" i="5" s="1"/>
  <c r="F104" i="3"/>
  <c r="F118" i="3"/>
  <c r="F64" i="3"/>
  <c r="H41" i="5" s="1"/>
  <c r="F46" i="3"/>
  <c r="H23" i="5" s="1"/>
  <c r="E7" i="7"/>
  <c r="S28" i="3"/>
  <c r="E8" i="7" s="1"/>
  <c r="AB21" i="9"/>
  <c r="E79" i="10" s="1"/>
  <c r="F51" i="8"/>
  <c r="F55" i="8"/>
  <c r="U19" i="9"/>
  <c r="E47" i="10" s="1"/>
  <c r="AI24" i="9"/>
  <c r="E112" i="10" s="1"/>
  <c r="AI23" i="9"/>
  <c r="E111" i="10" s="1"/>
  <c r="U23" i="9"/>
  <c r="E51" i="10" s="1"/>
  <c r="AB23" i="9"/>
  <c r="E81" i="10" s="1"/>
  <c r="N23" i="9"/>
  <c r="E21" i="10" s="1"/>
  <c r="U24" i="9"/>
  <c r="E52" i="10" s="1"/>
  <c r="U20" i="9"/>
  <c r="E48" i="10" s="1"/>
  <c r="AI20" i="9"/>
  <c r="E108" i="10" s="1"/>
  <c r="AB22" i="9"/>
  <c r="E80" i="10" s="1"/>
  <c r="AI22" i="9"/>
  <c r="E110" i="10" s="1"/>
  <c r="N20" i="9"/>
  <c r="E18" i="10" s="1"/>
  <c r="N21" i="9"/>
  <c r="E19" i="10" s="1"/>
  <c r="F53" i="8"/>
  <c r="AB19" i="9"/>
  <c r="E77" i="10" s="1"/>
  <c r="AI21" i="9"/>
  <c r="E109" i="10" s="1"/>
  <c r="N22" i="9"/>
  <c r="E20" i="10" s="1"/>
  <c r="U21" i="9"/>
  <c r="E49" i="10" s="1"/>
  <c r="AB20" i="9"/>
  <c r="E78" i="10" s="1"/>
  <c r="AI19" i="9"/>
  <c r="E107" i="10" s="1"/>
  <c r="AB24" i="9"/>
  <c r="E82" i="10" s="1"/>
  <c r="N24" i="9"/>
  <c r="E22" i="10" s="1"/>
  <c r="U22" i="9"/>
  <c r="E50" i="10" s="1"/>
  <c r="N19" i="9"/>
  <c r="E17" i="10" s="1"/>
  <c r="F54" i="8"/>
  <c r="F56" i="8"/>
  <c r="F57" i="8" s="1"/>
  <c r="F58" i="8" s="1"/>
  <c r="F52" i="8"/>
  <c r="E197" i="10"/>
  <c r="E203" i="10"/>
  <c r="E198" i="10"/>
  <c r="E204" i="10"/>
  <c r="E206" i="10"/>
  <c r="E200" i="10"/>
  <c r="Q28" i="3"/>
  <c r="C8" i="7" s="1"/>
  <c r="C7" i="7"/>
  <c r="K24" i="9"/>
  <c r="F22" i="10" s="1"/>
  <c r="AF20" i="9"/>
  <c r="F108" i="10" s="1"/>
  <c r="R23" i="9"/>
  <c r="F51" i="10" s="1"/>
  <c r="R24" i="9"/>
  <c r="F52" i="10" s="1"/>
  <c r="Y24" i="9"/>
  <c r="F82" i="10" s="1"/>
  <c r="Y21" i="9"/>
  <c r="F79" i="10" s="1"/>
  <c r="AF24" i="9"/>
  <c r="F112" i="10" s="1"/>
  <c r="K21" i="9"/>
  <c r="F19" i="10" s="1"/>
  <c r="R20" i="9"/>
  <c r="F48" i="10" s="1"/>
  <c r="AF22" i="9"/>
  <c r="F110" i="10" s="1"/>
  <c r="K22" i="9"/>
  <c r="F20" i="10" s="1"/>
  <c r="AF19" i="9"/>
  <c r="F107" i="10" s="1"/>
  <c r="K23" i="9"/>
  <c r="F21" i="10" s="1"/>
  <c r="Y23" i="9"/>
  <c r="F81" i="10" s="1"/>
  <c r="R19" i="9"/>
  <c r="F47" i="10" s="1"/>
  <c r="AF21" i="9"/>
  <c r="F109" i="10" s="1"/>
  <c r="AF23" i="9"/>
  <c r="F111" i="10" s="1"/>
  <c r="R21" i="9"/>
  <c r="F49" i="10" s="1"/>
  <c r="Y20" i="9"/>
  <c r="F78" i="10" s="1"/>
  <c r="K19" i="9"/>
  <c r="F17" i="10" s="1"/>
  <c r="Y19" i="9"/>
  <c r="F77" i="10" s="1"/>
  <c r="R22" i="9"/>
  <c r="F50" i="10" s="1"/>
  <c r="Y22" i="9"/>
  <c r="F80" i="10" s="1"/>
  <c r="K20" i="9"/>
  <c r="F18" i="10" s="1"/>
  <c r="C51" i="8"/>
  <c r="C52" i="8" s="1"/>
  <c r="C53" i="8" s="1"/>
  <c r="C54" i="8" s="1"/>
  <c r="C55" i="8" s="1"/>
  <c r="C56" i="8" s="1"/>
  <c r="C57" i="8" s="1"/>
  <c r="C58" i="8" s="1"/>
  <c r="F206" i="10"/>
  <c r="F200" i="10"/>
  <c r="AH46" i="9"/>
  <c r="C219" i="10" s="1"/>
  <c r="AH47" i="9"/>
  <c r="C220" i="10" s="1"/>
  <c r="T43" i="9"/>
  <c r="C156" i="10" s="1"/>
  <c r="AA44" i="9"/>
  <c r="C187" i="10" s="1"/>
  <c r="M45" i="9"/>
  <c r="C128" i="10" s="1"/>
  <c r="AH45" i="9"/>
  <c r="C218" i="10" s="1"/>
  <c r="AA46" i="9"/>
  <c r="C189" i="10" s="1"/>
  <c r="T46" i="9"/>
  <c r="C159" i="10" s="1"/>
  <c r="M43" i="9"/>
  <c r="C126" i="10" s="1"/>
  <c r="T45" i="9"/>
  <c r="C158" i="10" s="1"/>
  <c r="AA42" i="9"/>
  <c r="C185" i="10" s="1"/>
  <c r="AA47" i="9"/>
  <c r="C190" i="10" s="1"/>
  <c r="AH42" i="9"/>
  <c r="C215" i="10" s="1"/>
  <c r="M47" i="9"/>
  <c r="C130" i="10" s="1"/>
  <c r="M44" i="9"/>
  <c r="C127" i="10" s="1"/>
  <c r="M46" i="9"/>
  <c r="C129" i="10" s="1"/>
  <c r="T42" i="9"/>
  <c r="C155" i="10" s="1"/>
  <c r="AH43" i="9"/>
  <c r="C216" i="10" s="1"/>
  <c r="AH44" i="9"/>
  <c r="C217" i="10" s="1"/>
  <c r="T44" i="9"/>
  <c r="C157" i="10" s="1"/>
  <c r="AA45" i="9"/>
  <c r="C188" i="10" s="1"/>
  <c r="AA43" i="9"/>
  <c r="C186" i="10" s="1"/>
  <c r="M42" i="9"/>
  <c r="T47" i="9"/>
  <c r="C160" i="10" s="1"/>
  <c r="F51" i="3"/>
  <c r="H28" i="5" s="1"/>
  <c r="F42" i="3"/>
  <c r="H19" i="5" s="1"/>
  <c r="F114" i="3"/>
  <c r="F52" i="3"/>
  <c r="H29" i="5" s="1"/>
  <c r="F112" i="3"/>
  <c r="F93" i="3"/>
  <c r="F100" i="3"/>
  <c r="F85" i="3"/>
  <c r="F37" i="3"/>
  <c r="H14" i="5" s="1"/>
  <c r="F109" i="3"/>
  <c r="F122" i="3"/>
  <c r="F40" i="3"/>
  <c r="H17" i="5" s="1"/>
  <c r="F91" i="3"/>
  <c r="F68" i="3"/>
  <c r="H45" i="5" s="1"/>
  <c r="F101" i="3"/>
  <c r="F123" i="3"/>
  <c r="F76" i="3"/>
  <c r="H53" i="5" s="1"/>
  <c r="F33" i="3"/>
  <c r="H10" i="5" s="1"/>
  <c r="F120" i="3"/>
  <c r="F54" i="3"/>
  <c r="H31" i="5" s="1"/>
  <c r="F97" i="3"/>
  <c r="F38" i="3"/>
  <c r="H15" i="5" s="1"/>
  <c r="F98" i="3"/>
  <c r="F86" i="3"/>
  <c r="F126" i="3"/>
  <c r="E43" i="3"/>
  <c r="F20" i="5" s="1"/>
  <c r="E85" i="3"/>
  <c r="E34" i="3"/>
  <c r="F11" i="5" s="1"/>
  <c r="E36" i="3"/>
  <c r="F13" i="5" s="1"/>
  <c r="E47" i="3"/>
  <c r="F24" i="5" s="1"/>
  <c r="E98" i="3"/>
  <c r="E81" i="3"/>
  <c r="E97" i="3"/>
  <c r="E115" i="3"/>
  <c r="E111" i="3"/>
  <c r="E63" i="3"/>
  <c r="F40" i="5" s="1"/>
  <c r="E57" i="3"/>
  <c r="F34" i="5" s="1"/>
  <c r="E87" i="3"/>
  <c r="E120" i="3"/>
  <c r="E64" i="3"/>
  <c r="F41" i="5" s="1"/>
  <c r="E31" i="3"/>
  <c r="F8" i="5" s="1"/>
  <c r="E52" i="3"/>
  <c r="F29" i="5" s="1"/>
  <c r="E70" i="3"/>
  <c r="F47" i="5" s="1"/>
  <c r="E99" i="3"/>
  <c r="E109" i="3"/>
  <c r="E86" i="3"/>
  <c r="E37" i="3"/>
  <c r="F14" i="5" s="1"/>
  <c r="E35" i="3"/>
  <c r="F12" i="5" s="1"/>
  <c r="E104" i="3"/>
  <c r="E88" i="3"/>
  <c r="N15" i="9"/>
  <c r="E15" i="10" s="1"/>
  <c r="U11" i="9"/>
  <c r="E41" i="10" s="1"/>
  <c r="N14" i="9"/>
  <c r="E14" i="10" s="1"/>
  <c r="AI13" i="9"/>
  <c r="E103" i="10" s="1"/>
  <c r="AI15" i="9"/>
  <c r="E105" i="10" s="1"/>
  <c r="U16" i="9"/>
  <c r="E46" i="10" s="1"/>
  <c r="AB15" i="9"/>
  <c r="E75" i="10" s="1"/>
  <c r="N12" i="9"/>
  <c r="E12" i="10" s="1"/>
  <c r="U14" i="9"/>
  <c r="E44" i="10" s="1"/>
  <c r="AB14" i="9"/>
  <c r="E74" i="10" s="1"/>
  <c r="AI14" i="9"/>
  <c r="E104" i="10" s="1"/>
  <c r="AI12" i="9"/>
  <c r="E102" i="10" s="1"/>
  <c r="F39" i="8"/>
  <c r="F40" i="8" s="1"/>
  <c r="F41" i="8" s="1"/>
  <c r="F42" i="8" s="1"/>
  <c r="F43" i="8" s="1"/>
  <c r="F44" i="8" s="1"/>
  <c r="F45" i="8" s="1"/>
  <c r="F46" i="8" s="1"/>
  <c r="AB16" i="9"/>
  <c r="E76" i="10" s="1"/>
  <c r="N16" i="9"/>
  <c r="E16" i="10" s="1"/>
  <c r="AB12" i="9"/>
  <c r="E72" i="10" s="1"/>
  <c r="U12" i="9"/>
  <c r="E42" i="10" s="1"/>
  <c r="N11" i="9"/>
  <c r="E11" i="10" s="1"/>
  <c r="N13" i="9"/>
  <c r="E13" i="10" s="1"/>
  <c r="U13" i="9"/>
  <c r="E43" i="10" s="1"/>
  <c r="AI11" i="9"/>
  <c r="E101" i="10" s="1"/>
  <c r="AB13" i="9"/>
  <c r="E73" i="10" s="1"/>
  <c r="U15" i="9"/>
  <c r="E45" i="10" s="1"/>
  <c r="AB11" i="9"/>
  <c r="E71" i="10" s="1"/>
  <c r="AI16" i="9"/>
  <c r="E106" i="10" s="1"/>
  <c r="E201" i="10"/>
  <c r="E207" i="10"/>
  <c r="U45" i="9"/>
  <c r="E158" i="10" s="1"/>
  <c r="AI46" i="9"/>
  <c r="E219" i="10" s="1"/>
  <c r="U44" i="9"/>
  <c r="E157" i="10" s="1"/>
  <c r="U46" i="9"/>
  <c r="E159" i="10" s="1"/>
  <c r="AI43" i="9"/>
  <c r="E216" i="10" s="1"/>
  <c r="AB43" i="9"/>
  <c r="E186" i="10" s="1"/>
  <c r="U47" i="9"/>
  <c r="E160" i="10" s="1"/>
  <c r="N47" i="9"/>
  <c r="E130" i="10" s="1"/>
  <c r="AB44" i="9"/>
  <c r="E187" i="10" s="1"/>
  <c r="AI47" i="9"/>
  <c r="E220" i="10" s="1"/>
  <c r="AB46" i="9"/>
  <c r="E189" i="10" s="1"/>
  <c r="AI42" i="9"/>
  <c r="E215" i="10" s="1"/>
  <c r="N46" i="9"/>
  <c r="E129" i="10" s="1"/>
  <c r="N43" i="9"/>
  <c r="E126" i="10" s="1"/>
  <c r="AB42" i="9"/>
  <c r="E185" i="10" s="1"/>
  <c r="N42" i="9"/>
  <c r="E125" i="10" s="1"/>
  <c r="AI45" i="9"/>
  <c r="E218" i="10" s="1"/>
  <c r="AB47" i="9"/>
  <c r="E190" i="10" s="1"/>
  <c r="AB45" i="9"/>
  <c r="E188" i="10" s="1"/>
  <c r="N44" i="9"/>
  <c r="AI44" i="9"/>
  <c r="E217" i="10" s="1"/>
  <c r="N45" i="9"/>
  <c r="E128" i="10" s="1"/>
  <c r="U43" i="9"/>
  <c r="E156" i="10" s="1"/>
  <c r="U42" i="9"/>
  <c r="E155" i="10" s="1"/>
  <c r="F27" i="8"/>
  <c r="F28" i="8" s="1"/>
  <c r="F29" i="8" s="1"/>
  <c r="F30" i="8" s="1"/>
  <c r="F31" i="8" s="1"/>
  <c r="F32" i="8" s="1"/>
  <c r="F33" i="8" s="1"/>
  <c r="F34" i="8" s="1"/>
  <c r="N7" i="9"/>
  <c r="E9" i="10" s="1"/>
  <c r="U6" i="9"/>
  <c r="E38" i="10" s="1"/>
  <c r="AB7" i="9"/>
  <c r="E69" i="10" s="1"/>
  <c r="AB3" i="9"/>
  <c r="E65" i="10" s="1"/>
  <c r="N3" i="9"/>
  <c r="E5" i="10" s="1"/>
  <c r="AI3" i="9"/>
  <c r="E95" i="10" s="1"/>
  <c r="AI7" i="9"/>
  <c r="E99" i="10" s="1"/>
  <c r="U7" i="9"/>
  <c r="E39" i="10" s="1"/>
  <c r="AI8" i="9"/>
  <c r="E100" i="10" s="1"/>
  <c r="U5" i="9"/>
  <c r="E37" i="10" s="1"/>
  <c r="N8" i="9"/>
  <c r="E10" i="10" s="1"/>
  <c r="U4" i="9"/>
  <c r="E36" i="10" s="1"/>
  <c r="AB5" i="9"/>
  <c r="E67" i="10" s="1"/>
  <c r="N4" i="9"/>
  <c r="E6" i="10" s="1"/>
  <c r="U3" i="9"/>
  <c r="E35" i="10" s="1"/>
  <c r="U8" i="9"/>
  <c r="E40" i="10" s="1"/>
  <c r="AB4" i="9"/>
  <c r="E66" i="10" s="1"/>
  <c r="AI5" i="9"/>
  <c r="E97" i="10" s="1"/>
  <c r="AI6" i="9"/>
  <c r="E98" i="10" s="1"/>
  <c r="AB8" i="9"/>
  <c r="E70" i="10" s="1"/>
  <c r="N6" i="9"/>
  <c r="E8" i="10" s="1"/>
  <c r="N5" i="9"/>
  <c r="E7" i="10" s="1"/>
  <c r="AB6" i="9"/>
  <c r="E68" i="10" s="1"/>
  <c r="AI4" i="9"/>
  <c r="E96" i="10" s="1"/>
  <c r="K11" i="9"/>
  <c r="F11" i="10" s="1"/>
  <c r="K14" i="9"/>
  <c r="F14" i="10" s="1"/>
  <c r="R16" i="9"/>
  <c r="F46" i="10" s="1"/>
  <c r="AF14" i="9"/>
  <c r="F104" i="10" s="1"/>
  <c r="Y11" i="9"/>
  <c r="F71" i="10" s="1"/>
  <c r="AF11" i="9"/>
  <c r="F101" i="10" s="1"/>
  <c r="R14" i="9"/>
  <c r="F44" i="10" s="1"/>
  <c r="K15" i="9"/>
  <c r="F15" i="10" s="1"/>
  <c r="AF15" i="9"/>
  <c r="F105" i="10" s="1"/>
  <c r="AF12" i="9"/>
  <c r="F102" i="10" s="1"/>
  <c r="K12" i="9"/>
  <c r="F12" i="10" s="1"/>
  <c r="R13" i="9"/>
  <c r="F43" i="10" s="1"/>
  <c r="K13" i="9"/>
  <c r="F13" i="10" s="1"/>
  <c r="R12" i="9"/>
  <c r="F42" i="10" s="1"/>
  <c r="R11" i="9"/>
  <c r="F41" i="10" s="1"/>
  <c r="C39" i="8"/>
  <c r="C40" i="8" s="1"/>
  <c r="C41" i="8" s="1"/>
  <c r="C42" i="8" s="1"/>
  <c r="C43" i="8" s="1"/>
  <c r="C44" i="8" s="1"/>
  <c r="C45" i="8" s="1"/>
  <c r="C46" i="8" s="1"/>
  <c r="R15" i="9"/>
  <c r="F45" i="10" s="1"/>
  <c r="Y15" i="9"/>
  <c r="F75" i="10" s="1"/>
  <c r="K16" i="9"/>
  <c r="F16" i="10" s="1"/>
  <c r="AF13" i="9"/>
  <c r="F103" i="10" s="1"/>
  <c r="Y13" i="9"/>
  <c r="F73" i="10" s="1"/>
  <c r="AF16" i="9"/>
  <c r="F106" i="10" s="1"/>
  <c r="Y12" i="9"/>
  <c r="F72" i="10" s="1"/>
  <c r="Y14" i="9"/>
  <c r="F74" i="10" s="1"/>
  <c r="Y16" i="9"/>
  <c r="F76" i="10" s="1"/>
  <c r="F199" i="10"/>
  <c r="F205" i="10"/>
  <c r="F208" i="10"/>
  <c r="F202" i="10"/>
  <c r="R4" i="9"/>
  <c r="F36" i="10" s="1"/>
  <c r="Y7" i="9"/>
  <c r="F69" i="10" s="1"/>
  <c r="Y5" i="9"/>
  <c r="F67" i="10" s="1"/>
  <c r="R3" i="9"/>
  <c r="F35" i="10" s="1"/>
  <c r="AF7" i="9"/>
  <c r="F99" i="10" s="1"/>
  <c r="Y6" i="9"/>
  <c r="F68" i="10" s="1"/>
  <c r="R6" i="9"/>
  <c r="F38" i="10" s="1"/>
  <c r="K5" i="9"/>
  <c r="F7" i="10" s="1"/>
  <c r="AF4" i="9"/>
  <c r="F96" i="10" s="1"/>
  <c r="Y3" i="9"/>
  <c r="F65" i="10" s="1"/>
  <c r="Y4" i="9"/>
  <c r="F66" i="10" s="1"/>
  <c r="R5" i="9"/>
  <c r="F37" i="10" s="1"/>
  <c r="R8" i="9"/>
  <c r="F40" i="10" s="1"/>
  <c r="Y8" i="9"/>
  <c r="F70" i="10" s="1"/>
  <c r="R7" i="9"/>
  <c r="F39" i="10" s="1"/>
  <c r="K3" i="9"/>
  <c r="F5" i="10" s="1"/>
  <c r="AF5" i="9"/>
  <c r="F97" i="10" s="1"/>
  <c r="K7" i="9"/>
  <c r="F9" i="10" s="1"/>
  <c r="AF6" i="9"/>
  <c r="F98" i="10" s="1"/>
  <c r="K8" i="9"/>
  <c r="F10" i="10" s="1"/>
  <c r="AF3" i="9"/>
  <c r="F95" i="10" s="1"/>
  <c r="K4" i="9"/>
  <c r="F6" i="10" s="1"/>
  <c r="K6" i="9"/>
  <c r="F8" i="10" s="1"/>
  <c r="C27" i="8"/>
  <c r="C28" i="8" s="1"/>
  <c r="C29" i="8" s="1"/>
  <c r="C30" i="8" s="1"/>
  <c r="C31" i="8" s="1"/>
  <c r="C32" i="8" s="1"/>
  <c r="C33" i="8" s="1"/>
  <c r="C34" i="8" s="1"/>
  <c r="AF8" i="9"/>
  <c r="F100" i="10" s="1"/>
  <c r="K45" i="9"/>
  <c r="F128" i="10" s="1"/>
  <c r="K47" i="9"/>
  <c r="F130" i="10" s="1"/>
  <c r="R47" i="9"/>
  <c r="F160" i="10" s="1"/>
  <c r="AF43" i="9"/>
  <c r="F216" i="10" s="1"/>
  <c r="R43" i="9"/>
  <c r="F156" i="10" s="1"/>
  <c r="Y43" i="9"/>
  <c r="F186" i="10" s="1"/>
  <c r="Y47" i="9"/>
  <c r="F190" i="10" s="1"/>
  <c r="Y46" i="9"/>
  <c r="F189" i="10" s="1"/>
  <c r="K44" i="9"/>
  <c r="F127" i="10" s="1"/>
  <c r="R44" i="9"/>
  <c r="F157" i="10" s="1"/>
  <c r="AF47" i="9"/>
  <c r="F220" i="10" s="1"/>
  <c r="AF42" i="9"/>
  <c r="F215" i="10" s="1"/>
  <c r="AF44" i="9"/>
  <c r="F217" i="10" s="1"/>
  <c r="AF46" i="9"/>
  <c r="F219" i="10" s="1"/>
  <c r="R42" i="9"/>
  <c r="F155" i="10" s="1"/>
  <c r="AF45" i="9"/>
  <c r="F218" i="10" s="1"/>
  <c r="R46" i="9"/>
  <c r="F159" i="10" s="1"/>
  <c r="K42" i="9"/>
  <c r="F125" i="10" s="1"/>
  <c r="Y44" i="9"/>
  <c r="F187" i="10" s="1"/>
  <c r="Y45" i="9"/>
  <c r="F188" i="10" s="1"/>
  <c r="K46" i="9"/>
  <c r="F129" i="10" s="1"/>
  <c r="Y42" i="9"/>
  <c r="F185" i="10" s="1"/>
  <c r="R45" i="9"/>
  <c r="F158" i="10" s="1"/>
  <c r="K43" i="9"/>
  <c r="Z21" i="9"/>
  <c r="B79" i="10" s="1"/>
  <c r="L24" i="9"/>
  <c r="B22" i="10" s="1"/>
  <c r="Z20" i="9"/>
  <c r="B78" i="10" s="1"/>
  <c r="S20" i="9"/>
  <c r="B48" i="10" s="1"/>
  <c r="AG20" i="9"/>
  <c r="B108" i="10" s="1"/>
  <c r="D51" i="8"/>
  <c r="D52" i="8" s="1"/>
  <c r="D53" i="8" s="1"/>
  <c r="D54" i="8" s="1"/>
  <c r="D55" i="8" s="1"/>
  <c r="D56" i="8" s="1"/>
  <c r="D57" i="8" s="1"/>
  <c r="D58" i="8" s="1"/>
  <c r="S24" i="9"/>
  <c r="B52" i="10" s="1"/>
  <c r="L19" i="9"/>
  <c r="B17" i="10" s="1"/>
  <c r="L23" i="9"/>
  <c r="B21" i="10" s="1"/>
  <c r="Z24" i="9"/>
  <c r="B82" i="10" s="1"/>
  <c r="S22" i="9"/>
  <c r="B50" i="10" s="1"/>
  <c r="AG24" i="9"/>
  <c r="B112" i="10" s="1"/>
  <c r="L21" i="9"/>
  <c r="B19" i="10" s="1"/>
  <c r="Z22" i="9"/>
  <c r="B80" i="10" s="1"/>
  <c r="Z19" i="9"/>
  <c r="B77" i="10" s="1"/>
  <c r="S21" i="9"/>
  <c r="B49" i="10" s="1"/>
  <c r="L22" i="9"/>
  <c r="B20" i="10" s="1"/>
  <c r="AG21" i="9"/>
  <c r="B109" i="10" s="1"/>
  <c r="S23" i="9"/>
  <c r="B51" i="10" s="1"/>
  <c r="AG23" i="9"/>
  <c r="B111" i="10" s="1"/>
  <c r="Z23" i="9"/>
  <c r="B81" i="10" s="1"/>
  <c r="AG22" i="9"/>
  <c r="B110" i="10" s="1"/>
  <c r="L20" i="9"/>
  <c r="B18" i="10" s="1"/>
  <c r="AG19" i="9"/>
  <c r="B107" i="10" s="1"/>
  <c r="S19" i="9"/>
  <c r="B47" i="10" s="1"/>
  <c r="T6" i="9"/>
  <c r="C38" i="10" s="1"/>
  <c r="T4" i="9"/>
  <c r="C36" i="10" s="1"/>
  <c r="AH8" i="9"/>
  <c r="C100" i="10" s="1"/>
  <c r="AH4" i="9"/>
  <c r="C96" i="10" s="1"/>
  <c r="E27" i="8"/>
  <c r="E31" i="8"/>
  <c r="M5" i="9"/>
  <c r="C7" i="10" s="1"/>
  <c r="AA4" i="9"/>
  <c r="C66" i="10" s="1"/>
  <c r="T3" i="9"/>
  <c r="C35" i="10" s="1"/>
  <c r="M3" i="9"/>
  <c r="C5" i="10" s="1"/>
  <c r="M8" i="9"/>
  <c r="C10" i="10" s="1"/>
  <c r="AA7" i="9"/>
  <c r="C69" i="10" s="1"/>
  <c r="M6" i="9"/>
  <c r="C8" i="10" s="1"/>
  <c r="M7" i="9"/>
  <c r="C9" i="10" s="1"/>
  <c r="AH5" i="9"/>
  <c r="C97" i="10" s="1"/>
  <c r="T7" i="9"/>
  <c r="C39" i="10" s="1"/>
  <c r="T8" i="9"/>
  <c r="C40" i="10" s="1"/>
  <c r="AH7" i="9"/>
  <c r="C99" i="10" s="1"/>
  <c r="AA5" i="9"/>
  <c r="C67" i="10" s="1"/>
  <c r="E29" i="8"/>
  <c r="AA3" i="9"/>
  <c r="C65" i="10" s="1"/>
  <c r="AA8" i="9"/>
  <c r="C70" i="10" s="1"/>
  <c r="M4" i="9"/>
  <c r="C6" i="10" s="1"/>
  <c r="AH3" i="9"/>
  <c r="C95" i="10" s="1"/>
  <c r="AA6" i="9"/>
  <c r="C68" i="10" s="1"/>
  <c r="AH6" i="9"/>
  <c r="C98" i="10" s="1"/>
  <c r="T5" i="9"/>
  <c r="C37" i="10" s="1"/>
  <c r="E28" i="8"/>
  <c r="E32" i="8"/>
  <c r="E33" i="8" s="1"/>
  <c r="E34" i="8" s="1"/>
  <c r="E30" i="8"/>
  <c r="F82" i="3"/>
  <c r="F35" i="3"/>
  <c r="H12" i="5" s="1"/>
  <c r="F90" i="3"/>
  <c r="F39" i="3"/>
  <c r="H16" i="5" s="1"/>
  <c r="F77" i="3"/>
  <c r="H54" i="5" s="1"/>
  <c r="F89" i="3"/>
  <c r="F125" i="3"/>
  <c r="F59" i="3"/>
  <c r="H36" i="5" s="1"/>
  <c r="F87" i="3"/>
  <c r="F32" i="3"/>
  <c r="H9" i="5" s="1"/>
  <c r="F103" i="3"/>
  <c r="F62" i="3"/>
  <c r="H39" i="5" s="1"/>
  <c r="F116" i="3"/>
  <c r="F102" i="3"/>
  <c r="F63" i="3"/>
  <c r="H40" i="5" s="1"/>
  <c r="F84" i="3"/>
  <c r="F34" i="3"/>
  <c r="H11" i="5" s="1"/>
  <c r="F55" i="3"/>
  <c r="H32" i="5" s="1"/>
  <c r="F66" i="3"/>
  <c r="H43" i="5" s="1"/>
  <c r="F115" i="3"/>
  <c r="F47" i="3"/>
  <c r="H24" i="5" s="1"/>
  <c r="F79" i="3"/>
  <c r="F124" i="3"/>
  <c r="F83" i="3"/>
  <c r="E199" i="10"/>
  <c r="E205" i="10"/>
  <c r="E202" i="10"/>
  <c r="E208" i="10"/>
  <c r="F198" i="10"/>
  <c r="F204" i="10"/>
  <c r="F203" i="10"/>
  <c r="F197" i="10"/>
  <c r="AG12" i="9"/>
  <c r="B102" i="10" s="1"/>
  <c r="D39" i="8"/>
  <c r="D40" i="8" s="1"/>
  <c r="D41" i="8" s="1"/>
  <c r="D42" i="8" s="1"/>
  <c r="D43" i="8" s="1"/>
  <c r="D44" i="8" s="1"/>
  <c r="D45" i="8" s="1"/>
  <c r="D46" i="8" s="1"/>
  <c r="Z15" i="9"/>
  <c r="B75" i="10" s="1"/>
  <c r="Z14" i="9"/>
  <c r="B74" i="10" s="1"/>
  <c r="Z12" i="9"/>
  <c r="B72" i="10" s="1"/>
  <c r="L15" i="9"/>
  <c r="B15" i="10" s="1"/>
  <c r="Z11" i="9"/>
  <c r="B71" i="10" s="1"/>
  <c r="S13" i="9"/>
  <c r="B43" i="10" s="1"/>
  <c r="L12" i="9"/>
  <c r="B12" i="10" s="1"/>
  <c r="L11" i="9"/>
  <c r="B11" i="10" s="1"/>
  <c r="AG11" i="9"/>
  <c r="B101" i="10" s="1"/>
  <c r="S12" i="9"/>
  <c r="B42" i="10" s="1"/>
  <c r="AG13" i="9"/>
  <c r="B103" i="10" s="1"/>
  <c r="S16" i="9"/>
  <c r="B46" i="10" s="1"/>
  <c r="L14" i="9"/>
  <c r="B14" i="10" s="1"/>
  <c r="S14" i="9"/>
  <c r="B44" i="10" s="1"/>
  <c r="S15" i="9"/>
  <c r="B45" i="10" s="1"/>
  <c r="L13" i="9"/>
  <c r="B13" i="10" s="1"/>
  <c r="L16" i="9"/>
  <c r="B16" i="10" s="1"/>
  <c r="AG14" i="9"/>
  <c r="B104" i="10" s="1"/>
  <c r="Z16" i="9"/>
  <c r="B76" i="10" s="1"/>
  <c r="AG16" i="9"/>
  <c r="B106" i="10" s="1"/>
  <c r="AG15" i="9"/>
  <c r="B105" i="10" s="1"/>
  <c r="Z13" i="9"/>
  <c r="B73" i="10" s="1"/>
  <c r="S11" i="9"/>
  <c r="B41" i="10" s="1"/>
  <c r="AG42" i="9"/>
  <c r="B215" i="10" s="1"/>
  <c r="S45" i="9"/>
  <c r="B158" i="10" s="1"/>
  <c r="S43" i="9"/>
  <c r="B156" i="10" s="1"/>
  <c r="L45" i="9"/>
  <c r="B128" i="10" s="1"/>
  <c r="AG45" i="9"/>
  <c r="B218" i="10" s="1"/>
  <c r="AG43" i="9"/>
  <c r="B216" i="10" s="1"/>
  <c r="Z43" i="9"/>
  <c r="B186" i="10" s="1"/>
  <c r="Z44" i="9"/>
  <c r="B187" i="10" s="1"/>
  <c r="L46" i="9"/>
  <c r="B129" i="10" s="1"/>
  <c r="Z42" i="9"/>
  <c r="B185" i="10" s="1"/>
  <c r="Z45" i="9"/>
  <c r="B188" i="10" s="1"/>
  <c r="Z47" i="9"/>
  <c r="B190" i="10" s="1"/>
  <c r="L47" i="9"/>
  <c r="B130" i="10" s="1"/>
  <c r="AG47" i="9"/>
  <c r="B220" i="10" s="1"/>
  <c r="S47" i="9"/>
  <c r="B160" i="10" s="1"/>
  <c r="S42" i="9"/>
  <c r="B155" i="10" s="1"/>
  <c r="Z46" i="9"/>
  <c r="B189" i="10" s="1"/>
  <c r="L42" i="9"/>
  <c r="S44" i="9"/>
  <c r="B157" i="10" s="1"/>
  <c r="L44" i="9"/>
  <c r="B127" i="10" s="1"/>
  <c r="AG46" i="9"/>
  <c r="B219" i="10" s="1"/>
  <c r="AG44" i="9"/>
  <c r="B217" i="10" s="1"/>
  <c r="S46" i="9"/>
  <c r="B159" i="10" s="1"/>
  <c r="L43" i="9"/>
  <c r="B126" i="10" s="1"/>
  <c r="M21" i="9"/>
  <c r="C19" i="10" s="1"/>
  <c r="AH22" i="9"/>
  <c r="C110" i="10" s="1"/>
  <c r="AH23" i="9"/>
  <c r="C111" i="10" s="1"/>
  <c r="AA21" i="9"/>
  <c r="C79" i="10" s="1"/>
  <c r="AA23" i="9"/>
  <c r="C81" i="10" s="1"/>
  <c r="AA24" i="9"/>
  <c r="C82" i="10" s="1"/>
  <c r="AH19" i="9"/>
  <c r="C107" i="10" s="1"/>
  <c r="AH20" i="9"/>
  <c r="C108" i="10" s="1"/>
  <c r="AA22" i="9"/>
  <c r="C80" i="10" s="1"/>
  <c r="T21" i="9"/>
  <c r="C49" i="10" s="1"/>
  <c r="AH24" i="9"/>
  <c r="C112" i="10" s="1"/>
  <c r="AA19" i="9"/>
  <c r="C77" i="10" s="1"/>
  <c r="E51" i="8"/>
  <c r="E52" i="8" s="1"/>
  <c r="E53" i="8" s="1"/>
  <c r="E54" i="8" s="1"/>
  <c r="E55" i="8" s="1"/>
  <c r="E56" i="8" s="1"/>
  <c r="E57" i="8" s="1"/>
  <c r="E58" i="8" s="1"/>
  <c r="M19" i="9"/>
  <c r="C17" i="10" s="1"/>
  <c r="M22" i="9"/>
  <c r="C20" i="10" s="1"/>
  <c r="T22" i="9"/>
  <c r="C50" i="10" s="1"/>
  <c r="T24" i="9"/>
  <c r="C52" i="10" s="1"/>
  <c r="AA20" i="9"/>
  <c r="C78" i="10" s="1"/>
  <c r="M20" i="9"/>
  <c r="C18" i="10" s="1"/>
  <c r="AH21" i="9"/>
  <c r="C109" i="10" s="1"/>
  <c r="M23" i="9"/>
  <c r="C21" i="10" s="1"/>
  <c r="T20" i="9"/>
  <c r="C48" i="10" s="1"/>
  <c r="T23" i="9"/>
  <c r="C51" i="10" s="1"/>
  <c r="M24" i="9"/>
  <c r="C22" i="10" s="1"/>
  <c r="T19" i="9"/>
  <c r="C47" i="10" s="1"/>
  <c r="T28" i="3"/>
  <c r="G8" i="7" s="1"/>
  <c r="G7" i="7"/>
  <c r="F70" i="3"/>
  <c r="H47" i="5" s="1"/>
  <c r="F94" i="3"/>
  <c r="F99" i="3"/>
  <c r="F105" i="3"/>
  <c r="F75" i="3"/>
  <c r="H52" i="5" s="1"/>
  <c r="F72" i="3"/>
  <c r="H49" i="5" s="1"/>
  <c r="F29" i="3"/>
  <c r="H6" i="5" s="1"/>
  <c r="F96" i="3"/>
  <c r="F71" i="3"/>
  <c r="H48" i="5" s="1"/>
  <c r="F41" i="3"/>
  <c r="H18" i="5" s="1"/>
  <c r="F43" i="3"/>
  <c r="H20" i="5" s="1"/>
  <c r="F45" i="3"/>
  <c r="H22" i="5" s="1"/>
  <c r="F73" i="3"/>
  <c r="H50" i="5" s="1"/>
  <c r="F78" i="3"/>
  <c r="F69" i="3"/>
  <c r="H46" i="5" s="1"/>
  <c r="F50" i="3"/>
  <c r="H27" i="5" s="1"/>
  <c r="F121" i="3"/>
  <c r="F117" i="3"/>
  <c r="F44" i="3"/>
  <c r="H21" i="5" s="1"/>
  <c r="F119" i="3"/>
  <c r="F49" i="3"/>
  <c r="H26" i="5" s="1"/>
  <c r="F58" i="3"/>
  <c r="H35" i="5" s="1"/>
  <c r="F67" i="3"/>
  <c r="H44" i="5" s="1"/>
  <c r="E108" i="3"/>
  <c r="E56" i="3"/>
  <c r="F33" i="5" s="1"/>
  <c r="E117" i="3"/>
  <c r="E58" i="3"/>
  <c r="F35" i="5" s="1"/>
  <c r="E107" i="3"/>
  <c r="E72" i="3"/>
  <c r="F49" i="5" s="1"/>
  <c r="E53" i="3"/>
  <c r="F30" i="5" s="1"/>
  <c r="E60" i="3"/>
  <c r="F37" i="5" s="1"/>
  <c r="E94" i="3"/>
  <c r="E105" i="3"/>
  <c r="E42" i="3"/>
  <c r="F19" i="5" s="1"/>
  <c r="E91" i="3"/>
  <c r="E103" i="3"/>
  <c r="E119" i="3"/>
  <c r="E73" i="3"/>
  <c r="F50" i="5" s="1"/>
  <c r="E30" i="3"/>
  <c r="F7" i="5" s="1"/>
  <c r="E92" i="3"/>
  <c r="E41" i="3"/>
  <c r="F18" i="5" s="1"/>
  <c r="E102" i="3"/>
  <c r="E74" i="3"/>
  <c r="F51" i="5" s="1"/>
  <c r="E33" i="3"/>
  <c r="F10" i="5" s="1"/>
  <c r="E126" i="3"/>
  <c r="E77" i="3"/>
  <c r="F54" i="5" s="1"/>
  <c r="E114" i="3"/>
  <c r="F207" i="10"/>
  <c r="F201" i="10"/>
  <c r="B125" i="10" l="1"/>
  <c r="B76" i="9"/>
  <c r="B5" i="10"/>
  <c r="B77" i="9"/>
  <c r="B78" i="9" s="1"/>
  <c r="B79" i="9" s="1"/>
  <c r="B80" i="9" s="1"/>
  <c r="B81" i="9" s="1"/>
  <c r="B82" i="9" s="1"/>
  <c r="B83" i="9" s="1"/>
  <c r="B84" i="9" s="1"/>
  <c r="B85" i="9" s="1"/>
  <c r="T29" i="3"/>
  <c r="Q29" i="3"/>
  <c r="S29" i="3"/>
  <c r="AA31" i="9"/>
  <c r="C87" i="10" s="1"/>
  <c r="AH29" i="9"/>
  <c r="C115" i="10" s="1"/>
  <c r="AH32" i="9"/>
  <c r="C118" i="10" s="1"/>
  <c r="T29" i="9"/>
  <c r="C55" i="10" s="1"/>
  <c r="E63" i="8"/>
  <c r="E64" i="8" s="1"/>
  <c r="E65" i="8" s="1"/>
  <c r="E66" i="8" s="1"/>
  <c r="E67" i="8" s="1"/>
  <c r="E68" i="8" s="1"/>
  <c r="E69" i="8" s="1"/>
  <c r="E70" i="8" s="1"/>
  <c r="T32" i="9"/>
  <c r="C58" i="10" s="1"/>
  <c r="AA29" i="9"/>
  <c r="C85" i="10" s="1"/>
  <c r="T28" i="9"/>
  <c r="C54" i="10" s="1"/>
  <c r="AH28" i="9"/>
  <c r="C114" i="10" s="1"/>
  <c r="T27" i="9"/>
  <c r="C53" i="10" s="1"/>
  <c r="AH30" i="9"/>
  <c r="C116" i="10" s="1"/>
  <c r="M30" i="9"/>
  <c r="C26" i="10" s="1"/>
  <c r="AA32" i="9"/>
  <c r="C88" i="10" s="1"/>
  <c r="T31" i="9"/>
  <c r="C57" i="10" s="1"/>
  <c r="T30" i="9"/>
  <c r="C56" i="10" s="1"/>
  <c r="AH31" i="9"/>
  <c r="C117" i="10" s="1"/>
  <c r="AH27" i="9"/>
  <c r="C113" i="10" s="1"/>
  <c r="M29" i="9"/>
  <c r="C25" i="10" s="1"/>
  <c r="M28" i="9"/>
  <c r="C24" i="10" s="1"/>
  <c r="M31" i="9"/>
  <c r="C27" i="10" s="1"/>
  <c r="AA28" i="9"/>
  <c r="C84" i="10" s="1"/>
  <c r="AA27" i="9"/>
  <c r="C83" i="10" s="1"/>
  <c r="AA30" i="9"/>
  <c r="C86" i="10" s="1"/>
  <c r="M32" i="9"/>
  <c r="C28" i="10" s="1"/>
  <c r="M27" i="9"/>
  <c r="C23" i="10" s="1"/>
  <c r="S27" i="9"/>
  <c r="B53" i="10" s="1"/>
  <c r="S30" i="9"/>
  <c r="B56" i="10" s="1"/>
  <c r="S29" i="9"/>
  <c r="B55" i="10" s="1"/>
  <c r="AG29" i="9"/>
  <c r="B115" i="10" s="1"/>
  <c r="L27" i="9"/>
  <c r="B23" i="10" s="1"/>
  <c r="Z28" i="9"/>
  <c r="B84" i="10" s="1"/>
  <c r="S32" i="9"/>
  <c r="B58" i="10" s="1"/>
  <c r="AG27" i="9"/>
  <c r="B113" i="10" s="1"/>
  <c r="Z32" i="9"/>
  <c r="B88" i="10" s="1"/>
  <c r="L30" i="9"/>
  <c r="B26" i="10" s="1"/>
  <c r="L29" i="9"/>
  <c r="B25" i="10" s="1"/>
  <c r="Z31" i="9"/>
  <c r="B87" i="10" s="1"/>
  <c r="L31" i="9"/>
  <c r="B27" i="10" s="1"/>
  <c r="Z27" i="9"/>
  <c r="B83" i="10" s="1"/>
  <c r="AG28" i="9"/>
  <c r="B114" i="10" s="1"/>
  <c r="L32" i="9"/>
  <c r="B28" i="10" s="1"/>
  <c r="S28" i="9"/>
  <c r="B54" i="10" s="1"/>
  <c r="Z30" i="9"/>
  <c r="B86" i="10" s="1"/>
  <c r="L28" i="9"/>
  <c r="B24" i="10" s="1"/>
  <c r="AG30" i="9"/>
  <c r="B116" i="10" s="1"/>
  <c r="S31" i="9"/>
  <c r="B57" i="10" s="1"/>
  <c r="D63" i="8"/>
  <c r="D64" i="8" s="1"/>
  <c r="D65" i="8" s="1"/>
  <c r="D66" i="8" s="1"/>
  <c r="D67" i="8" s="1"/>
  <c r="D68" i="8" s="1"/>
  <c r="D69" i="8" s="1"/>
  <c r="D70" i="8" s="1"/>
  <c r="AG32" i="9"/>
  <c r="B118" i="10" s="1"/>
  <c r="Z29" i="9"/>
  <c r="B85" i="10" s="1"/>
  <c r="AG31" i="9"/>
  <c r="B117" i="10" s="1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E127" i="10"/>
  <c r="E76" i="9"/>
  <c r="AF29" i="9"/>
  <c r="F115" i="10" s="1"/>
  <c r="K30" i="9"/>
  <c r="F26" i="10" s="1"/>
  <c r="R30" i="9"/>
  <c r="F56" i="10" s="1"/>
  <c r="Y32" i="9"/>
  <c r="F88" i="10" s="1"/>
  <c r="K27" i="9"/>
  <c r="F23" i="10" s="1"/>
  <c r="C63" i="8"/>
  <c r="AF30" i="9"/>
  <c r="F116" i="10" s="1"/>
  <c r="Y30" i="9"/>
  <c r="F86" i="10" s="1"/>
  <c r="Y29" i="9"/>
  <c r="F85" i="10" s="1"/>
  <c r="R27" i="9"/>
  <c r="F53" i="10" s="1"/>
  <c r="AF31" i="9"/>
  <c r="F117" i="10" s="1"/>
  <c r="K28" i="9"/>
  <c r="F24" i="10" s="1"/>
  <c r="Y27" i="9"/>
  <c r="F83" i="10" s="1"/>
  <c r="R28" i="9"/>
  <c r="F54" i="10" s="1"/>
  <c r="Y28" i="9"/>
  <c r="F84" i="10" s="1"/>
  <c r="K32" i="9"/>
  <c r="F28" i="10" s="1"/>
  <c r="AF32" i="9"/>
  <c r="F118" i="10" s="1"/>
  <c r="K29" i="9"/>
  <c r="F25" i="10" s="1"/>
  <c r="Y31" i="9"/>
  <c r="F87" i="10" s="1"/>
  <c r="R32" i="9"/>
  <c r="F58" i="10" s="1"/>
  <c r="AF28" i="9"/>
  <c r="F114" i="10" s="1"/>
  <c r="AF27" i="9"/>
  <c r="F113" i="10" s="1"/>
  <c r="R29" i="9"/>
  <c r="F55" i="10" s="1"/>
  <c r="R31" i="9"/>
  <c r="F57" i="10" s="1"/>
  <c r="K31" i="9"/>
  <c r="F27" i="10" s="1"/>
  <c r="C64" i="8"/>
  <c r="C65" i="8" s="1"/>
  <c r="C66" i="8" s="1"/>
  <c r="C67" i="8" s="1"/>
  <c r="C68" i="8" s="1"/>
  <c r="C69" i="8" s="1"/>
  <c r="C70" i="8" s="1"/>
  <c r="F13" i="8"/>
  <c r="E12" i="8"/>
  <c r="C76" i="9"/>
  <c r="C77" i="9" s="1"/>
  <c r="C78" i="9" s="1"/>
  <c r="C79" i="9" s="1"/>
  <c r="C80" i="9" s="1"/>
  <c r="C81" i="9" s="1"/>
  <c r="C82" i="9" s="1"/>
  <c r="C83" i="9" s="1"/>
  <c r="C84" i="9" s="1"/>
  <c r="C85" i="9" s="1"/>
  <c r="C125" i="10"/>
  <c r="F63" i="8"/>
  <c r="AI31" i="9"/>
  <c r="E117" i="10" s="1"/>
  <c r="AI29" i="9"/>
  <c r="E115" i="10" s="1"/>
  <c r="U29" i="9"/>
  <c r="E55" i="10" s="1"/>
  <c r="AI27" i="9"/>
  <c r="E113" i="10" s="1"/>
  <c r="AB28" i="9"/>
  <c r="E84" i="10" s="1"/>
  <c r="N29" i="9"/>
  <c r="E25" i="10" s="1"/>
  <c r="U27" i="9"/>
  <c r="E53" i="10" s="1"/>
  <c r="AB27" i="9"/>
  <c r="E83" i="10" s="1"/>
  <c r="N30" i="9"/>
  <c r="E26" i="10" s="1"/>
  <c r="U31" i="9"/>
  <c r="E57" i="10" s="1"/>
  <c r="AB30" i="9"/>
  <c r="E86" i="10" s="1"/>
  <c r="U32" i="9"/>
  <c r="E58" i="10" s="1"/>
  <c r="U30" i="9"/>
  <c r="E56" i="10" s="1"/>
  <c r="AI28" i="9"/>
  <c r="E114" i="10" s="1"/>
  <c r="N28" i="9"/>
  <c r="E24" i="10" s="1"/>
  <c r="AB29" i="9"/>
  <c r="E85" i="10" s="1"/>
  <c r="N27" i="9"/>
  <c r="E23" i="10" s="1"/>
  <c r="N31" i="9"/>
  <c r="E27" i="10" s="1"/>
  <c r="U28" i="9"/>
  <c r="E54" i="10" s="1"/>
  <c r="AI32" i="9"/>
  <c r="E118" i="10" s="1"/>
  <c r="AB31" i="9"/>
  <c r="E87" i="10" s="1"/>
  <c r="AI30" i="9"/>
  <c r="E116" i="10" s="1"/>
  <c r="AB32" i="9"/>
  <c r="E88" i="10" s="1"/>
  <c r="N32" i="9"/>
  <c r="E28" i="10" s="1"/>
  <c r="F64" i="8"/>
  <c r="F65" i="8" s="1"/>
  <c r="F66" i="8" s="1"/>
  <c r="F67" i="8" s="1"/>
  <c r="F68" i="8" s="1"/>
  <c r="F69" i="8" s="1"/>
  <c r="F70" i="8" s="1"/>
  <c r="R29" i="3"/>
  <c r="E9" i="7" l="1"/>
  <c r="S30" i="3"/>
  <c r="C9" i="7"/>
  <c r="Q30" i="3"/>
  <c r="G9" i="7"/>
  <c r="T30" i="3"/>
  <c r="E84" i="9"/>
  <c r="E82" i="9"/>
  <c r="E85" i="9"/>
  <c r="E79" i="9"/>
  <c r="E78" i="9"/>
  <c r="E83" i="9"/>
  <c r="E77" i="9"/>
  <c r="E80" i="9"/>
  <c r="E81" i="9"/>
  <c r="D9" i="7"/>
  <c r="R30" i="3"/>
  <c r="E13" i="8"/>
  <c r="F14" i="8"/>
  <c r="E10" i="7" l="1"/>
  <c r="S31" i="3"/>
  <c r="D10" i="7"/>
  <c r="R31" i="3"/>
  <c r="C10" i="7"/>
  <c r="Q31" i="3"/>
  <c r="E14" i="8"/>
  <c r="F15" i="8"/>
  <c r="G10" i="7"/>
  <c r="T31" i="3"/>
  <c r="G11" i="7" l="1"/>
  <c r="T32" i="3"/>
  <c r="C11" i="7"/>
  <c r="Q32" i="3"/>
  <c r="E11" i="7"/>
  <c r="S32" i="3"/>
  <c r="D73" i="8"/>
  <c r="D72" i="8" s="1"/>
  <c r="D74" i="8" s="1"/>
  <c r="C73" i="8"/>
  <c r="C72" i="8" s="1"/>
  <c r="C74" i="8" s="1"/>
  <c r="E73" i="8"/>
  <c r="E72" i="8" s="1"/>
  <c r="E74" i="8" s="1"/>
  <c r="F73" i="8"/>
  <c r="F72" i="8" s="1"/>
  <c r="F74" i="8" s="1"/>
  <c r="E15" i="8"/>
  <c r="F16" i="8"/>
  <c r="E16" i="8" s="1"/>
  <c r="D11" i="7"/>
  <c r="R32" i="3"/>
  <c r="C75" i="8" l="1"/>
  <c r="K40" i="9"/>
  <c r="F34" i="10" s="1"/>
  <c r="R39" i="9"/>
  <c r="F63" i="10" s="1"/>
  <c r="AF35" i="9"/>
  <c r="F119" i="10" s="1"/>
  <c r="R36" i="9"/>
  <c r="F60" i="10" s="1"/>
  <c r="Y38" i="9"/>
  <c r="F92" i="10" s="1"/>
  <c r="Y37" i="9"/>
  <c r="F91" i="10" s="1"/>
  <c r="AF37" i="9"/>
  <c r="F121" i="10" s="1"/>
  <c r="R38" i="9"/>
  <c r="F62" i="10" s="1"/>
  <c r="K35" i="9"/>
  <c r="F29" i="10" s="1"/>
  <c r="AF39" i="9"/>
  <c r="F123" i="10" s="1"/>
  <c r="AF38" i="9"/>
  <c r="F122" i="10" s="1"/>
  <c r="R35" i="9"/>
  <c r="F59" i="10" s="1"/>
  <c r="K38" i="9"/>
  <c r="F32" i="10" s="1"/>
  <c r="R40" i="9"/>
  <c r="F64" i="10" s="1"/>
  <c r="AF36" i="9"/>
  <c r="F120" i="10" s="1"/>
  <c r="AF40" i="9"/>
  <c r="F124" i="10" s="1"/>
  <c r="K36" i="9"/>
  <c r="F30" i="10" s="1"/>
  <c r="Y39" i="9"/>
  <c r="F93" i="10" s="1"/>
  <c r="Y36" i="9"/>
  <c r="F90" i="10" s="1"/>
  <c r="K37" i="9"/>
  <c r="F31" i="10" s="1"/>
  <c r="R37" i="9"/>
  <c r="F61" i="10" s="1"/>
  <c r="K39" i="9"/>
  <c r="F33" i="10" s="1"/>
  <c r="C76" i="8"/>
  <c r="C77" i="8" s="1"/>
  <c r="C78" i="8" s="1"/>
  <c r="C79" i="8" s="1"/>
  <c r="C80" i="8" s="1"/>
  <c r="C81" i="8" s="1"/>
  <c r="C82" i="8" s="1"/>
  <c r="Y40" i="9"/>
  <c r="F94" i="10" s="1"/>
  <c r="Y35" i="9"/>
  <c r="F89" i="10" s="1"/>
  <c r="C12" i="7"/>
  <c r="Q33" i="3"/>
  <c r="AG36" i="9"/>
  <c r="B120" i="10" s="1"/>
  <c r="S35" i="9"/>
  <c r="B59" i="10" s="1"/>
  <c r="AG35" i="9"/>
  <c r="B119" i="10" s="1"/>
  <c r="Z38" i="9"/>
  <c r="B92" i="10" s="1"/>
  <c r="L37" i="9"/>
  <c r="B31" i="10" s="1"/>
  <c r="S37" i="9"/>
  <c r="B61" i="10" s="1"/>
  <c r="Z36" i="9"/>
  <c r="B90" i="10" s="1"/>
  <c r="AG40" i="9"/>
  <c r="B124" i="10" s="1"/>
  <c r="Z39" i="9"/>
  <c r="B93" i="10" s="1"/>
  <c r="AG37" i="9"/>
  <c r="B121" i="10" s="1"/>
  <c r="L38" i="9"/>
  <c r="B32" i="10" s="1"/>
  <c r="S39" i="9"/>
  <c r="B63" i="10" s="1"/>
  <c r="D75" i="8"/>
  <c r="S38" i="9"/>
  <c r="B62" i="10" s="1"/>
  <c r="L39" i="9"/>
  <c r="B33" i="10" s="1"/>
  <c r="L35" i="9"/>
  <c r="B29" i="10" s="1"/>
  <c r="AG39" i="9"/>
  <c r="B123" i="10" s="1"/>
  <c r="S36" i="9"/>
  <c r="B60" i="10" s="1"/>
  <c r="Z37" i="9"/>
  <c r="B91" i="10" s="1"/>
  <c r="L36" i="9"/>
  <c r="B30" i="10" s="1"/>
  <c r="AG38" i="9"/>
  <c r="B122" i="10" s="1"/>
  <c r="S40" i="9"/>
  <c r="B64" i="10" s="1"/>
  <c r="L40" i="9"/>
  <c r="B34" i="10" s="1"/>
  <c r="Z35" i="9"/>
  <c r="B89" i="10" s="1"/>
  <c r="Z40" i="9"/>
  <c r="B94" i="10" s="1"/>
  <c r="D76" i="8"/>
  <c r="D77" i="8" s="1"/>
  <c r="D78" i="8" s="1"/>
  <c r="D79" i="8" s="1"/>
  <c r="D80" i="8" s="1"/>
  <c r="D81" i="8" s="1"/>
  <c r="D82" i="8" s="1"/>
  <c r="D12" i="7"/>
  <c r="R33" i="3"/>
  <c r="F75" i="8"/>
  <c r="U38" i="9"/>
  <c r="E62" i="10" s="1"/>
  <c r="AI38" i="9"/>
  <c r="E122" i="10" s="1"/>
  <c r="N37" i="9"/>
  <c r="E31" i="10" s="1"/>
  <c r="AI36" i="9"/>
  <c r="E120" i="10" s="1"/>
  <c r="AI39" i="9"/>
  <c r="E123" i="10" s="1"/>
  <c r="AI37" i="9"/>
  <c r="E121" i="10" s="1"/>
  <c r="U36" i="9"/>
  <c r="E60" i="10" s="1"/>
  <c r="AB38" i="9"/>
  <c r="E92" i="10" s="1"/>
  <c r="AB35" i="9"/>
  <c r="E89" i="10" s="1"/>
  <c r="U37" i="9"/>
  <c r="E61" i="10" s="1"/>
  <c r="AI40" i="9"/>
  <c r="E124" i="10" s="1"/>
  <c r="N38" i="9"/>
  <c r="E32" i="10" s="1"/>
  <c r="N35" i="9"/>
  <c r="E29" i="10" s="1"/>
  <c r="N39" i="9"/>
  <c r="E33" i="10" s="1"/>
  <c r="N36" i="9"/>
  <c r="E30" i="10" s="1"/>
  <c r="AB36" i="9"/>
  <c r="E90" i="10" s="1"/>
  <c r="U39" i="9"/>
  <c r="E63" i="10" s="1"/>
  <c r="U35" i="9"/>
  <c r="E59" i="10" s="1"/>
  <c r="U40" i="9"/>
  <c r="E64" i="10" s="1"/>
  <c r="AI35" i="9"/>
  <c r="E119" i="10" s="1"/>
  <c r="AB40" i="9"/>
  <c r="E94" i="10" s="1"/>
  <c r="AB37" i="9"/>
  <c r="E91" i="10" s="1"/>
  <c r="AB39" i="9"/>
  <c r="E93" i="10" s="1"/>
  <c r="F76" i="8"/>
  <c r="F77" i="8" s="1"/>
  <c r="F78" i="8" s="1"/>
  <c r="F79" i="8" s="1"/>
  <c r="F80" i="8" s="1"/>
  <c r="F81" i="8" s="1"/>
  <c r="F82" i="8" s="1"/>
  <c r="N40" i="9"/>
  <c r="E34" i="10" s="1"/>
  <c r="E12" i="7"/>
  <c r="S33" i="3"/>
  <c r="G12" i="7"/>
  <c r="T33" i="3"/>
  <c r="M36" i="9"/>
  <c r="C30" i="10" s="1"/>
  <c r="M37" i="9"/>
  <c r="C31" i="10" s="1"/>
  <c r="AA40" i="9"/>
  <c r="C94" i="10" s="1"/>
  <c r="AH40" i="9"/>
  <c r="C124" i="10" s="1"/>
  <c r="AA36" i="9"/>
  <c r="C90" i="10" s="1"/>
  <c r="AH37" i="9"/>
  <c r="C121" i="10" s="1"/>
  <c r="M38" i="9"/>
  <c r="C32" i="10" s="1"/>
  <c r="M39" i="9"/>
  <c r="C33" i="10" s="1"/>
  <c r="AA37" i="9"/>
  <c r="C91" i="10" s="1"/>
  <c r="E75" i="8"/>
  <c r="AA38" i="9"/>
  <c r="C92" i="10" s="1"/>
  <c r="T38" i="9"/>
  <c r="C62" i="10" s="1"/>
  <c r="M40" i="9"/>
  <c r="C34" i="10" s="1"/>
  <c r="T36" i="9"/>
  <c r="C60" i="10" s="1"/>
  <c r="M35" i="9"/>
  <c r="C29" i="10" s="1"/>
  <c r="AH38" i="9"/>
  <c r="C122" i="10" s="1"/>
  <c r="T40" i="9"/>
  <c r="C64" i="10" s="1"/>
  <c r="T35" i="9"/>
  <c r="C59" i="10" s="1"/>
  <c r="AH36" i="9"/>
  <c r="C120" i="10" s="1"/>
  <c r="AA35" i="9"/>
  <c r="C89" i="10" s="1"/>
  <c r="AA39" i="9"/>
  <c r="C93" i="10" s="1"/>
  <c r="E76" i="8"/>
  <c r="E77" i="8" s="1"/>
  <c r="E78" i="8" s="1"/>
  <c r="E79" i="8" s="1"/>
  <c r="E80" i="8" s="1"/>
  <c r="E81" i="8" s="1"/>
  <c r="E82" i="8" s="1"/>
  <c r="AH35" i="9"/>
  <c r="C119" i="10" s="1"/>
  <c r="AH39" i="9"/>
  <c r="C123" i="10" s="1"/>
  <c r="T39" i="9"/>
  <c r="C63" i="10" s="1"/>
  <c r="T37" i="9"/>
  <c r="C61" i="10" s="1"/>
  <c r="G13" i="7" l="1"/>
  <c r="T34" i="3"/>
  <c r="D13" i="7"/>
  <c r="R34" i="3"/>
  <c r="E13" i="7"/>
  <c r="S34" i="3"/>
  <c r="C13" i="7"/>
  <c r="Q34" i="3"/>
  <c r="C14" i="7" l="1"/>
  <c r="Q35" i="3"/>
  <c r="C15" i="7" s="1"/>
  <c r="D14" i="7"/>
  <c r="R35" i="3"/>
  <c r="D15" i="7" s="1"/>
  <c r="G14" i="7"/>
  <c r="T35" i="3"/>
  <c r="G15" i="7" s="1"/>
  <c r="E14" i="7"/>
  <c r="S35" i="3"/>
  <c r="E15" i="7" s="1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<sst xmlns="http://schemas.openxmlformats.org/spreadsheetml/2006/main" count="791" uniqueCount="365">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</sst>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%"/>
    <numFmt numFmtId="178" formatCode="0.00_ "/>
    <numFmt numFmtId="179" formatCode="0.00_);[Red]\(0.00\)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7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20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  <sheetName val="Sheet1"/>
      <sheetName val="技能实现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60" t="s">
        <v>93</v>
      </c>
      <c r="D4" s="61"/>
      <c r="E4" s="61"/>
      <c r="F4" s="61"/>
      <c r="G4" s="61"/>
      <c r="H4" s="61"/>
      <c r="I4" s="61"/>
      <c r="J4" s="61"/>
      <c r="K4" s="62"/>
      <c r="L4" s="60" t="s">
        <v>95</v>
      </c>
      <c r="M4" s="61"/>
      <c r="N4" s="61"/>
      <c r="O4" s="61"/>
      <c r="P4" s="62"/>
    </row>
    <row r="5" spans="2:16">
      <c r="B5" s="25" t="s">
        <v>92</v>
      </c>
      <c r="C5" s="60" t="s">
        <v>94</v>
      </c>
      <c r="D5" s="61"/>
      <c r="E5" s="61"/>
      <c r="F5" s="61"/>
      <c r="G5" s="61"/>
      <c r="H5" s="61"/>
      <c r="I5" s="61"/>
      <c r="J5" s="61"/>
      <c r="K5" s="62"/>
      <c r="L5" s="60" t="s">
        <v>96</v>
      </c>
      <c r="M5" s="61"/>
      <c r="N5" s="61"/>
      <c r="O5" s="61"/>
      <c r="P5" s="62"/>
    </row>
    <row r="6" spans="2:16">
      <c r="B6" s="25"/>
      <c r="C6" s="60"/>
      <c r="D6" s="61"/>
      <c r="E6" s="61"/>
      <c r="F6" s="61"/>
      <c r="G6" s="61"/>
      <c r="H6" s="61"/>
      <c r="I6" s="61"/>
      <c r="J6" s="61"/>
      <c r="K6" s="62"/>
      <c r="L6" s="60"/>
      <c r="M6" s="61"/>
      <c r="N6" s="61"/>
      <c r="O6" s="61"/>
      <c r="P6" s="62"/>
    </row>
    <row r="7" spans="2:16">
      <c r="B7" s="25"/>
      <c r="C7" s="60"/>
      <c r="D7" s="61"/>
      <c r="E7" s="61"/>
      <c r="F7" s="61"/>
      <c r="G7" s="61"/>
      <c r="H7" s="61"/>
      <c r="I7" s="61"/>
      <c r="J7" s="61"/>
      <c r="K7" s="62"/>
      <c r="L7" s="60"/>
      <c r="M7" s="61"/>
      <c r="N7" s="61"/>
      <c r="O7" s="61"/>
      <c r="P7" s="62"/>
    </row>
    <row r="8" spans="2:16">
      <c r="B8" s="25"/>
      <c r="C8" s="60"/>
      <c r="D8" s="61"/>
      <c r="E8" s="61"/>
      <c r="F8" s="61"/>
      <c r="G8" s="61"/>
      <c r="H8" s="61"/>
      <c r="I8" s="61"/>
      <c r="J8" s="61"/>
      <c r="K8" s="62"/>
      <c r="L8" s="60"/>
      <c r="M8" s="61"/>
      <c r="N8" s="61"/>
      <c r="O8" s="61"/>
      <c r="P8" s="62"/>
    </row>
    <row r="9" spans="2:16">
      <c r="B9" s="25"/>
      <c r="C9" s="60"/>
      <c r="D9" s="61"/>
      <c r="E9" s="61"/>
      <c r="F9" s="61"/>
      <c r="G9" s="61"/>
      <c r="H9" s="61"/>
      <c r="I9" s="61"/>
      <c r="J9" s="61"/>
      <c r="K9" s="62"/>
      <c r="L9" s="60"/>
      <c r="M9" s="61"/>
      <c r="N9" s="61"/>
      <c r="O9" s="61"/>
      <c r="P9" s="62"/>
    </row>
    <row r="10" spans="2:16">
      <c r="B10" s="25"/>
      <c r="C10" s="60"/>
      <c r="D10" s="61"/>
      <c r="E10" s="61"/>
      <c r="F10" s="61"/>
      <c r="G10" s="61"/>
      <c r="H10" s="61"/>
      <c r="I10" s="61"/>
      <c r="J10" s="61"/>
      <c r="K10" s="62"/>
      <c r="L10" s="60"/>
      <c r="M10" s="61"/>
      <c r="N10" s="61"/>
      <c r="O10" s="61"/>
      <c r="P10" s="62"/>
    </row>
    <row r="11" spans="2:16">
      <c r="B11" s="25"/>
      <c r="C11" s="60"/>
      <c r="D11" s="61"/>
      <c r="E11" s="61"/>
      <c r="F11" s="61"/>
      <c r="G11" s="61"/>
      <c r="H11" s="61"/>
      <c r="I11" s="61"/>
      <c r="J11" s="61"/>
      <c r="K11" s="62"/>
      <c r="L11" s="60"/>
      <c r="M11" s="61"/>
      <c r="N11" s="61"/>
      <c r="O11" s="61"/>
      <c r="P11" s="62"/>
    </row>
    <row r="12" spans="2:16">
      <c r="B12" s="25"/>
      <c r="C12" s="60"/>
      <c r="D12" s="61"/>
      <c r="E12" s="61"/>
      <c r="F12" s="61"/>
      <c r="G12" s="61"/>
      <c r="H12" s="61"/>
      <c r="I12" s="61"/>
      <c r="J12" s="61"/>
      <c r="K12" s="62"/>
      <c r="L12" s="60"/>
      <c r="M12" s="61"/>
      <c r="N12" s="61"/>
      <c r="O12" s="61"/>
      <c r="P12" s="62"/>
    </row>
    <row r="13" spans="2:16">
      <c r="B13" s="25"/>
      <c r="C13" s="60"/>
      <c r="D13" s="61"/>
      <c r="E13" s="61"/>
      <c r="F13" s="61"/>
      <c r="G13" s="61"/>
      <c r="H13" s="61"/>
      <c r="I13" s="61"/>
      <c r="J13" s="61"/>
      <c r="K13" s="62"/>
      <c r="L13" s="60"/>
      <c r="M13" s="61"/>
      <c r="N13" s="61"/>
      <c r="O13" s="61"/>
      <c r="P13" s="62"/>
    </row>
    <row r="14" spans="2:16">
      <c r="B14" s="25"/>
      <c r="C14" s="60"/>
      <c r="D14" s="61"/>
      <c r="E14" s="61"/>
      <c r="F14" s="61"/>
      <c r="G14" s="61"/>
      <c r="H14" s="61"/>
      <c r="I14" s="61"/>
      <c r="J14" s="61"/>
      <c r="K14" s="62"/>
      <c r="L14" s="60"/>
      <c r="M14" s="61"/>
      <c r="N14" s="61"/>
      <c r="O14" s="61"/>
      <c r="P14" s="62"/>
    </row>
    <row r="15" spans="2:16">
      <c r="B15" s="25"/>
      <c r="C15" s="60"/>
      <c r="D15" s="61"/>
      <c r="E15" s="61"/>
      <c r="F15" s="61"/>
      <c r="G15" s="61"/>
      <c r="H15" s="61"/>
      <c r="I15" s="61"/>
      <c r="J15" s="61"/>
      <c r="K15" s="62"/>
      <c r="L15" s="60"/>
      <c r="M15" s="61"/>
      <c r="N15" s="61"/>
      <c r="O15" s="61"/>
      <c r="P15" s="62"/>
    </row>
    <row r="16" spans="2:16">
      <c r="B16" s="25"/>
      <c r="C16" s="60"/>
      <c r="D16" s="61"/>
      <c r="E16" s="61"/>
      <c r="F16" s="61"/>
      <c r="G16" s="61"/>
      <c r="H16" s="61"/>
      <c r="I16" s="61"/>
      <c r="J16" s="61"/>
      <c r="K16" s="62"/>
      <c r="L16" s="60"/>
      <c r="M16" s="61"/>
      <c r="N16" s="61"/>
      <c r="O16" s="61"/>
      <c r="P16" s="62"/>
    </row>
    <row r="17" spans="2:16">
      <c r="B17" s="25"/>
      <c r="C17" s="60"/>
      <c r="D17" s="61"/>
      <c r="E17" s="61"/>
      <c r="F17" s="61"/>
      <c r="G17" s="61"/>
      <c r="H17" s="61"/>
      <c r="I17" s="61"/>
      <c r="J17" s="61"/>
      <c r="K17" s="62"/>
      <c r="L17" s="60"/>
      <c r="M17" s="61"/>
      <c r="N17" s="61"/>
      <c r="O17" s="61"/>
      <c r="P17" s="62"/>
    </row>
    <row r="18" spans="2:16">
      <c r="B18" s="25"/>
      <c r="C18" s="60"/>
      <c r="D18" s="61"/>
      <c r="E18" s="61"/>
      <c r="F18" s="61"/>
      <c r="G18" s="61"/>
      <c r="H18" s="61"/>
      <c r="I18" s="61"/>
      <c r="J18" s="61"/>
      <c r="K18" s="62"/>
      <c r="L18" s="60"/>
      <c r="M18" s="61"/>
      <c r="N18" s="61"/>
      <c r="O18" s="61"/>
      <c r="P18" s="62"/>
    </row>
    <row r="19" spans="2:16">
      <c r="B19" s="25"/>
      <c r="C19" s="60"/>
      <c r="D19" s="61"/>
      <c r="E19" s="61"/>
      <c r="F19" s="61"/>
      <c r="G19" s="61"/>
      <c r="H19" s="61"/>
      <c r="I19" s="61"/>
      <c r="J19" s="61"/>
      <c r="K19" s="62"/>
      <c r="L19" s="60"/>
      <c r="M19" s="61"/>
      <c r="N19" s="61"/>
      <c r="O19" s="61"/>
      <c r="P19" s="62"/>
    </row>
    <row r="20" spans="2:16">
      <c r="B20" s="25"/>
      <c r="C20" s="60"/>
      <c r="D20" s="61"/>
      <c r="E20" s="61"/>
      <c r="F20" s="61"/>
      <c r="G20" s="61"/>
      <c r="H20" s="61"/>
      <c r="I20" s="61"/>
      <c r="J20" s="61"/>
      <c r="K20" s="62"/>
      <c r="L20" s="60"/>
      <c r="M20" s="61"/>
      <c r="N20" s="61"/>
      <c r="O20" s="61"/>
      <c r="P20" s="62"/>
    </row>
    <row r="21" spans="2:16">
      <c r="B21" s="25"/>
      <c r="C21" s="60"/>
      <c r="D21" s="61"/>
      <c r="E21" s="61"/>
      <c r="F21" s="61"/>
      <c r="G21" s="61"/>
      <c r="H21" s="61"/>
      <c r="I21" s="61"/>
      <c r="J21" s="61"/>
      <c r="K21" s="62"/>
      <c r="L21" s="60"/>
      <c r="M21" s="61"/>
      <c r="N21" s="61"/>
      <c r="O21" s="61"/>
      <c r="P21" s="62"/>
    </row>
    <row r="22" spans="2:16">
      <c r="B22" s="25"/>
      <c r="C22" s="60"/>
      <c r="D22" s="61"/>
      <c r="E22" s="61"/>
      <c r="F22" s="61"/>
      <c r="G22" s="61"/>
      <c r="H22" s="61"/>
      <c r="I22" s="61"/>
      <c r="J22" s="61"/>
      <c r="K22" s="62"/>
      <c r="L22" s="60"/>
      <c r="M22" s="61"/>
      <c r="N22" s="61"/>
      <c r="O22" s="61"/>
      <c r="P22" s="62"/>
    </row>
    <row r="23" spans="2:16">
      <c r="B23" s="25"/>
      <c r="C23" s="60"/>
      <c r="D23" s="61"/>
      <c r="E23" s="61"/>
      <c r="F23" s="61"/>
      <c r="G23" s="61"/>
      <c r="H23" s="61"/>
      <c r="I23" s="61"/>
      <c r="J23" s="61"/>
      <c r="K23" s="62"/>
      <c r="L23" s="60"/>
      <c r="M23" s="61"/>
      <c r="N23" s="61"/>
      <c r="O23" s="61"/>
      <c r="P23" s="62"/>
    </row>
    <row r="24" spans="2:16">
      <c r="B24" s="25"/>
      <c r="C24" s="60"/>
      <c r="D24" s="61"/>
      <c r="E24" s="61"/>
      <c r="F24" s="61"/>
      <c r="G24" s="61"/>
      <c r="H24" s="61"/>
      <c r="I24" s="61"/>
      <c r="J24" s="61"/>
      <c r="K24" s="62"/>
      <c r="L24" s="60"/>
      <c r="M24" s="61"/>
      <c r="N24" s="61"/>
      <c r="O24" s="61"/>
      <c r="P24" s="62"/>
    </row>
    <row r="25" spans="2:16">
      <c r="B25" s="25"/>
      <c r="C25" s="60"/>
      <c r="D25" s="61"/>
      <c r="E25" s="61"/>
      <c r="F25" s="61"/>
      <c r="G25" s="61"/>
      <c r="H25" s="61"/>
      <c r="I25" s="61"/>
      <c r="J25" s="61"/>
      <c r="K25" s="62"/>
      <c r="L25" s="60"/>
      <c r="M25" s="61"/>
      <c r="N25" s="61"/>
      <c r="O25" s="61"/>
      <c r="P25" s="62"/>
    </row>
    <row r="26" spans="2:16">
      <c r="B26" s="25"/>
      <c r="C26" s="60"/>
      <c r="D26" s="61"/>
      <c r="E26" s="61"/>
      <c r="F26" s="61"/>
      <c r="G26" s="61"/>
      <c r="H26" s="61"/>
      <c r="I26" s="61"/>
      <c r="J26" s="61"/>
      <c r="K26" s="62"/>
      <c r="L26" s="60"/>
      <c r="M26" s="61"/>
      <c r="N26" s="61"/>
      <c r="O26" s="61"/>
      <c r="P26" s="62"/>
    </row>
    <row r="27" spans="2:16">
      <c r="B27" s="25"/>
      <c r="C27" s="60"/>
      <c r="D27" s="61"/>
      <c r="E27" s="61"/>
      <c r="F27" s="61"/>
      <c r="G27" s="61"/>
      <c r="H27" s="61"/>
      <c r="I27" s="61"/>
      <c r="J27" s="61"/>
      <c r="K27" s="62"/>
      <c r="L27" s="60"/>
      <c r="M27" s="61"/>
      <c r="N27" s="61"/>
      <c r="O27" s="61"/>
      <c r="P27" s="62"/>
    </row>
    <row r="28" spans="2:16">
      <c r="B28" s="25"/>
      <c r="C28" s="60"/>
      <c r="D28" s="61"/>
      <c r="E28" s="61"/>
      <c r="F28" s="61"/>
      <c r="G28" s="61"/>
      <c r="H28" s="61"/>
      <c r="I28" s="61"/>
      <c r="J28" s="61"/>
      <c r="K28" s="62"/>
      <c r="L28" s="60"/>
      <c r="M28" s="61"/>
      <c r="N28" s="61"/>
      <c r="O28" s="61"/>
      <c r="P28" s="62"/>
    </row>
    <row r="29" spans="2:16">
      <c r="B29" s="25"/>
      <c r="C29" s="60"/>
      <c r="D29" s="61"/>
      <c r="E29" s="61"/>
      <c r="F29" s="61"/>
      <c r="G29" s="61"/>
      <c r="H29" s="61"/>
      <c r="I29" s="61"/>
      <c r="J29" s="61"/>
      <c r="K29" s="62"/>
      <c r="L29" s="60"/>
      <c r="M29" s="61"/>
      <c r="N29" s="61"/>
      <c r="O29" s="61"/>
      <c r="P29" s="62"/>
    </row>
    <row r="30" spans="2:16">
      <c r="B30" s="25"/>
      <c r="C30" s="60"/>
      <c r="D30" s="61"/>
      <c r="E30" s="61"/>
      <c r="F30" s="61"/>
      <c r="G30" s="61"/>
      <c r="H30" s="61"/>
      <c r="I30" s="61"/>
      <c r="J30" s="61"/>
      <c r="K30" s="62"/>
      <c r="L30" s="60"/>
      <c r="M30" s="61"/>
      <c r="N30" s="61"/>
      <c r="O30" s="61"/>
      <c r="P30" s="62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topLeftCell="A52" workbookViewId="0">
      <selection activeCell="K90" sqref="K90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279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171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200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4218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3270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10276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6748.8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336025.2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280</v>
      </c>
    </row>
    <row r="25" spans="1:36">
      <c r="A25" t="s">
        <v>10</v>
      </c>
      <c r="D25" t="s">
        <v>15</v>
      </c>
      <c r="P25" t="s">
        <v>281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4218</v>
      </c>
      <c r="N60" s="3">
        <f>ROUND(P12*(1-$E$51)/E51,0)</f>
        <v>2271</v>
      </c>
      <c r="Q60" s="3">
        <f>ROUND(P12*(1-$E$51)/E51,0)</f>
        <v>2271</v>
      </c>
      <c r="R60" s="3">
        <f>ROUND(P12,0)</f>
        <v>4218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1.9149719999999999</v>
      </c>
      <c r="N61" s="15">
        <f>N60/1000*N58</f>
        <v>0.34587329999999994</v>
      </c>
      <c r="O61" s="16">
        <f>(M61+N61)*O17</f>
        <v>3.6173524799999996</v>
      </c>
      <c r="P61" s="9"/>
      <c r="Q61" s="15">
        <f>Q60/1000*Q58</f>
        <v>0.34587329999999994</v>
      </c>
      <c r="R61" s="15">
        <f>R60/1000*R58</f>
        <v>1.9149719999999999</v>
      </c>
      <c r="S61" s="16">
        <f>(R61+Q61)*O17</f>
        <v>3.6173524799999996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4218</v>
      </c>
      <c r="N65" s="9"/>
      <c r="O65" s="9"/>
      <c r="P65" t="s">
        <v>45</v>
      </c>
      <c r="Q65" s="17">
        <f>ROUND(Q60,0)</f>
        <v>2271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2271</v>
      </c>
      <c r="N66" s="9"/>
      <c r="O66" s="9"/>
      <c r="P66" t="s">
        <v>46</v>
      </c>
      <c r="Q66" s="17">
        <f>ROUND(R60*M26,0)</f>
        <v>4218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10276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10276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3270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288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289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290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291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292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293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10276</v>
      </c>
      <c r="K20" s="3">
        <f>ROUND($D$3/$H$22*J20,0)</f>
        <v>862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3270</v>
      </c>
      <c r="K23" s="3">
        <f>ROUND($D$3/$H$22*J23,0)</f>
        <v>274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34.848484848484851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11.090909090909092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283</v>
      </c>
      <c r="J26" t="s">
        <v>285</v>
      </c>
      <c r="K26" t="s">
        <v>286</v>
      </c>
      <c r="L26" t="s">
        <v>287</v>
      </c>
      <c r="M26" t="s">
        <v>281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284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862</v>
      </c>
      <c r="D28" s="3">
        <f>K21</f>
        <v>284</v>
      </c>
      <c r="E28" s="3">
        <f>K22</f>
        <v>284</v>
      </c>
      <c r="F28" s="3">
        <f>K23</f>
        <v>274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897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285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932</v>
      </c>
      <c r="D30" s="3">
        <f t="shared" si="8"/>
        <v>307</v>
      </c>
      <c r="E30" s="3">
        <f t="shared" si="8"/>
        <v>307</v>
      </c>
      <c r="F30" s="3">
        <f t="shared" si="8"/>
        <v>296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967</v>
      </c>
      <c r="D31" s="3">
        <f t="shared" si="8"/>
        <v>318</v>
      </c>
      <c r="E31" s="3">
        <f t="shared" si="8"/>
        <v>318</v>
      </c>
      <c r="F31" s="3">
        <f t="shared" si="8"/>
        <v>307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1001</v>
      </c>
      <c r="D32" s="3">
        <f t="shared" si="8"/>
        <v>330</v>
      </c>
      <c r="E32" s="3">
        <f t="shared" si="8"/>
        <v>330</v>
      </c>
      <c r="F32" s="3">
        <f t="shared" si="8"/>
        <v>318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1036</v>
      </c>
      <c r="D33" s="3">
        <f t="shared" si="8"/>
        <v>341</v>
      </c>
      <c r="E33" s="3">
        <f t="shared" si="8"/>
        <v>341</v>
      </c>
      <c r="F33" s="3">
        <f t="shared" si="8"/>
        <v>329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1071</v>
      </c>
      <c r="D34" s="3">
        <f t="shared" si="8"/>
        <v>353</v>
      </c>
      <c r="E34" s="3">
        <f t="shared" si="8"/>
        <v>353</v>
      </c>
      <c r="F34" s="3">
        <f t="shared" si="8"/>
        <v>341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1106</v>
      </c>
      <c r="D35" s="3">
        <f t="shared" si="8"/>
        <v>364</v>
      </c>
      <c r="E35" s="3">
        <f t="shared" si="8"/>
        <v>364</v>
      </c>
      <c r="F35" s="3">
        <f t="shared" si="8"/>
        <v>352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1141</v>
      </c>
      <c r="D36" s="3">
        <f t="shared" si="8"/>
        <v>376</v>
      </c>
      <c r="E36" s="3">
        <f t="shared" si="8"/>
        <v>376</v>
      </c>
      <c r="F36" s="3">
        <f t="shared" si="8"/>
        <v>363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1176</v>
      </c>
      <c r="D37" s="3">
        <f t="shared" si="8"/>
        <v>387</v>
      </c>
      <c r="E37" s="3">
        <f t="shared" si="8"/>
        <v>387</v>
      </c>
      <c r="F37" s="3">
        <f t="shared" si="8"/>
        <v>374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1210</v>
      </c>
      <c r="D38" s="3">
        <f t="shared" si="8"/>
        <v>399</v>
      </c>
      <c r="E38" s="3">
        <f t="shared" si="8"/>
        <v>399</v>
      </c>
      <c r="F38" s="3">
        <f t="shared" si="8"/>
        <v>385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1245</v>
      </c>
      <c r="D39" s="3">
        <f t="shared" si="8"/>
        <v>410</v>
      </c>
      <c r="E39" s="3">
        <f t="shared" si="8"/>
        <v>410</v>
      </c>
      <c r="F39" s="3">
        <f t="shared" si="8"/>
        <v>396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1280</v>
      </c>
      <c r="D40" s="3">
        <f t="shared" si="8"/>
        <v>422</v>
      </c>
      <c r="E40" s="3">
        <f t="shared" si="8"/>
        <v>422</v>
      </c>
      <c r="F40" s="3">
        <f t="shared" si="8"/>
        <v>407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1315</v>
      </c>
      <c r="D41" s="3">
        <f t="shared" si="8"/>
        <v>433</v>
      </c>
      <c r="E41" s="3">
        <f t="shared" si="8"/>
        <v>433</v>
      </c>
      <c r="F41" s="3">
        <f t="shared" si="8"/>
        <v>418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1350</v>
      </c>
      <c r="D42" s="3">
        <f t="shared" si="8"/>
        <v>445</v>
      </c>
      <c r="E42" s="3">
        <f t="shared" si="8"/>
        <v>445</v>
      </c>
      <c r="F42" s="3">
        <f t="shared" si="8"/>
        <v>429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1385</v>
      </c>
      <c r="D43" s="3">
        <f t="shared" si="8"/>
        <v>456</v>
      </c>
      <c r="E43" s="3">
        <f t="shared" si="8"/>
        <v>456</v>
      </c>
      <c r="F43" s="3">
        <f t="shared" si="8"/>
        <v>440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1420</v>
      </c>
      <c r="D44" s="3">
        <f t="shared" si="8"/>
        <v>467</v>
      </c>
      <c r="E44" s="3">
        <f t="shared" si="8"/>
        <v>467</v>
      </c>
      <c r="F44" s="3">
        <f t="shared" si="8"/>
        <v>451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1454</v>
      </c>
      <c r="D45" s="3">
        <f t="shared" si="9"/>
        <v>479</v>
      </c>
      <c r="E45" s="3">
        <f t="shared" si="9"/>
        <v>479</v>
      </c>
      <c r="F45" s="3">
        <f t="shared" si="9"/>
        <v>463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1489</v>
      </c>
      <c r="D46" s="3">
        <f t="shared" si="11"/>
        <v>490</v>
      </c>
      <c r="E46" s="3">
        <f t="shared" si="11"/>
        <v>490</v>
      </c>
      <c r="F46" s="3">
        <f t="shared" si="11"/>
        <v>474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1524</v>
      </c>
      <c r="D47" s="3">
        <f t="shared" si="11"/>
        <v>502</v>
      </c>
      <c r="E47" s="3">
        <f t="shared" si="11"/>
        <v>502</v>
      </c>
      <c r="F47" s="3">
        <f t="shared" si="11"/>
        <v>485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1559</v>
      </c>
      <c r="D48" s="3">
        <f t="shared" si="11"/>
        <v>513</v>
      </c>
      <c r="E48" s="3">
        <f t="shared" si="11"/>
        <v>513</v>
      </c>
      <c r="F48" s="3">
        <f t="shared" si="11"/>
        <v>496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1594</v>
      </c>
      <c r="D49" s="3">
        <f t="shared" si="11"/>
        <v>525</v>
      </c>
      <c r="E49" s="3">
        <f t="shared" si="11"/>
        <v>525</v>
      </c>
      <c r="F49" s="3">
        <f t="shared" si="11"/>
        <v>507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1629</v>
      </c>
      <c r="D50" s="3">
        <f t="shared" si="11"/>
        <v>536</v>
      </c>
      <c r="E50" s="3">
        <f t="shared" si="11"/>
        <v>536</v>
      </c>
      <c r="F50" s="3">
        <f t="shared" si="11"/>
        <v>518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1664</v>
      </c>
      <c r="D51" s="3">
        <f t="shared" si="11"/>
        <v>548</v>
      </c>
      <c r="E51" s="3">
        <f t="shared" si="11"/>
        <v>548</v>
      </c>
      <c r="F51" s="3">
        <f t="shared" si="11"/>
        <v>529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1698</v>
      </c>
      <c r="D52" s="3">
        <f t="shared" si="11"/>
        <v>559</v>
      </c>
      <c r="E52" s="3">
        <f t="shared" si="11"/>
        <v>559</v>
      </c>
      <c r="F52" s="3">
        <f t="shared" si="11"/>
        <v>540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1733</v>
      </c>
      <c r="D53" s="3">
        <f t="shared" si="11"/>
        <v>571</v>
      </c>
      <c r="E53" s="3">
        <f t="shared" si="11"/>
        <v>571</v>
      </c>
      <c r="F53" s="3">
        <f t="shared" si="11"/>
        <v>551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1768</v>
      </c>
      <c r="D54" s="3">
        <f t="shared" si="11"/>
        <v>582</v>
      </c>
      <c r="E54" s="3">
        <f t="shared" si="11"/>
        <v>582</v>
      </c>
      <c r="F54" s="3">
        <f t="shared" si="11"/>
        <v>562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1803</v>
      </c>
      <c r="D55" s="3">
        <f t="shared" si="11"/>
        <v>594</v>
      </c>
      <c r="E55" s="3">
        <f t="shared" si="11"/>
        <v>594</v>
      </c>
      <c r="F55" s="3">
        <f t="shared" si="11"/>
        <v>573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1838</v>
      </c>
      <c r="D56" s="3">
        <f t="shared" si="11"/>
        <v>605</v>
      </c>
      <c r="E56" s="3">
        <f t="shared" si="11"/>
        <v>605</v>
      </c>
      <c r="F56" s="3">
        <f t="shared" si="11"/>
        <v>585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1873</v>
      </c>
      <c r="D57" s="3">
        <f t="shared" si="11"/>
        <v>616</v>
      </c>
      <c r="E57" s="3">
        <f t="shared" si="11"/>
        <v>616</v>
      </c>
      <c r="F57" s="3">
        <f t="shared" si="11"/>
        <v>596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1907</v>
      </c>
      <c r="D58" s="3">
        <f t="shared" si="11"/>
        <v>628</v>
      </c>
      <c r="E58" s="3">
        <f t="shared" si="11"/>
        <v>628</v>
      </c>
      <c r="F58" s="3">
        <f t="shared" si="11"/>
        <v>607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1942</v>
      </c>
      <c r="D59" s="3">
        <f t="shared" si="11"/>
        <v>639</v>
      </c>
      <c r="E59" s="3">
        <f t="shared" si="11"/>
        <v>639</v>
      </c>
      <c r="F59" s="3">
        <f t="shared" si="11"/>
        <v>618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1977</v>
      </c>
      <c r="D60" s="3">
        <f t="shared" si="11"/>
        <v>651</v>
      </c>
      <c r="E60" s="3">
        <f t="shared" si="11"/>
        <v>651</v>
      </c>
      <c r="F60" s="3">
        <f t="shared" si="11"/>
        <v>629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2012</v>
      </c>
      <c r="D61" s="3">
        <f t="shared" si="11"/>
        <v>662</v>
      </c>
      <c r="E61" s="3">
        <f t="shared" si="11"/>
        <v>662</v>
      </c>
      <c r="F61" s="3">
        <f t="shared" si="11"/>
        <v>640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2047</v>
      </c>
      <c r="D62" s="3">
        <f t="shared" si="11"/>
        <v>674</v>
      </c>
      <c r="E62" s="3">
        <f t="shared" si="11"/>
        <v>674</v>
      </c>
      <c r="F62" s="3">
        <f t="shared" si="11"/>
        <v>651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2082</v>
      </c>
      <c r="D63" s="3">
        <f t="shared" si="11"/>
        <v>685</v>
      </c>
      <c r="E63" s="3">
        <f t="shared" si="11"/>
        <v>685</v>
      </c>
      <c r="F63" s="3">
        <f t="shared" si="11"/>
        <v>662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2117</v>
      </c>
      <c r="D64" s="3">
        <f t="shared" si="11"/>
        <v>697</v>
      </c>
      <c r="E64" s="3">
        <f t="shared" si="11"/>
        <v>697</v>
      </c>
      <c r="F64" s="3">
        <f t="shared" si="11"/>
        <v>673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2151</v>
      </c>
      <c r="D65" s="3">
        <f t="shared" si="11"/>
        <v>708</v>
      </c>
      <c r="E65" s="3">
        <f t="shared" si="11"/>
        <v>708</v>
      </c>
      <c r="F65" s="3">
        <f t="shared" si="11"/>
        <v>684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2186</v>
      </c>
      <c r="D66" s="3">
        <f t="shared" si="11"/>
        <v>720</v>
      </c>
      <c r="E66" s="3">
        <f t="shared" si="11"/>
        <v>720</v>
      </c>
      <c r="F66" s="3">
        <f t="shared" si="11"/>
        <v>695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2221</v>
      </c>
      <c r="D67" s="3">
        <f t="shared" si="11"/>
        <v>731</v>
      </c>
      <c r="E67" s="3">
        <f t="shared" si="11"/>
        <v>731</v>
      </c>
      <c r="F67" s="3">
        <f t="shared" si="11"/>
        <v>707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2256</v>
      </c>
      <c r="D68" s="3">
        <f t="shared" si="11"/>
        <v>743</v>
      </c>
      <c r="E68" s="3">
        <f t="shared" si="11"/>
        <v>743</v>
      </c>
      <c r="F68" s="3">
        <f t="shared" si="11"/>
        <v>718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2291</v>
      </c>
      <c r="D69" s="3">
        <f t="shared" si="11"/>
        <v>754</v>
      </c>
      <c r="E69" s="3">
        <f t="shared" si="11"/>
        <v>754</v>
      </c>
      <c r="F69" s="3">
        <f t="shared" si="11"/>
        <v>729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2326</v>
      </c>
      <c r="D70" s="3">
        <f t="shared" si="11"/>
        <v>766</v>
      </c>
      <c r="E70" s="3">
        <f t="shared" si="11"/>
        <v>766</v>
      </c>
      <c r="F70" s="3">
        <f t="shared" si="11"/>
        <v>740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2360</v>
      </c>
      <c r="D71" s="3">
        <f t="shared" si="11"/>
        <v>777</v>
      </c>
      <c r="E71" s="3">
        <f t="shared" si="11"/>
        <v>777</v>
      </c>
      <c r="F71" s="3">
        <f t="shared" si="11"/>
        <v>751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2395</v>
      </c>
      <c r="D72" s="3">
        <f t="shared" si="11"/>
        <v>788</v>
      </c>
      <c r="E72" s="3">
        <f t="shared" si="11"/>
        <v>788</v>
      </c>
      <c r="F72" s="3">
        <f t="shared" si="11"/>
        <v>762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2430</v>
      </c>
      <c r="D73" s="3">
        <f t="shared" si="11"/>
        <v>800</v>
      </c>
      <c r="E73" s="3">
        <f t="shared" si="11"/>
        <v>800</v>
      </c>
      <c r="F73" s="3">
        <f t="shared" si="11"/>
        <v>773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2465</v>
      </c>
      <c r="D74" s="3">
        <f t="shared" si="11"/>
        <v>811</v>
      </c>
      <c r="E74" s="3">
        <f t="shared" si="11"/>
        <v>811</v>
      </c>
      <c r="F74" s="3">
        <f t="shared" si="11"/>
        <v>784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2500</v>
      </c>
      <c r="D75" s="3">
        <f t="shared" si="11"/>
        <v>823</v>
      </c>
      <c r="E75" s="3">
        <f t="shared" si="11"/>
        <v>823</v>
      </c>
      <c r="F75" s="3">
        <f t="shared" si="11"/>
        <v>795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2535</v>
      </c>
      <c r="D76" s="3">
        <f t="shared" si="11"/>
        <v>834</v>
      </c>
      <c r="E76" s="3">
        <f t="shared" si="11"/>
        <v>834</v>
      </c>
      <c r="F76" s="3">
        <f t="shared" si="11"/>
        <v>806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2570</v>
      </c>
      <c r="D77" s="3">
        <f t="shared" si="11"/>
        <v>846</v>
      </c>
      <c r="E77" s="3">
        <f t="shared" si="11"/>
        <v>846</v>
      </c>
      <c r="F77" s="3">
        <f t="shared" si="11"/>
        <v>817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2604</v>
      </c>
      <c r="D78" s="3">
        <f t="shared" si="11"/>
        <v>857</v>
      </c>
      <c r="E78" s="3">
        <f t="shared" si="11"/>
        <v>857</v>
      </c>
      <c r="F78" s="3">
        <f t="shared" si="11"/>
        <v>829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2639</v>
      </c>
      <c r="D79" s="3">
        <f t="shared" si="11"/>
        <v>869</v>
      </c>
      <c r="E79" s="3">
        <f t="shared" si="11"/>
        <v>869</v>
      </c>
      <c r="F79" s="3">
        <f t="shared" si="11"/>
        <v>840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2674</v>
      </c>
      <c r="D80" s="3">
        <f t="shared" si="11"/>
        <v>880</v>
      </c>
      <c r="E80" s="3">
        <f t="shared" si="11"/>
        <v>880</v>
      </c>
      <c r="F80" s="3">
        <f t="shared" si="11"/>
        <v>851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2709</v>
      </c>
      <c r="D81" s="3">
        <f t="shared" si="11"/>
        <v>892</v>
      </c>
      <c r="E81" s="3">
        <f t="shared" si="11"/>
        <v>892</v>
      </c>
      <c r="F81" s="3">
        <f t="shared" si="11"/>
        <v>862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2744</v>
      </c>
      <c r="D82" s="3">
        <f t="shared" si="11"/>
        <v>903</v>
      </c>
      <c r="E82" s="3">
        <f t="shared" si="11"/>
        <v>903</v>
      </c>
      <c r="F82" s="3">
        <f t="shared" si="11"/>
        <v>873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2779</v>
      </c>
      <c r="D83" s="3">
        <f t="shared" si="11"/>
        <v>915</v>
      </c>
      <c r="E83" s="3">
        <f t="shared" si="11"/>
        <v>915</v>
      </c>
      <c r="F83" s="3">
        <f t="shared" si="11"/>
        <v>884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2814</v>
      </c>
      <c r="D84" s="3">
        <f t="shared" si="11"/>
        <v>926</v>
      </c>
      <c r="E84" s="3">
        <f t="shared" si="11"/>
        <v>926</v>
      </c>
      <c r="F84" s="3">
        <f t="shared" si="11"/>
        <v>895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2848</v>
      </c>
      <c r="D85" s="3">
        <f t="shared" si="11"/>
        <v>937</v>
      </c>
      <c r="E85" s="3">
        <f t="shared" si="11"/>
        <v>937</v>
      </c>
      <c r="F85" s="3">
        <f t="shared" si="11"/>
        <v>906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2883</v>
      </c>
      <c r="D86" s="3">
        <f t="shared" si="11"/>
        <v>949</v>
      </c>
      <c r="E86" s="3">
        <f t="shared" si="11"/>
        <v>949</v>
      </c>
      <c r="F86" s="3">
        <f t="shared" si="11"/>
        <v>917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2918</v>
      </c>
      <c r="D87" s="3">
        <f t="shared" si="11"/>
        <v>960</v>
      </c>
      <c r="E87" s="3">
        <f t="shared" si="11"/>
        <v>960</v>
      </c>
      <c r="F87" s="3">
        <f t="shared" si="11"/>
        <v>928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2953</v>
      </c>
      <c r="D88" s="3">
        <f t="shared" si="11"/>
        <v>972</v>
      </c>
      <c r="E88" s="3">
        <f t="shared" si="11"/>
        <v>972</v>
      </c>
      <c r="F88" s="3">
        <f t="shared" si="11"/>
        <v>939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2988</v>
      </c>
      <c r="D89" s="3">
        <f t="shared" si="11"/>
        <v>983</v>
      </c>
      <c r="E89" s="3">
        <f t="shared" si="11"/>
        <v>983</v>
      </c>
      <c r="F89" s="3">
        <f t="shared" si="11"/>
        <v>951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3023</v>
      </c>
      <c r="D90" s="3">
        <f t="shared" si="11"/>
        <v>995</v>
      </c>
      <c r="E90" s="3">
        <f t="shared" si="11"/>
        <v>995</v>
      </c>
      <c r="F90" s="3">
        <f t="shared" si="11"/>
        <v>962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3057</v>
      </c>
      <c r="D91" s="3">
        <f t="shared" si="11"/>
        <v>1006</v>
      </c>
      <c r="E91" s="3">
        <f t="shared" si="11"/>
        <v>1006</v>
      </c>
      <c r="F91" s="3">
        <f t="shared" si="11"/>
        <v>973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3092</v>
      </c>
      <c r="D92" s="3">
        <f t="shared" si="11"/>
        <v>1018</v>
      </c>
      <c r="E92" s="3">
        <f t="shared" si="11"/>
        <v>1018</v>
      </c>
      <c r="F92" s="3">
        <f t="shared" si="11"/>
        <v>984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3127</v>
      </c>
      <c r="D93" s="3">
        <f t="shared" si="11"/>
        <v>1029</v>
      </c>
      <c r="E93" s="3">
        <f t="shared" si="11"/>
        <v>1029</v>
      </c>
      <c r="F93" s="3">
        <f t="shared" si="11"/>
        <v>995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3162</v>
      </c>
      <c r="D94" s="3">
        <f t="shared" si="11"/>
        <v>1041</v>
      </c>
      <c r="E94" s="3">
        <f t="shared" si="11"/>
        <v>1041</v>
      </c>
      <c r="F94" s="3">
        <f t="shared" si="11"/>
        <v>1006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3197</v>
      </c>
      <c r="D95" s="3">
        <f t="shared" si="11"/>
        <v>1052</v>
      </c>
      <c r="E95" s="3">
        <f t="shared" si="11"/>
        <v>1052</v>
      </c>
      <c r="F95" s="3">
        <f t="shared" si="11"/>
        <v>1017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3232</v>
      </c>
      <c r="D96" s="3">
        <f t="shared" si="11"/>
        <v>1064</v>
      </c>
      <c r="E96" s="3">
        <f t="shared" si="11"/>
        <v>1064</v>
      </c>
      <c r="F96" s="3">
        <f t="shared" si="11"/>
        <v>1028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3267</v>
      </c>
      <c r="D97" s="3">
        <f t="shared" si="11"/>
        <v>1075</v>
      </c>
      <c r="E97" s="3">
        <f t="shared" si="11"/>
        <v>1075</v>
      </c>
      <c r="F97" s="3">
        <f t="shared" si="11"/>
        <v>1039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3301</v>
      </c>
      <c r="D98" s="3">
        <f t="shared" si="11"/>
        <v>1087</v>
      </c>
      <c r="E98" s="3">
        <f t="shared" si="11"/>
        <v>1087</v>
      </c>
      <c r="F98" s="3">
        <f t="shared" si="11"/>
        <v>1050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3336</v>
      </c>
      <c r="D99" s="3">
        <f t="shared" si="11"/>
        <v>1098</v>
      </c>
      <c r="E99" s="3">
        <f t="shared" si="11"/>
        <v>1098</v>
      </c>
      <c r="F99" s="3">
        <f t="shared" si="11"/>
        <v>1061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3371</v>
      </c>
      <c r="D100" s="3">
        <f t="shared" si="11"/>
        <v>1109</v>
      </c>
      <c r="E100" s="3">
        <f t="shared" si="11"/>
        <v>1109</v>
      </c>
      <c r="F100" s="3">
        <f t="shared" si="11"/>
        <v>1073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3406</v>
      </c>
      <c r="D101" s="3">
        <f t="shared" si="11"/>
        <v>1121</v>
      </c>
      <c r="E101" s="3">
        <f t="shared" si="11"/>
        <v>1121</v>
      </c>
      <c r="F101" s="3">
        <f t="shared" si="11"/>
        <v>1084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3441</v>
      </c>
      <c r="D102" s="3">
        <f t="shared" si="11"/>
        <v>1132</v>
      </c>
      <c r="E102" s="3">
        <f t="shared" si="11"/>
        <v>1132</v>
      </c>
      <c r="F102" s="3">
        <f t="shared" si="11"/>
        <v>1095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3476</v>
      </c>
      <c r="D103" s="3">
        <f t="shared" si="11"/>
        <v>1144</v>
      </c>
      <c r="E103" s="3">
        <f t="shared" si="11"/>
        <v>1144</v>
      </c>
      <c r="F103" s="3">
        <f t="shared" si="11"/>
        <v>1106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3510</v>
      </c>
      <c r="D104" s="3">
        <f t="shared" si="11"/>
        <v>1155</v>
      </c>
      <c r="E104" s="3">
        <f t="shared" si="11"/>
        <v>1155</v>
      </c>
      <c r="F104" s="3">
        <f t="shared" si="11"/>
        <v>1117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3545</v>
      </c>
      <c r="D105" s="3">
        <f t="shared" si="11"/>
        <v>1167</v>
      </c>
      <c r="E105" s="3">
        <f t="shared" si="11"/>
        <v>1167</v>
      </c>
      <c r="F105" s="3">
        <f t="shared" si="11"/>
        <v>1128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3580</v>
      </c>
      <c r="D106" s="3">
        <f t="shared" si="11"/>
        <v>1178</v>
      </c>
      <c r="E106" s="3">
        <f t="shared" si="11"/>
        <v>1178</v>
      </c>
      <c r="F106" s="3">
        <f t="shared" si="11"/>
        <v>1139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3615</v>
      </c>
      <c r="D107" s="3">
        <f t="shared" si="11"/>
        <v>1190</v>
      </c>
      <c r="E107" s="3">
        <f t="shared" si="11"/>
        <v>1190</v>
      </c>
      <c r="F107" s="3">
        <f t="shared" si="11"/>
        <v>1150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3650</v>
      </c>
      <c r="D108" s="3">
        <f t="shared" si="11"/>
        <v>1201</v>
      </c>
      <c r="E108" s="3">
        <f t="shared" si="11"/>
        <v>1201</v>
      </c>
      <c r="F108" s="3">
        <f t="shared" si="11"/>
        <v>1161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3685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1172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3720</v>
      </c>
      <c r="D110" s="3">
        <f t="shared" si="15"/>
        <v>1224</v>
      </c>
      <c r="E110" s="3">
        <f t="shared" si="15"/>
        <v>1224</v>
      </c>
      <c r="F110" s="3">
        <f t="shared" si="15"/>
        <v>1183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3754</v>
      </c>
      <c r="D111" s="3">
        <f t="shared" si="15"/>
        <v>1236</v>
      </c>
      <c r="E111" s="3">
        <f t="shared" si="15"/>
        <v>1236</v>
      </c>
      <c r="F111" s="3">
        <f t="shared" si="15"/>
        <v>1195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3789</v>
      </c>
      <c r="D112" s="3">
        <f t="shared" si="15"/>
        <v>1247</v>
      </c>
      <c r="E112" s="3">
        <f t="shared" si="15"/>
        <v>1247</v>
      </c>
      <c r="F112" s="3">
        <f t="shared" si="15"/>
        <v>1206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3824</v>
      </c>
      <c r="D113" s="3">
        <f t="shared" si="15"/>
        <v>1258</v>
      </c>
      <c r="E113" s="3">
        <f t="shared" si="15"/>
        <v>1258</v>
      </c>
      <c r="F113" s="3">
        <f t="shared" si="15"/>
        <v>1217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3859</v>
      </c>
      <c r="D114" s="3">
        <f t="shared" si="15"/>
        <v>1270</v>
      </c>
      <c r="E114" s="3">
        <f t="shared" si="15"/>
        <v>1270</v>
      </c>
      <c r="F114" s="3">
        <f t="shared" si="15"/>
        <v>1228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3894</v>
      </c>
      <c r="D115" s="3">
        <f t="shared" si="15"/>
        <v>1281</v>
      </c>
      <c r="E115" s="3">
        <f t="shared" si="15"/>
        <v>1281</v>
      </c>
      <c r="F115" s="3">
        <f t="shared" si="15"/>
        <v>1239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3929</v>
      </c>
      <c r="D116" s="3">
        <f t="shared" si="15"/>
        <v>1293</v>
      </c>
      <c r="E116" s="3">
        <f t="shared" si="15"/>
        <v>1293</v>
      </c>
      <c r="F116" s="3">
        <f t="shared" si="15"/>
        <v>1250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3964</v>
      </c>
      <c r="D117" s="3">
        <f t="shared" si="15"/>
        <v>1304</v>
      </c>
      <c r="E117" s="3">
        <f t="shared" si="15"/>
        <v>1304</v>
      </c>
      <c r="F117" s="3">
        <f t="shared" si="15"/>
        <v>1261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3998</v>
      </c>
      <c r="D118" s="3">
        <f t="shared" si="15"/>
        <v>1316</v>
      </c>
      <c r="E118" s="3">
        <f t="shared" si="15"/>
        <v>1316</v>
      </c>
      <c r="F118" s="3">
        <f t="shared" si="15"/>
        <v>1272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4033</v>
      </c>
      <c r="D119" s="3">
        <f t="shared" si="15"/>
        <v>1327</v>
      </c>
      <c r="E119" s="3">
        <f t="shared" si="15"/>
        <v>1327</v>
      </c>
      <c r="F119" s="3">
        <f t="shared" si="15"/>
        <v>1283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4068</v>
      </c>
      <c r="D120" s="3">
        <f t="shared" si="15"/>
        <v>1339</v>
      </c>
      <c r="E120" s="3">
        <f t="shared" si="15"/>
        <v>1339</v>
      </c>
      <c r="F120" s="3">
        <f t="shared" si="15"/>
        <v>1294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4103</v>
      </c>
      <c r="D121" s="3">
        <f t="shared" si="15"/>
        <v>1350</v>
      </c>
      <c r="E121" s="3">
        <f t="shared" si="15"/>
        <v>1350</v>
      </c>
      <c r="F121" s="3">
        <f t="shared" si="15"/>
        <v>1305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4138</v>
      </c>
      <c r="D122" s="3">
        <f t="shared" si="15"/>
        <v>1362</v>
      </c>
      <c r="E122" s="3">
        <f t="shared" si="15"/>
        <v>1362</v>
      </c>
      <c r="F122" s="3">
        <f t="shared" si="15"/>
        <v>1317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4173</v>
      </c>
      <c r="D123" s="3">
        <f t="shared" si="15"/>
        <v>1373</v>
      </c>
      <c r="E123" s="3">
        <f t="shared" si="15"/>
        <v>1373</v>
      </c>
      <c r="F123" s="3">
        <f t="shared" si="15"/>
        <v>1328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4207</v>
      </c>
      <c r="D124" s="3">
        <f t="shared" si="15"/>
        <v>1385</v>
      </c>
      <c r="E124" s="3">
        <f t="shared" si="15"/>
        <v>1385</v>
      </c>
      <c r="F124" s="3">
        <f t="shared" si="15"/>
        <v>1339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4242</v>
      </c>
      <c r="D125" s="3">
        <f t="shared" si="15"/>
        <v>1396</v>
      </c>
      <c r="E125" s="3">
        <f t="shared" si="15"/>
        <v>1396</v>
      </c>
      <c r="F125" s="3">
        <f t="shared" si="15"/>
        <v>1350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4277</v>
      </c>
      <c r="D126" s="3">
        <f t="shared" si="15"/>
        <v>1408</v>
      </c>
      <c r="E126" s="3">
        <f t="shared" si="15"/>
        <v>1408</v>
      </c>
      <c r="F126" s="3">
        <f t="shared" si="15"/>
        <v>1361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4312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1372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34" workbookViewId="0">
      <selection activeCell="C49" sqref="C49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862</v>
      </c>
      <c r="E5">
        <f>属性拆分生成!D28</f>
        <v>284</v>
      </c>
      <c r="F5">
        <f>属性拆分生成!E28</f>
        <v>284</v>
      </c>
      <c r="G5">
        <v>100</v>
      </c>
      <c r="H5">
        <f>属性拆分生成!F28</f>
        <v>274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897</v>
      </c>
      <c r="E6">
        <f>属性拆分生成!D29</f>
        <v>295</v>
      </c>
      <c r="F6">
        <f>属性拆分生成!E29</f>
        <v>295</v>
      </c>
      <c r="G6">
        <v>100</v>
      </c>
      <c r="H6">
        <f>属性拆分生成!F29</f>
        <v>285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932</v>
      </c>
      <c r="E7">
        <f>属性拆分生成!D30</f>
        <v>307</v>
      </c>
      <c r="F7">
        <f>属性拆分生成!E30</f>
        <v>307</v>
      </c>
      <c r="G7">
        <v>100</v>
      </c>
      <c r="H7">
        <f>属性拆分生成!F30</f>
        <v>296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967</v>
      </c>
      <c r="E8">
        <f>属性拆分生成!D31</f>
        <v>318</v>
      </c>
      <c r="F8">
        <f>属性拆分生成!E31</f>
        <v>318</v>
      </c>
      <c r="G8">
        <v>100</v>
      </c>
      <c r="H8">
        <f>属性拆分生成!F31</f>
        <v>307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1001</v>
      </c>
      <c r="E9">
        <f>属性拆分生成!D32</f>
        <v>330</v>
      </c>
      <c r="F9">
        <f>属性拆分生成!E32</f>
        <v>330</v>
      </c>
      <c r="G9">
        <v>100</v>
      </c>
      <c r="H9">
        <f>属性拆分生成!F32</f>
        <v>318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1036</v>
      </c>
      <c r="E10">
        <f>属性拆分生成!D33</f>
        <v>341</v>
      </c>
      <c r="F10">
        <f>属性拆分生成!E33</f>
        <v>341</v>
      </c>
      <c r="G10">
        <v>100</v>
      </c>
      <c r="H10">
        <f>属性拆分生成!F33</f>
        <v>329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1071</v>
      </c>
      <c r="E11">
        <f>属性拆分生成!D34</f>
        <v>353</v>
      </c>
      <c r="F11">
        <f>属性拆分生成!E34</f>
        <v>353</v>
      </c>
      <c r="G11">
        <v>100</v>
      </c>
      <c r="H11">
        <f>属性拆分生成!F34</f>
        <v>341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1106</v>
      </c>
      <c r="E12">
        <f>属性拆分生成!D35</f>
        <v>364</v>
      </c>
      <c r="F12">
        <f>属性拆分生成!E35</f>
        <v>364</v>
      </c>
      <c r="G12">
        <v>100</v>
      </c>
      <c r="H12">
        <f>属性拆分生成!F35</f>
        <v>352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1141</v>
      </c>
      <c r="E13">
        <f>属性拆分生成!D36</f>
        <v>376</v>
      </c>
      <c r="F13">
        <f>属性拆分生成!E36</f>
        <v>376</v>
      </c>
      <c r="G13">
        <v>100</v>
      </c>
      <c r="H13">
        <f>属性拆分生成!F36</f>
        <v>363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1176</v>
      </c>
      <c r="E14">
        <f>属性拆分生成!D37</f>
        <v>387</v>
      </c>
      <c r="F14">
        <f>属性拆分生成!E37</f>
        <v>387</v>
      </c>
      <c r="G14">
        <v>100</v>
      </c>
      <c r="H14">
        <f>属性拆分生成!F37</f>
        <v>374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1210</v>
      </c>
      <c r="E15">
        <f>属性拆分生成!D38</f>
        <v>399</v>
      </c>
      <c r="F15">
        <f>属性拆分生成!E38</f>
        <v>399</v>
      </c>
      <c r="G15">
        <v>100</v>
      </c>
      <c r="H15">
        <f>属性拆分生成!F38</f>
        <v>385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1245</v>
      </c>
      <c r="E16">
        <f>属性拆分生成!D39</f>
        <v>410</v>
      </c>
      <c r="F16">
        <f>属性拆分生成!E39</f>
        <v>410</v>
      </c>
      <c r="G16">
        <v>100</v>
      </c>
      <c r="H16">
        <f>属性拆分生成!F39</f>
        <v>396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1280</v>
      </c>
      <c r="E17">
        <f>属性拆分生成!D40</f>
        <v>422</v>
      </c>
      <c r="F17">
        <f>属性拆分生成!E40</f>
        <v>422</v>
      </c>
      <c r="G17">
        <v>100</v>
      </c>
      <c r="H17">
        <f>属性拆分生成!F40</f>
        <v>407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1315</v>
      </c>
      <c r="E18">
        <f>属性拆分生成!D41</f>
        <v>433</v>
      </c>
      <c r="F18">
        <f>属性拆分生成!E41</f>
        <v>433</v>
      </c>
      <c r="G18">
        <v>100</v>
      </c>
      <c r="H18">
        <f>属性拆分生成!F41</f>
        <v>418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1350</v>
      </c>
      <c r="E19">
        <f>属性拆分生成!D42</f>
        <v>445</v>
      </c>
      <c r="F19">
        <f>属性拆分生成!E42</f>
        <v>445</v>
      </c>
      <c r="G19">
        <v>100</v>
      </c>
      <c r="H19">
        <f>属性拆分生成!F42</f>
        <v>429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1385</v>
      </c>
      <c r="E20">
        <f>属性拆分生成!D43</f>
        <v>456</v>
      </c>
      <c r="F20">
        <f>属性拆分生成!E43</f>
        <v>456</v>
      </c>
      <c r="G20">
        <v>100</v>
      </c>
      <c r="H20">
        <f>属性拆分生成!F43</f>
        <v>440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1420</v>
      </c>
      <c r="E21">
        <f>属性拆分生成!D44</f>
        <v>467</v>
      </c>
      <c r="F21">
        <f>属性拆分生成!E44</f>
        <v>467</v>
      </c>
      <c r="G21">
        <v>100</v>
      </c>
      <c r="H21">
        <f>属性拆分生成!F44</f>
        <v>451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1454</v>
      </c>
      <c r="E22">
        <f>属性拆分生成!D45</f>
        <v>479</v>
      </c>
      <c r="F22">
        <f>属性拆分生成!E45</f>
        <v>479</v>
      </c>
      <c r="G22">
        <v>100</v>
      </c>
      <c r="H22">
        <f>属性拆分生成!F45</f>
        <v>463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1489</v>
      </c>
      <c r="E23">
        <f>属性拆分生成!D46</f>
        <v>490</v>
      </c>
      <c r="F23">
        <f>属性拆分生成!E46</f>
        <v>490</v>
      </c>
      <c r="G23">
        <v>100</v>
      </c>
      <c r="H23">
        <f>属性拆分生成!F46</f>
        <v>474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1524</v>
      </c>
      <c r="E24">
        <f>属性拆分生成!D47</f>
        <v>502</v>
      </c>
      <c r="F24">
        <f>属性拆分生成!E47</f>
        <v>502</v>
      </c>
      <c r="G24">
        <v>100</v>
      </c>
      <c r="H24">
        <f>属性拆分生成!F47</f>
        <v>485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1559</v>
      </c>
      <c r="E25">
        <f>属性拆分生成!D48</f>
        <v>513</v>
      </c>
      <c r="F25">
        <f>属性拆分生成!E48</f>
        <v>513</v>
      </c>
      <c r="G25">
        <v>100</v>
      </c>
      <c r="H25">
        <f>属性拆分生成!F48</f>
        <v>496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1594</v>
      </c>
      <c r="E26">
        <f>属性拆分生成!D49</f>
        <v>525</v>
      </c>
      <c r="F26">
        <f>属性拆分生成!E49</f>
        <v>525</v>
      </c>
      <c r="G26">
        <v>100</v>
      </c>
      <c r="H26">
        <f>属性拆分生成!F49</f>
        <v>507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1629</v>
      </c>
      <c r="E27">
        <f>属性拆分生成!D50</f>
        <v>536</v>
      </c>
      <c r="F27">
        <f>属性拆分生成!E50</f>
        <v>536</v>
      </c>
      <c r="G27">
        <v>100</v>
      </c>
      <c r="H27">
        <f>属性拆分生成!F50</f>
        <v>518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1664</v>
      </c>
      <c r="E28">
        <f>属性拆分生成!D51</f>
        <v>548</v>
      </c>
      <c r="F28">
        <f>属性拆分生成!E51</f>
        <v>548</v>
      </c>
      <c r="G28">
        <v>100</v>
      </c>
      <c r="H28">
        <f>属性拆分生成!F51</f>
        <v>529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1698</v>
      </c>
      <c r="E29">
        <f>属性拆分生成!D52</f>
        <v>559</v>
      </c>
      <c r="F29">
        <f>属性拆分生成!E52</f>
        <v>559</v>
      </c>
      <c r="G29">
        <v>100</v>
      </c>
      <c r="H29">
        <f>属性拆分生成!F52</f>
        <v>540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1733</v>
      </c>
      <c r="E30">
        <f>属性拆分生成!D53</f>
        <v>571</v>
      </c>
      <c r="F30">
        <f>属性拆分生成!E53</f>
        <v>571</v>
      </c>
      <c r="G30">
        <v>100</v>
      </c>
      <c r="H30">
        <f>属性拆分生成!F53</f>
        <v>551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1768</v>
      </c>
      <c r="E31">
        <f>属性拆分生成!D54</f>
        <v>582</v>
      </c>
      <c r="F31">
        <f>属性拆分生成!E54</f>
        <v>582</v>
      </c>
      <c r="G31">
        <v>100</v>
      </c>
      <c r="H31">
        <f>属性拆分生成!F54</f>
        <v>562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1803</v>
      </c>
      <c r="E32">
        <f>属性拆分生成!D55</f>
        <v>594</v>
      </c>
      <c r="F32">
        <f>属性拆分生成!E55</f>
        <v>594</v>
      </c>
      <c r="G32">
        <v>100</v>
      </c>
      <c r="H32">
        <f>属性拆分生成!F55</f>
        <v>573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1838</v>
      </c>
      <c r="E33">
        <f>属性拆分生成!D56</f>
        <v>605</v>
      </c>
      <c r="F33">
        <f>属性拆分生成!E56</f>
        <v>605</v>
      </c>
      <c r="G33">
        <v>100</v>
      </c>
      <c r="H33">
        <f>属性拆分生成!F56</f>
        <v>585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1873</v>
      </c>
      <c r="E34">
        <f>属性拆分生成!D57</f>
        <v>616</v>
      </c>
      <c r="F34">
        <f>属性拆分生成!E57</f>
        <v>616</v>
      </c>
      <c r="G34">
        <v>100</v>
      </c>
      <c r="H34">
        <f>属性拆分生成!F57</f>
        <v>596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1907</v>
      </c>
      <c r="E35">
        <f>属性拆分生成!D58</f>
        <v>628</v>
      </c>
      <c r="F35">
        <f>属性拆分生成!E58</f>
        <v>628</v>
      </c>
      <c r="G35">
        <v>100</v>
      </c>
      <c r="H35">
        <f>属性拆分生成!F58</f>
        <v>607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1942</v>
      </c>
      <c r="E36">
        <f>属性拆分生成!D59</f>
        <v>639</v>
      </c>
      <c r="F36">
        <f>属性拆分生成!E59</f>
        <v>639</v>
      </c>
      <c r="G36">
        <v>100</v>
      </c>
      <c r="H36">
        <f>属性拆分生成!F59</f>
        <v>618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1977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629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2012</v>
      </c>
      <c r="E38">
        <f>属性拆分生成!D61</f>
        <v>662</v>
      </c>
      <c r="F38">
        <f>属性拆分生成!E61</f>
        <v>662</v>
      </c>
      <c r="G38">
        <v>100</v>
      </c>
      <c r="H38">
        <f>属性拆分生成!F61</f>
        <v>640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2047</v>
      </c>
      <c r="E39">
        <f>属性拆分生成!D62</f>
        <v>674</v>
      </c>
      <c r="F39">
        <f>属性拆分生成!E62</f>
        <v>674</v>
      </c>
      <c r="G39">
        <v>100</v>
      </c>
      <c r="H39">
        <f>属性拆分生成!F62</f>
        <v>651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2082</v>
      </c>
      <c r="E40">
        <f>属性拆分生成!D63</f>
        <v>685</v>
      </c>
      <c r="F40">
        <f>属性拆分生成!E63</f>
        <v>685</v>
      </c>
      <c r="G40">
        <v>100</v>
      </c>
      <c r="H40">
        <f>属性拆分生成!F63</f>
        <v>662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2117</v>
      </c>
      <c r="E41">
        <f>属性拆分生成!D64</f>
        <v>697</v>
      </c>
      <c r="F41">
        <f>属性拆分生成!E64</f>
        <v>697</v>
      </c>
      <c r="G41">
        <v>100</v>
      </c>
      <c r="H41">
        <f>属性拆分生成!F64</f>
        <v>673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2151</v>
      </c>
      <c r="E42">
        <f>属性拆分生成!D65</f>
        <v>708</v>
      </c>
      <c r="F42">
        <f>属性拆分生成!E65</f>
        <v>708</v>
      </c>
      <c r="G42">
        <v>100</v>
      </c>
      <c r="H42">
        <f>属性拆分生成!F65</f>
        <v>684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2186</v>
      </c>
      <c r="E43">
        <f>属性拆分生成!D66</f>
        <v>720</v>
      </c>
      <c r="F43">
        <f>属性拆分生成!E66</f>
        <v>720</v>
      </c>
      <c r="G43">
        <v>100</v>
      </c>
      <c r="H43">
        <f>属性拆分生成!F66</f>
        <v>695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2221</v>
      </c>
      <c r="E44">
        <f>属性拆分生成!D67</f>
        <v>731</v>
      </c>
      <c r="F44">
        <f>属性拆分生成!E67</f>
        <v>731</v>
      </c>
      <c r="G44">
        <v>100</v>
      </c>
      <c r="H44">
        <f>属性拆分生成!F67</f>
        <v>707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2256</v>
      </c>
      <c r="E45">
        <f>属性拆分生成!D68</f>
        <v>743</v>
      </c>
      <c r="F45">
        <f>属性拆分生成!E68</f>
        <v>743</v>
      </c>
      <c r="G45">
        <v>100</v>
      </c>
      <c r="H45">
        <f>属性拆分生成!F68</f>
        <v>718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2291</v>
      </c>
      <c r="E46">
        <f>属性拆分生成!D69</f>
        <v>754</v>
      </c>
      <c r="F46">
        <f>属性拆分生成!E69</f>
        <v>754</v>
      </c>
      <c r="G46">
        <v>100</v>
      </c>
      <c r="H46">
        <f>属性拆分生成!F69</f>
        <v>729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2326</v>
      </c>
      <c r="E47">
        <f>属性拆分生成!D70</f>
        <v>766</v>
      </c>
      <c r="F47">
        <f>属性拆分生成!E70</f>
        <v>766</v>
      </c>
      <c r="G47">
        <v>100</v>
      </c>
      <c r="H47">
        <f>属性拆分生成!F70</f>
        <v>740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2360</v>
      </c>
      <c r="E48">
        <f>属性拆分生成!D71</f>
        <v>777</v>
      </c>
      <c r="F48">
        <f>属性拆分生成!E71</f>
        <v>777</v>
      </c>
      <c r="G48">
        <v>100</v>
      </c>
      <c r="H48">
        <f>属性拆分生成!F71</f>
        <v>751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2395</v>
      </c>
      <c r="E49">
        <f>属性拆分生成!D72</f>
        <v>788</v>
      </c>
      <c r="F49">
        <f>属性拆分生成!E72</f>
        <v>788</v>
      </c>
      <c r="G49">
        <v>100</v>
      </c>
      <c r="H49">
        <f>属性拆分生成!F72</f>
        <v>762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2430</v>
      </c>
      <c r="E50">
        <f>属性拆分生成!D73</f>
        <v>800</v>
      </c>
      <c r="F50">
        <f>属性拆分生成!E73</f>
        <v>800</v>
      </c>
      <c r="G50">
        <v>100</v>
      </c>
      <c r="H50">
        <f>属性拆分生成!F73</f>
        <v>773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2465</v>
      </c>
      <c r="E51">
        <f>属性拆分生成!D74</f>
        <v>811</v>
      </c>
      <c r="F51">
        <f>属性拆分生成!E74</f>
        <v>811</v>
      </c>
      <c r="G51">
        <v>100</v>
      </c>
      <c r="H51">
        <f>属性拆分生成!F74</f>
        <v>784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2500</v>
      </c>
      <c r="E52">
        <f>属性拆分生成!D75</f>
        <v>823</v>
      </c>
      <c r="F52">
        <f>属性拆分生成!E75</f>
        <v>823</v>
      </c>
      <c r="G52">
        <v>100</v>
      </c>
      <c r="H52">
        <f>属性拆分生成!F75</f>
        <v>795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2535</v>
      </c>
      <c r="E53">
        <f>属性拆分生成!D76</f>
        <v>834</v>
      </c>
      <c r="F53">
        <f>属性拆分生成!E76</f>
        <v>834</v>
      </c>
      <c r="G53">
        <v>100</v>
      </c>
      <c r="H53">
        <f>属性拆分生成!F76</f>
        <v>806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2570</v>
      </c>
      <c r="E54">
        <f>属性拆分生成!D77</f>
        <v>846</v>
      </c>
      <c r="F54">
        <f>属性拆分生成!E77</f>
        <v>846</v>
      </c>
      <c r="G54">
        <v>100</v>
      </c>
      <c r="H54">
        <f>属性拆分生成!F77</f>
        <v>817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topLeftCell="A7" workbookViewId="0">
      <selection activeCell="J31" sqref="J31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327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862</v>
      </c>
      <c r="D20">
        <f>属性拆分生成!K21</f>
        <v>284</v>
      </c>
      <c r="E20">
        <f>属性拆分生成!K22</f>
        <v>284</v>
      </c>
      <c r="F20">
        <f>属性拆分生成!K23</f>
        <v>274</v>
      </c>
      <c r="T20">
        <f>R20*0.2</f>
        <v>0</v>
      </c>
    </row>
    <row r="21" spans="1:20">
      <c r="B21" t="s">
        <v>178</v>
      </c>
      <c r="C21">
        <f>C20*$E$3</f>
        <v>431</v>
      </c>
      <c r="D21">
        <f t="shared" ref="D21:F21" si="1">D20*$E$3</f>
        <v>142</v>
      </c>
      <c r="E21">
        <f t="shared" si="1"/>
        <v>142</v>
      </c>
      <c r="F21">
        <f t="shared" si="1"/>
        <v>137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335</v>
      </c>
      <c r="D24">
        <f t="shared" ref="D24:F24" si="3">ROUND(D25,0)</f>
        <v>110</v>
      </c>
      <c r="E24">
        <f t="shared" si="3"/>
        <v>110</v>
      </c>
      <c r="F24">
        <f t="shared" si="3"/>
        <v>107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335.31799999999993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106.58599999999997</v>
      </c>
      <c r="T25">
        <f t="shared" si="2"/>
        <v>0</v>
      </c>
    </row>
    <row r="26" spans="1:20">
      <c r="B26" t="s">
        <v>179</v>
      </c>
      <c r="C26" s="51">
        <f>C24/9</f>
        <v>37.222222222222221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11.888888888888889</v>
      </c>
    </row>
    <row r="27" spans="1:20">
      <c r="B27" t="s">
        <v>180</v>
      </c>
      <c r="C27" s="50">
        <f>C$26+C26</f>
        <v>74.444444444444443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23.777777777777779</v>
      </c>
    </row>
    <row r="28" spans="1:20">
      <c r="B28" t="s">
        <v>181</v>
      </c>
      <c r="C28" s="50">
        <f t="shared" ref="C28:C34" si="7">C$26+C27</f>
        <v>111.66666666666666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35.666666666666671</v>
      </c>
    </row>
    <row r="29" spans="1:20">
      <c r="B29" t="s">
        <v>182</v>
      </c>
      <c r="C29" s="50">
        <f t="shared" si="7"/>
        <v>148.88888888888889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47.555555555555557</v>
      </c>
    </row>
    <row r="30" spans="1:20">
      <c r="B30" t="s">
        <v>183</v>
      </c>
      <c r="C30" s="50">
        <f t="shared" si="7"/>
        <v>186.11111111111111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59.444444444444443</v>
      </c>
    </row>
    <row r="31" spans="1:20">
      <c r="B31" t="s">
        <v>184</v>
      </c>
      <c r="C31" s="50">
        <f t="shared" si="7"/>
        <v>223.33333333333334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71.333333333333329</v>
      </c>
    </row>
    <row r="32" spans="1:20">
      <c r="B32" t="s">
        <v>185</v>
      </c>
      <c r="C32" s="50">
        <f t="shared" si="7"/>
        <v>260.55555555555554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83.222222222222214</v>
      </c>
    </row>
    <row r="33" spans="1:21">
      <c r="B33" t="s">
        <v>186</v>
      </c>
      <c r="C33" s="50">
        <f t="shared" si="7"/>
        <v>297.77777777777777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95.1111111111111</v>
      </c>
    </row>
    <row r="34" spans="1:21">
      <c r="B34" t="s">
        <v>187</v>
      </c>
      <c r="C34" s="50">
        <f t="shared" si="7"/>
        <v>335</v>
      </c>
      <c r="D34" s="50">
        <f t="shared" si="8"/>
        <v>110</v>
      </c>
      <c r="E34" s="50">
        <f t="shared" si="9"/>
        <v>110</v>
      </c>
      <c r="F34" s="50">
        <f t="shared" si="10"/>
        <v>106.99999999999999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514</v>
      </c>
      <c r="D36">
        <f t="shared" ref="D36:F36" si="11">ROUND(D37,0)</f>
        <v>169</v>
      </c>
      <c r="E36">
        <f t="shared" si="11"/>
        <v>169</v>
      </c>
      <c r="F36">
        <f t="shared" si="11"/>
        <v>163</v>
      </c>
    </row>
    <row r="37" spans="1:21">
      <c r="B37" t="s">
        <v>176</v>
      </c>
      <c r="C37">
        <f>($F$6-$F$5)*C20</f>
        <v>514.06800920000023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163.40444840000009</v>
      </c>
    </row>
    <row r="38" spans="1:21">
      <c r="B38" t="s">
        <v>179</v>
      </c>
      <c r="C38" s="51">
        <f>C36/9</f>
        <v>57.111111111111114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18.111111111111111</v>
      </c>
    </row>
    <row r="39" spans="1:21">
      <c r="B39" t="s">
        <v>180</v>
      </c>
      <c r="C39" s="50">
        <f>C$38+C38</f>
        <v>114.22222222222223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36.222222222222221</v>
      </c>
    </row>
    <row r="40" spans="1:21">
      <c r="B40" t="s">
        <v>181</v>
      </c>
      <c r="C40" s="50">
        <f t="shared" ref="C40:C46" si="15">C$38+C39</f>
        <v>171.33333333333334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54.333333333333329</v>
      </c>
    </row>
    <row r="41" spans="1:21">
      <c r="B41" t="s">
        <v>182</v>
      </c>
      <c r="C41" s="50">
        <f t="shared" si="15"/>
        <v>228.44444444444446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72.444444444444443</v>
      </c>
    </row>
    <row r="42" spans="1:21">
      <c r="B42" t="s">
        <v>183</v>
      </c>
      <c r="C42" s="50">
        <f t="shared" si="15"/>
        <v>285.55555555555554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90.555555555555557</v>
      </c>
    </row>
    <row r="43" spans="1:21">
      <c r="B43" t="s">
        <v>184</v>
      </c>
      <c r="C43" s="50">
        <f t="shared" si="15"/>
        <v>342.66666666666663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108.66666666666667</v>
      </c>
    </row>
    <row r="44" spans="1:21">
      <c r="B44" t="s">
        <v>185</v>
      </c>
      <c r="C44" s="50">
        <f t="shared" si="15"/>
        <v>399.77777777777771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126.77777777777779</v>
      </c>
    </row>
    <row r="45" spans="1:21">
      <c r="B45" t="s">
        <v>186</v>
      </c>
      <c r="C45" s="50">
        <f t="shared" si="15"/>
        <v>456.8888888888888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144.88888888888889</v>
      </c>
    </row>
    <row r="46" spans="1:21">
      <c r="B46" t="s">
        <v>187</v>
      </c>
      <c r="C46" s="50">
        <f t="shared" si="15"/>
        <v>513.99999999999989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163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806</v>
      </c>
      <c r="D48">
        <f t="shared" ref="D48:F48" si="19">ROUND(D49,0)</f>
        <v>265</v>
      </c>
      <c r="E48">
        <f t="shared" si="19"/>
        <v>265</v>
      </c>
      <c r="F48">
        <f t="shared" si="19"/>
        <v>256</v>
      </c>
    </row>
    <row r="49" spans="1:21">
      <c r="B49" t="s">
        <v>176</v>
      </c>
      <c r="C49">
        <f>($F$8-$F$6)*C20</f>
        <v>805.69310473960059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256.10198456920017</v>
      </c>
    </row>
    <row r="50" spans="1:21">
      <c r="B50" t="s">
        <v>179</v>
      </c>
      <c r="C50" s="51">
        <f>C48/9</f>
        <v>89.555555555555557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28.444444444444443</v>
      </c>
    </row>
    <row r="51" spans="1:21">
      <c r="B51" t="s">
        <v>180</v>
      </c>
      <c r="C51" s="50">
        <f>C$50+C50</f>
        <v>179.11111111111111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56.888888888888886</v>
      </c>
    </row>
    <row r="52" spans="1:21">
      <c r="B52" t="s">
        <v>181</v>
      </c>
      <c r="C52" s="50">
        <f t="shared" ref="C52:C58" si="23">C$50+C51</f>
        <v>268.66666666666669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85.333333333333329</v>
      </c>
    </row>
    <row r="53" spans="1:21">
      <c r="B53" t="s">
        <v>182</v>
      </c>
      <c r="C53" s="50">
        <f t="shared" si="23"/>
        <v>358.22222222222223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113.77777777777777</v>
      </c>
    </row>
    <row r="54" spans="1:21">
      <c r="B54" t="s">
        <v>183</v>
      </c>
      <c r="C54" s="50">
        <f t="shared" si="23"/>
        <v>447.77777777777777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142.22222222222223</v>
      </c>
    </row>
    <row r="55" spans="1:21">
      <c r="B55" t="s">
        <v>184</v>
      </c>
      <c r="C55" s="50">
        <f t="shared" si="23"/>
        <v>537.33333333333337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170.66666666666669</v>
      </c>
    </row>
    <row r="56" spans="1:21">
      <c r="B56" t="s">
        <v>185</v>
      </c>
      <c r="C56" s="50">
        <f t="shared" si="23"/>
        <v>626.88888888888891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199.11111111111114</v>
      </c>
    </row>
    <row r="57" spans="1:21">
      <c r="B57" t="s">
        <v>186</v>
      </c>
      <c r="C57" s="50">
        <f t="shared" si="23"/>
        <v>716.44444444444446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227.5555555555556</v>
      </c>
    </row>
    <row r="58" spans="1:21">
      <c r="B58" t="s">
        <v>187</v>
      </c>
      <c r="C58" s="50">
        <f t="shared" si="23"/>
        <v>806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256.00000000000006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2034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646</v>
      </c>
    </row>
    <row r="61" spans="1:21">
      <c r="B61" t="s">
        <v>176</v>
      </c>
      <c r="C61">
        <f>($F$11-$F$8)*C20</f>
        <v>2033.7987838362317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646.47432340037994</v>
      </c>
    </row>
    <row r="62" spans="1:21">
      <c r="B62" t="s">
        <v>179</v>
      </c>
      <c r="C62" s="51">
        <f>C60/9</f>
        <v>226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71.777777777777771</v>
      </c>
    </row>
    <row r="63" spans="1:21">
      <c r="B63" t="s">
        <v>180</v>
      </c>
      <c r="C63" s="50">
        <f>C$62+C62</f>
        <v>452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143.55555555555554</v>
      </c>
    </row>
    <row r="64" spans="1:21">
      <c r="B64" t="s">
        <v>181</v>
      </c>
      <c r="C64" s="50">
        <f t="shared" ref="C64:C70" si="33">C$62+C63</f>
        <v>678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215.33333333333331</v>
      </c>
    </row>
    <row r="65" spans="1:21">
      <c r="B65" t="s">
        <v>182</v>
      </c>
      <c r="C65" s="50">
        <f t="shared" si="33"/>
        <v>904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287.11111111111109</v>
      </c>
    </row>
    <row r="66" spans="1:21">
      <c r="B66" t="s">
        <v>183</v>
      </c>
      <c r="C66" s="50">
        <f t="shared" si="33"/>
        <v>1130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358.88888888888886</v>
      </c>
    </row>
    <row r="67" spans="1:21">
      <c r="B67" t="s">
        <v>184</v>
      </c>
      <c r="C67" s="50">
        <f t="shared" si="33"/>
        <v>1356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430.66666666666663</v>
      </c>
    </row>
    <row r="68" spans="1:21">
      <c r="B68" t="s">
        <v>185</v>
      </c>
      <c r="C68" s="50">
        <f t="shared" si="33"/>
        <v>1582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502.4444444444444</v>
      </c>
    </row>
    <row r="69" spans="1:21">
      <c r="B69" t="s">
        <v>186</v>
      </c>
      <c r="C69" s="50">
        <f t="shared" si="33"/>
        <v>1808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574.22222222222217</v>
      </c>
    </row>
    <row r="70" spans="1:21">
      <c r="B70" t="s">
        <v>187</v>
      </c>
      <c r="C70" s="50">
        <f t="shared" si="33"/>
        <v>2034</v>
      </c>
      <c r="D70" s="50">
        <f t="shared" si="34"/>
        <v>670</v>
      </c>
      <c r="E70" s="50">
        <f t="shared" si="35"/>
        <v>670</v>
      </c>
      <c r="F70" s="50">
        <f t="shared" si="36"/>
        <v>646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4442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1412</v>
      </c>
    </row>
    <row r="73" spans="1:21">
      <c r="B73" t="s">
        <v>176</v>
      </c>
      <c r="C73">
        <f>($F$15-$F$12)*C20</f>
        <v>4442.4195806273683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1412.0916068351496</v>
      </c>
    </row>
    <row r="74" spans="1:21">
      <c r="B74" t="s">
        <v>179</v>
      </c>
      <c r="C74" s="51">
        <f>C72/9</f>
        <v>493.55555555555554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156.88888888888889</v>
      </c>
    </row>
    <row r="75" spans="1:21">
      <c r="B75" t="s">
        <v>180</v>
      </c>
      <c r="C75" s="50">
        <f>C$74+C74</f>
        <v>987.11111111111109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313.77777777777777</v>
      </c>
    </row>
    <row r="76" spans="1:21">
      <c r="B76" t="s">
        <v>181</v>
      </c>
      <c r="C76" s="50">
        <f t="shared" ref="C76:C82" si="43">C$74+C75</f>
        <v>1480.6666666666665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470.66666666666663</v>
      </c>
    </row>
    <row r="77" spans="1:21">
      <c r="B77" t="s">
        <v>182</v>
      </c>
      <c r="C77" s="50">
        <f t="shared" si="43"/>
        <v>1974.2222222222222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627.55555555555554</v>
      </c>
    </row>
    <row r="78" spans="1:21">
      <c r="B78" t="s">
        <v>183</v>
      </c>
      <c r="C78" s="50">
        <f t="shared" si="43"/>
        <v>2467.7777777777778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784.44444444444446</v>
      </c>
    </row>
    <row r="79" spans="1:21">
      <c r="B79" t="s">
        <v>184</v>
      </c>
      <c r="C79" s="50">
        <f t="shared" si="43"/>
        <v>2961.3333333333335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941.33333333333337</v>
      </c>
    </row>
    <row r="80" spans="1:21">
      <c r="B80" t="s">
        <v>185</v>
      </c>
      <c r="C80" s="50">
        <f t="shared" si="43"/>
        <v>3454.8888888888891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1098.2222222222222</v>
      </c>
    </row>
    <row r="81" spans="2:6">
      <c r="B81" t="s">
        <v>186</v>
      </c>
      <c r="C81" s="50">
        <f t="shared" si="43"/>
        <v>3948.4444444444448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1255.1111111111111</v>
      </c>
    </row>
    <row r="82" spans="2:6">
      <c r="B82" t="s">
        <v>187</v>
      </c>
      <c r="C82" s="50">
        <f t="shared" si="43"/>
        <v>4442</v>
      </c>
      <c r="D82" s="50">
        <f t="shared" si="44"/>
        <v>1464</v>
      </c>
      <c r="E82" s="50">
        <f t="shared" si="45"/>
        <v>1464</v>
      </c>
      <c r="F82" s="50">
        <f t="shared" si="46"/>
        <v>1412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L21" sqref="L21"/>
    </sheetView>
  </sheetViews>
  <sheetFormatPr defaultRowHeight="13.5"/>
  <sheetData>
    <row r="3" spans="1:12">
      <c r="C3" t="s">
        <v>224</v>
      </c>
      <c r="D3" t="s">
        <v>170</v>
      </c>
      <c r="E3" t="s">
        <v>329</v>
      </c>
      <c r="F3" t="s">
        <v>330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328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327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331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332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333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334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334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335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335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335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335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336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364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363</v>
      </c>
      <c r="C20" s="20">
        <v>1.8</v>
      </c>
      <c r="D20" s="20">
        <v>0.35</v>
      </c>
      <c r="E20" s="20">
        <v>0.4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337</v>
      </c>
    </row>
    <row r="22" spans="1:12">
      <c r="B22" t="s">
        <v>338</v>
      </c>
      <c r="C22" t="s">
        <v>339</v>
      </c>
      <c r="D22" t="s">
        <v>340</v>
      </c>
      <c r="E22" t="s">
        <v>341</v>
      </c>
      <c r="F22" t="s">
        <v>342</v>
      </c>
      <c r="G22" t="s">
        <v>343</v>
      </c>
      <c r="H22" t="s">
        <v>344</v>
      </c>
      <c r="I22" t="s">
        <v>345</v>
      </c>
      <c r="J22" s="12" t="s">
        <v>346</v>
      </c>
      <c r="K22" t="s">
        <v>347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7</v>
      </c>
      <c r="F23" s="20">
        <f>INT($F$20*I7*$C$19)</f>
        <v>5</v>
      </c>
      <c r="G23" s="20">
        <v>3</v>
      </c>
      <c r="H23" s="20">
        <v>1</v>
      </c>
      <c r="I23" s="20">
        <v>2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13</v>
      </c>
      <c r="F24" s="20">
        <f t="shared" ref="F24:F28" si="3">INT($F$20*I8*$C$19)</f>
        <v>10</v>
      </c>
      <c r="G24" s="20">
        <v>7</v>
      </c>
      <c r="H24" s="20">
        <v>2</v>
      </c>
      <c r="I24" s="20">
        <v>4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25</v>
      </c>
      <c r="F25" s="20">
        <f t="shared" si="3"/>
        <v>20</v>
      </c>
      <c r="G25" s="20">
        <v>10</v>
      </c>
      <c r="H25" s="20">
        <v>3</v>
      </c>
      <c r="I25" s="20">
        <v>6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43</v>
      </c>
      <c r="F26" s="20">
        <f t="shared" si="3"/>
        <v>34</v>
      </c>
      <c r="G26" s="20">
        <v>12</v>
      </c>
      <c r="H26" s="20">
        <v>4</v>
      </c>
      <c r="I26" s="20">
        <v>8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68</v>
      </c>
      <c r="F27" s="20">
        <f t="shared" si="3"/>
        <v>54</v>
      </c>
      <c r="G27" s="20">
        <v>13</v>
      </c>
      <c r="H27" s="20">
        <v>5</v>
      </c>
      <c r="I27" s="20">
        <v>10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116</v>
      </c>
      <c r="F28" s="20">
        <f t="shared" si="3"/>
        <v>91</v>
      </c>
      <c r="G28" s="20">
        <v>14</v>
      </c>
      <c r="H28" s="20">
        <v>7</v>
      </c>
      <c r="I28" s="20">
        <v>12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18.611111111111111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4.7555555555555555</v>
      </c>
      <c r="F7" s="52">
        <f>装备拆分数值生成!K5</f>
        <v>0</v>
      </c>
    </row>
    <row r="8" spans="1:6">
      <c r="A8">
        <v>104</v>
      </c>
      <c r="B8" s="52">
        <f>装备拆分数值生成!L6</f>
        <v>1.2222222222222223</v>
      </c>
      <c r="C8" s="52">
        <f>装备拆分数值生成!M6</f>
        <v>0</v>
      </c>
      <c r="D8" s="52">
        <v>0</v>
      </c>
      <c r="E8" s="52">
        <f>装备拆分数值生成!N6</f>
        <v>3.5666666666666669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2.4444444444444446</v>
      </c>
      <c r="D9" s="52">
        <v>0</v>
      </c>
      <c r="E9" s="52">
        <f>装备拆分数值生成!N7</f>
        <v>0</v>
      </c>
      <c r="F9" s="52">
        <f>装备拆分数值生成!K7</f>
        <v>14.888888888888889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3.7222222222222223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28.555555555555557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7.2444444444444445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1.877777777777778</v>
      </c>
      <c r="C14" s="52">
        <f>装备拆分数值生成!M14</f>
        <v>0</v>
      </c>
      <c r="D14" s="52">
        <v>0</v>
      </c>
      <c r="E14" s="52">
        <f>装备拆分数值生成!N14</f>
        <v>5.4333333333333327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3.755555555555556</v>
      </c>
      <c r="D15" s="52">
        <v>0</v>
      </c>
      <c r="E15" s="52">
        <f>装备拆分数值生成!N15</f>
        <v>0</v>
      </c>
      <c r="F15" s="52">
        <f>装备拆分数值生成!K15</f>
        <v>22.844444444444449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5.7111111111111121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44.777777777777779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11.377777777777778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2.9444444444444446</v>
      </c>
      <c r="C20" s="52">
        <f>装备拆分数值生成!M22</f>
        <v>0</v>
      </c>
      <c r="D20" s="52">
        <v>0</v>
      </c>
      <c r="E20" s="52">
        <f>装备拆分数值生成!N22</f>
        <v>8.5333333333333332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5.8888888888888893</v>
      </c>
      <c r="D21" s="52">
        <v>0</v>
      </c>
      <c r="E21" s="52">
        <f>装备拆分数值生成!N23</f>
        <v>0</v>
      </c>
      <c r="F21" s="52">
        <f>装备拆分数值生成!K23</f>
        <v>35.822222222222223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8.9555555555555557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113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28.711111111111109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7.4444444444444446</v>
      </c>
      <c r="C26" s="52">
        <f>装备拆分数值生成!M30</f>
        <v>0</v>
      </c>
      <c r="D26" s="52">
        <v>0</v>
      </c>
      <c r="E26" s="52">
        <f>装备拆分数值生成!N30</f>
        <v>21.533333333333331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14.888888888888889</v>
      </c>
      <c r="D27" s="52">
        <v>0</v>
      </c>
      <c r="E27" s="52">
        <f>装备拆分数值生成!N31</f>
        <v>0</v>
      </c>
      <c r="F27" s="52">
        <f>装备拆分数值生成!K31</f>
        <v>90.4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22.6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246.77777777777777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62.75555555555556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16.266666666666666</v>
      </c>
      <c r="C32" s="52">
        <f>装备拆分数值生成!M38</f>
        <v>0</v>
      </c>
      <c r="D32" s="52">
        <v>0</v>
      </c>
      <c r="E32" s="52">
        <f>装备拆分数值生成!N38</f>
        <v>47.066666666666663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32.533333333333331</v>
      </c>
      <c r="D33" s="52">
        <v>0</v>
      </c>
      <c r="E33" s="52">
        <f>装备拆分数值生成!N39</f>
        <v>0</v>
      </c>
      <c r="F33" s="52">
        <f>装备拆分数值生成!K39</f>
        <v>197.42222222222222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49.355555555555554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18.611111111111111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4.7555555555555555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1.2222222222222223</v>
      </c>
      <c r="D38" s="52">
        <v>0</v>
      </c>
      <c r="E38" s="52">
        <f>装备拆分数值生成!U6</f>
        <v>3.5666666666666669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2.4444444444444446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14.888888888888889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3.7222222222222223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28.555555555555557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7.2444444444444445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1.877777777777778</v>
      </c>
      <c r="D44" s="52">
        <v>0</v>
      </c>
      <c r="E44" s="52">
        <f>装备拆分数值生成!U14</f>
        <v>5.4333333333333327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3.755555555555556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22.844444444444449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5.7111111111111121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44.777777777777779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11.377777777777778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2.9444444444444446</v>
      </c>
      <c r="D50" s="52">
        <v>0</v>
      </c>
      <c r="E50" s="52">
        <f>装备拆分数值生成!U22</f>
        <v>8.5333333333333332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5.8888888888888893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35.822222222222223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8.9555555555555557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113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28.711111111111109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7.4444444444444446</v>
      </c>
      <c r="D56" s="52">
        <v>0</v>
      </c>
      <c r="E56" s="52">
        <f>装备拆分数值生成!U30</f>
        <v>21.533333333333331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14.888888888888889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90.4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22.6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246.77777777777777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62.75555555555556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16.266666666666666</v>
      </c>
      <c r="D62" s="52">
        <v>0</v>
      </c>
      <c r="E62" s="52">
        <f>装备拆分数值生成!U38</f>
        <v>47.066666666666663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32.533333333333331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197.42222222222222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49.355555555555554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29.777777777777779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7.1333333333333337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5.3500000000000005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18.611111111111111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1.1888888888888889</v>
      </c>
      <c r="F70" s="52">
        <f>装备拆分数值生成!Y8</f>
        <v>7.4444444444444446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45.688888888888897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10.866666666666665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8.15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28.555555555555557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1.8111111111111111</v>
      </c>
      <c r="F76" s="52">
        <f>装备拆分数值生成!Y16</f>
        <v>11.422222222222224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71.644444444444446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17.066666666666666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12.799999999999999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44.777777777777779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2.8444444444444446</v>
      </c>
      <c r="F82" s="52">
        <f>装备拆分数值生成!Y24</f>
        <v>17.911111111111111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180.8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43.066666666666663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32.299999999999997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113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7.1777777777777771</v>
      </c>
      <c r="F88" s="52">
        <f>装备拆分数值生成!Y32</f>
        <v>45.2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394.84444444444443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94.133333333333326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70.599999999999994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246.77777777777777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15.68888888888889</v>
      </c>
      <c r="F94" s="52">
        <f>装备拆分数值生成!Y40</f>
        <v>98.711111111111109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18.611111111111111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5.9444444444444446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3.5666666666666669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11.166666666666666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3.5666666666666669</v>
      </c>
      <c r="F100" s="52">
        <f>装备拆分数值生成!AF8</f>
        <v>7.4444444444444446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28.555555555555557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9.0555555555555554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5.4333333333333327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17.133333333333333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5.4333333333333327</v>
      </c>
      <c r="F106" s="52">
        <f>装备拆分数值生成!AF16</f>
        <v>11.422222222222224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44.777777777777779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14.222222222222221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8.5333333333333332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26.866666666666667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8.5333333333333332</v>
      </c>
      <c r="F112" s="52">
        <f>装备拆分数值生成!AF24</f>
        <v>17.911111111111111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113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35.888888888888886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21.533333333333331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67.8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21.533333333333331</v>
      </c>
      <c r="F118" s="52">
        <f>装备拆分数值生成!AF32</f>
        <v>45.2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246.77777777777777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78.444444444444443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47.066666666666663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148.06666666666666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47.066666666666663</v>
      </c>
      <c r="F124" s="52">
        <f>装备拆分数值生成!AF40</f>
        <v>98.711111111111109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215.5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54.800000000000004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14.200000000000001</v>
      </c>
      <c r="C128" s="52">
        <f>装备拆分数值生成!M45</f>
        <v>0</v>
      </c>
      <c r="D128" s="52">
        <v>0</v>
      </c>
      <c r="E128" s="52">
        <f>装备拆分数值生成!N45</f>
        <v>41.1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28.400000000000002</v>
      </c>
      <c r="D129" s="52">
        <v>0</v>
      </c>
      <c r="E129" s="52">
        <f>装备拆分数值生成!N46</f>
        <v>0</v>
      </c>
      <c r="F129" s="52">
        <f>装备拆分数值生成!K46</f>
        <v>172.4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43.1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406.14853999999997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103.28046400000001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26.762456</v>
      </c>
      <c r="C134" s="52">
        <f>装备拆分数值生成!M51</f>
        <v>0</v>
      </c>
      <c r="D134" s="52">
        <v>0</v>
      </c>
      <c r="E134" s="52">
        <f>装备拆分数值生成!N51</f>
        <v>77.460347999999996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53.524912</v>
      </c>
      <c r="D135" s="52">
        <v>0</v>
      </c>
      <c r="E135" s="52">
        <f>装备拆分数值生成!N52</f>
        <v>0</v>
      </c>
      <c r="F135" s="52">
        <f>装备拆分数值生成!K52</f>
        <v>324.91883200000001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81.229708000000002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729.50079906000008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185.50646769600004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48.069194184000004</v>
      </c>
      <c r="C140" s="52">
        <f>装备拆分数值生成!M57</f>
        <v>0</v>
      </c>
      <c r="D140" s="52">
        <v>0</v>
      </c>
      <c r="E140" s="52">
        <f>装备拆分数值生成!N57</f>
        <v>139.12985077200003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96.138388368000008</v>
      </c>
      <c r="D141" s="52">
        <v>0</v>
      </c>
      <c r="E141" s="52">
        <f>装备拆分数值生成!N58</f>
        <v>0</v>
      </c>
      <c r="F141" s="52">
        <f>装备拆分数值生成!K58</f>
        <v>583.60063924800011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145.90015981200003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1538.9629912614103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391.34650543445605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101.40730615272402</v>
      </c>
      <c r="C146" s="52">
        <f>装备拆分数值生成!M63</f>
        <v>0</v>
      </c>
      <c r="D146" s="52">
        <v>0</v>
      </c>
      <c r="E146" s="52">
        <f>装备拆分数值生成!N63</f>
        <v>293.50987907584204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202.81461230544804</v>
      </c>
      <c r="D147" s="52">
        <v>0</v>
      </c>
      <c r="E147" s="52">
        <f>装备拆分数值生成!N64</f>
        <v>0</v>
      </c>
      <c r="F147" s="52">
        <f>装备拆分数值生成!K64</f>
        <v>1231.1703930091282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307.79259825228206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3092.593483647227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786.42284410147579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203.78110193870359</v>
      </c>
      <c r="C152" s="52">
        <f>装备拆分数值生成!M69</f>
        <v>0</v>
      </c>
      <c r="D152" s="52">
        <v>0</v>
      </c>
      <c r="E152" s="52">
        <f>装备拆分数值生成!N69</f>
        <v>589.81713307610676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407.56220387740717</v>
      </c>
      <c r="D153" s="52">
        <v>0</v>
      </c>
      <c r="E153" s="52">
        <f>装备拆分数值生成!N70</f>
        <v>0</v>
      </c>
      <c r="F153" s="52">
        <f>装备拆分数值生成!K70</f>
        <v>2474.0747869177817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618.51869672944542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215.5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54.800000000000004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14.200000000000001</v>
      </c>
      <c r="D158" s="52">
        <v>0</v>
      </c>
      <c r="E158" s="52">
        <f>装备拆分数值生成!U45</f>
        <v>41.1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28.400000000000002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172.4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43.1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406.14853999999997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103.28046400000001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26.762456</v>
      </c>
      <c r="D164" s="52">
        <v>0</v>
      </c>
      <c r="E164" s="52">
        <f>装备拆分数值生成!U51</f>
        <v>77.460347999999996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53.524912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324.91883200000001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81.229708000000002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729.50079906000008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185.50646769600004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48.069194184000004</v>
      </c>
      <c r="D170" s="52">
        <v>0</v>
      </c>
      <c r="E170" s="52">
        <f>装备拆分数值生成!U57</f>
        <v>139.12985077200003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96.138388368000008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583.60063924800011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145.90015981200003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1538.9629912614103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391.34650543445605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101.40730615272402</v>
      </c>
      <c r="D176" s="52">
        <v>0</v>
      </c>
      <c r="E176" s="52">
        <f>装备拆分数值生成!U63</f>
        <v>293.50987907584204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202.81461230544804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1231.1703930091282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307.79259825228206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3092.593483647227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786.42284410147579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203.78110193870359</v>
      </c>
      <c r="D182" s="52">
        <v>0</v>
      </c>
      <c r="E182" s="52">
        <f>装备拆分数值生成!U69</f>
        <v>589.81713307610676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407.56220387740717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2474.0747869177817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618.51869672944542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344.8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82.2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61.65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215.5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13.700000000000001</v>
      </c>
      <c r="F190" s="52">
        <f>装备拆分数值生成!Y47</f>
        <v>86.2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649.83766400000002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154.92069599999999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116.19052200000002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406.14853999999997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25.820116000000002</v>
      </c>
      <c r="F196" s="52">
        <f>装备拆分数值生成!Y53</f>
        <v>162.459416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1167.2012784960002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278.25970154400005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208.69477615800002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729.50079906000008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46.376616924000011</v>
      </c>
      <c r="F202" s="52">
        <f>装备拆分数值生成!Y59</f>
        <v>291.80031962400005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1167.2012784960002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278.25970154400005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208.69477615800002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729.50079906000008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46.376616924000011</v>
      </c>
      <c r="F208" s="52">
        <f>装备拆分数值生成!Y59</f>
        <v>291.80031962400005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4948.1495738355634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1179.6342661522135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884.72569961416025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3092.593483647227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196.60571102536895</v>
      </c>
      <c r="F214" s="52">
        <f>装备拆分数值生成!Y71</f>
        <v>1237.0373934588908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215.5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68.5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41.1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129.29999999999998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41.1</v>
      </c>
      <c r="F220" s="52">
        <f>装备拆分数值生成!AF47</f>
        <v>86.2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406.14853999999997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129.10058000000001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77.460347999999996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243.68912399999996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77.460347999999996</v>
      </c>
      <c r="F226" s="52">
        <f>装备拆分数值生成!AF53</f>
        <v>162.459416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729.50079906000008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231.88308462000003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139.12985077200003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437.70047943600002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139.12985077200003</v>
      </c>
      <c r="F232" s="52">
        <f>装备拆分数值生成!AF59</f>
        <v>291.80031962400005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1538.9629912614103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489.18313179307006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293.50987907584204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923.37779475684613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293.50987907584204</v>
      </c>
      <c r="F238" s="52">
        <f>装备拆分数值生成!AF65</f>
        <v>615.58519650456412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3092.593483647227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983.02855512684471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589.81713307610676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1855.5560901883362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589.81713307610676</v>
      </c>
      <c r="F244" s="52">
        <f>装备拆分数值生成!AF71</f>
        <v>1237.0373934588908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tabSelected="1" workbookViewId="0">
      <selection activeCell="J46" sqref="J46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18.611111111111111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18.611111111111111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29.777777777777779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18.611111111111111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 s="3">
        <f>SUM(D7:D12)</f>
        <v>1</v>
      </c>
      <c r="E5" s="3">
        <f>SUM(E7:E12)</f>
        <v>1.3</v>
      </c>
      <c r="F5" s="3">
        <f>SUM(F7:F12)</f>
        <v>0.60000000000000009</v>
      </c>
      <c r="G5" s="3">
        <f>SUM(G7:G12)</f>
        <v>0.7</v>
      </c>
      <c r="H5">
        <f>E5+F5/(G5*D5)</f>
        <v>2.1571428571428575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4.7555555555555555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4.7555555555555555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7.1333333333333337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5.9444444444444446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1.2222222222222223</v>
      </c>
      <c r="M6" s="55">
        <f>F10*装备能力拆分!E$26</f>
        <v>0</v>
      </c>
      <c r="N6" s="55">
        <f>G10*装备能力拆分!F$26</f>
        <v>3.5666666666666669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1.2222222222222223</v>
      </c>
      <c r="U6" s="56">
        <f>G19*装备能力拆分!F$26</f>
        <v>3.5666666666666669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5.3500000000000005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3.5666666666666669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14.888888888888889</v>
      </c>
      <c r="L7" s="55">
        <f>E11*装备能力拆分!D$26</f>
        <v>0</v>
      </c>
      <c r="M7" s="55">
        <f>F11*装备能力拆分!E$26</f>
        <v>2.4444444444444446</v>
      </c>
      <c r="N7" s="55">
        <f>G11*装备能力拆分!F$26</f>
        <v>0</v>
      </c>
      <c r="O7" s="52"/>
      <c r="Q7" t="s">
        <v>197</v>
      </c>
      <c r="R7" s="56">
        <f>D20*装备能力拆分!C$26</f>
        <v>14.888888888888889</v>
      </c>
      <c r="S7" s="56">
        <f>E20*装备能力拆分!D$26</f>
        <v>2.4444444444444446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18.611111111111111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11.166666666666666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3.7222222222222223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3.7222222222222223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7.4444444444444446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1.1888888888888889</v>
      </c>
      <c r="AE8" t="s">
        <v>198</v>
      </c>
      <c r="AF8" s="55">
        <f>D39*装备能力拆分!C$26</f>
        <v>7.4444444444444446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3.5666666666666669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0.1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0.2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28.555555555555557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28.555555555555557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45.688888888888897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28.555555555555557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7.2444444444444445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7.2444444444444445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10.866666666666665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9.0555555555555554</v>
      </c>
    </row>
    <row r="14" spans="2:35">
      <c r="D14">
        <f>SUM(D16:D21)</f>
        <v>1</v>
      </c>
      <c r="E14">
        <f>SUM(E16:E21)</f>
        <v>0.60000000000000009</v>
      </c>
      <c r="F14">
        <f>SUM(F16:F21)</f>
        <v>1.3</v>
      </c>
      <c r="G14">
        <f>SUM(G16:G21)</f>
        <v>0.7</v>
      </c>
      <c r="H14">
        <f>E14+F14/(G14*D14)</f>
        <v>2.4571428571428573</v>
      </c>
      <c r="J14" t="s">
        <v>202</v>
      </c>
      <c r="K14" s="55">
        <f>D10*装备能力拆分!C$38</f>
        <v>0</v>
      </c>
      <c r="L14" s="55">
        <f>E10*装备能力拆分!D$38</f>
        <v>1.877777777777778</v>
      </c>
      <c r="M14" s="55">
        <f>F10*装备能力拆分!E$38</f>
        <v>0</v>
      </c>
      <c r="N14" s="55">
        <f>G10*装备能力拆分!F$38</f>
        <v>5.4333333333333327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1.877777777777778</v>
      </c>
      <c r="U14" s="55">
        <f>G19*装备能力拆分!F$38</f>
        <v>5.4333333333333327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8.15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5.4333333333333327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22.844444444444449</v>
      </c>
      <c r="L15" s="55">
        <f>E11*装备能力拆分!D$38</f>
        <v>0</v>
      </c>
      <c r="M15" s="55">
        <f>F11*装备能力拆分!E$38</f>
        <v>3.755555555555556</v>
      </c>
      <c r="N15" s="55">
        <f>G11*装备能力拆分!F$38</f>
        <v>0</v>
      </c>
      <c r="O15" s="52"/>
      <c r="Q15" t="s">
        <v>203</v>
      </c>
      <c r="R15" s="55">
        <f>D20*装备能力拆分!C$38</f>
        <v>22.844444444444449</v>
      </c>
      <c r="S15" s="55">
        <f>E20*装备能力拆分!D$38</f>
        <v>3.755555555555556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28.555555555555557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17.133333333333333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5.7111111111111121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5.7111111111111121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11.422222222222224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1.8111111111111111</v>
      </c>
      <c r="AE16" t="s">
        <v>204</v>
      </c>
      <c r="AF16" s="55">
        <f>D39*装备能力拆分!C$38</f>
        <v>11.422222222222224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5.4333333333333327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0.1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0.2</v>
      </c>
      <c r="J20" t="s">
        <v>206</v>
      </c>
      <c r="K20" s="55">
        <f>D8*装备能力拆分!C$50</f>
        <v>44.777777777777779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44.777777777777779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71.644444444444446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44.777777777777779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11.377777777777778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11.377777777777778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17.066666666666666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14.222222222222221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2.9444444444444446</v>
      </c>
      <c r="M22" s="55">
        <f>F10*装备能力拆分!E$50</f>
        <v>0</v>
      </c>
      <c r="N22" s="55">
        <f>G10*装备能力拆分!F$50</f>
        <v>8.5333333333333332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2.9444444444444446</v>
      </c>
      <c r="U22" s="55">
        <f>G19*装备能力拆分!F$50</f>
        <v>8.5333333333333332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12.799999999999999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8.5333333333333332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35.822222222222223</v>
      </c>
      <c r="L23" s="55">
        <f>E11*装备能力拆分!D$50</f>
        <v>0</v>
      </c>
      <c r="M23" s="55">
        <f>F11*装备能力拆分!E$50</f>
        <v>5.8888888888888893</v>
      </c>
      <c r="N23" s="55">
        <f>G11*装备能力拆分!F$50</f>
        <v>0</v>
      </c>
      <c r="O23" s="52"/>
      <c r="Q23" t="s">
        <v>209</v>
      </c>
      <c r="R23" s="55">
        <f>D20*装备能力拆分!C$50</f>
        <v>35.822222222222223</v>
      </c>
      <c r="S23" s="55">
        <f>E20*装备能力拆分!D$50</f>
        <v>5.8888888888888893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44.777777777777779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26.866666666666667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8.9555555555555557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8.9555555555555557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17.911111111111111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2.8444444444444446</v>
      </c>
      <c r="AE24" t="s">
        <v>210</v>
      </c>
      <c r="AF24" s="55">
        <f>D39*装备能力拆分!C$50</f>
        <v>17.911111111111111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8.5333333333333332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113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113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180.8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113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28.711111111111109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28.711111111111109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43.066666666666663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35.888888888888886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7.4444444444444446</v>
      </c>
      <c r="M30" s="55">
        <f>F10*装备能力拆分!E$62</f>
        <v>0</v>
      </c>
      <c r="N30" s="55">
        <f>G10*装备能力拆分!F$62</f>
        <v>21.533333333333331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7.4444444444444446</v>
      </c>
      <c r="U30" s="55">
        <f>G19*装备能力拆分!F$62</f>
        <v>21.533333333333331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32.299999999999997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21.533333333333331</v>
      </c>
    </row>
    <row r="31" spans="2:35">
      <c r="J31" t="s">
        <v>215</v>
      </c>
      <c r="K31" s="55">
        <f>D11*装备能力拆分!C$62</f>
        <v>90.4</v>
      </c>
      <c r="L31" s="55">
        <f>E11*装备能力拆分!D$62</f>
        <v>0</v>
      </c>
      <c r="M31" s="55">
        <f>F11*装备能力拆分!E$62</f>
        <v>14.888888888888889</v>
      </c>
      <c r="N31" s="55">
        <f>G11*装备能力拆分!F$62</f>
        <v>0</v>
      </c>
      <c r="O31" s="52"/>
      <c r="Q31" t="s">
        <v>215</v>
      </c>
      <c r="R31" s="55">
        <f>D20*装备能力拆分!C$62</f>
        <v>90.4</v>
      </c>
      <c r="S31" s="55">
        <f>E20*装备能力拆分!D$62</f>
        <v>14.888888888888889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113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67.8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22.6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22.6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45.2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7.1777777777777771</v>
      </c>
      <c r="AE32" t="s">
        <v>216</v>
      </c>
      <c r="AF32" s="55">
        <f>D39*装备能力拆分!C$62</f>
        <v>45.2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21.533333333333331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246.77777777777777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246.77777777777777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394.84444444444443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246.77777777777777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62.75555555555556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62.75555555555556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94.133333333333326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78.444444444444443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16.266666666666666</v>
      </c>
      <c r="M38" s="55">
        <f>F10*装备能力拆分!E$74</f>
        <v>0</v>
      </c>
      <c r="N38" s="55">
        <f>G10*装备能力拆分!F$74</f>
        <v>47.066666666666663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16.266666666666666</v>
      </c>
      <c r="U38" s="55">
        <f>G19*装备能力拆分!F$74</f>
        <v>47.066666666666663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70.599999999999994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47.066666666666663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197.42222222222222</v>
      </c>
      <c r="L39" s="55">
        <f>E11*装备能力拆分!D$74</f>
        <v>0</v>
      </c>
      <c r="M39" s="55">
        <f>F11*装备能力拆分!E$74</f>
        <v>32.533333333333331</v>
      </c>
      <c r="N39" s="55">
        <f>G11*装备能力拆分!F$74</f>
        <v>0</v>
      </c>
      <c r="O39" s="52"/>
      <c r="Q39" t="s">
        <v>221</v>
      </c>
      <c r="R39" s="55">
        <f>D20*装备能力拆分!C$74</f>
        <v>197.42222222222222</v>
      </c>
      <c r="S39" s="55">
        <f>E20*装备能力拆分!D$74</f>
        <v>32.533333333333331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246.77777777777777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148.06666666666666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49.355555555555554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49.355555555555554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98.711111111111109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15.68888888888889</v>
      </c>
      <c r="AC40" s="50"/>
      <c r="AE40" t="s">
        <v>222</v>
      </c>
      <c r="AF40" s="55">
        <f>D39*装备能力拆分!C$74</f>
        <v>98.711111111111109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47.066666666666663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215.5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215.5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344.8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215.5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54.800000000000004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54.800000000000004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82.2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68.5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14.200000000000001</v>
      </c>
      <c r="M45" s="55">
        <f>装备能力拆分!E$21*F10</f>
        <v>0</v>
      </c>
      <c r="N45" s="55">
        <f>装备能力拆分!F$21*G10</f>
        <v>41.1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14.200000000000001</v>
      </c>
      <c r="U45" s="55">
        <f>装备能力拆分!F$21*G19</f>
        <v>41.1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61.65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41.1</v>
      </c>
    </row>
    <row r="46" spans="2:35">
      <c r="J46" t="s">
        <v>231</v>
      </c>
      <c r="K46" s="55">
        <f>装备能力拆分!C$21*D11</f>
        <v>172.4</v>
      </c>
      <c r="L46" s="55">
        <f>装备能力拆分!D$21*E11</f>
        <v>0</v>
      </c>
      <c r="M46" s="55">
        <f>装备能力拆分!E$21*F11</f>
        <v>28.400000000000002</v>
      </c>
      <c r="N46" s="55">
        <f>装备能力拆分!F$21*G11</f>
        <v>0</v>
      </c>
      <c r="O46" s="52"/>
      <c r="Q46" t="s">
        <v>231</v>
      </c>
      <c r="R46" s="55">
        <f>装备能力拆分!C$21*D20</f>
        <v>172.4</v>
      </c>
      <c r="S46" s="55">
        <f>装备能力拆分!D$21*E20</f>
        <v>28.400000000000002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215.5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129.29999999999998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43.1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43.1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86.2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13.700000000000001</v>
      </c>
      <c r="AE47" t="s">
        <v>232</v>
      </c>
      <c r="AF47" s="55">
        <f>装备能力拆分!C$21*D39</f>
        <v>86.2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41.1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406.14853999999997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406.14853999999997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649.83766400000002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406.14853999999997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103.28046400000001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103.28046400000001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154.92069599999999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129.10058000000001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26.762456</v>
      </c>
      <c r="M51" s="55">
        <f>装备能力拆分!$H$5*装备能力拆分!E$20*F10</f>
        <v>0</v>
      </c>
      <c r="N51" s="55">
        <f>装备能力拆分!$H$5*装备能力拆分!F$20*G10</f>
        <v>77.460347999999996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26.762456</v>
      </c>
      <c r="U51" s="55">
        <f>装备能力拆分!$H$5*装备能力拆分!F$20*G19</f>
        <v>77.460347999999996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116.19052200000002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77.460347999999996</v>
      </c>
    </row>
    <row r="52" spans="10:35">
      <c r="J52" t="s">
        <v>244</v>
      </c>
      <c r="K52" s="55">
        <f>装备能力拆分!$H$5*装备能力拆分!C$20*D11</f>
        <v>324.91883200000001</v>
      </c>
      <c r="L52" s="55">
        <f>装备能力拆分!$H$5*装备能力拆分!D$20*E11</f>
        <v>0</v>
      </c>
      <c r="M52" s="55">
        <f>装备能力拆分!$H$5*装备能力拆分!E$20*F11</f>
        <v>53.524912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324.91883200000001</v>
      </c>
      <c r="S52" s="55">
        <f>装备能力拆分!$H$5*装备能力拆分!D$20*E20</f>
        <v>53.524912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406.14853999999997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243.68912399999996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81.229708000000002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81.229708000000002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162.459416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25.820116000000002</v>
      </c>
      <c r="AE53" t="s">
        <v>245</v>
      </c>
      <c r="AF53" s="55">
        <f>装备能力拆分!$H$5*装备能力拆分!C$20*D39</f>
        <v>162.459416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77.460347999999996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729.50079906000008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729.50079906000008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1167.2012784960002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729.50079906000008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185.50646769600004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185.50646769600004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278.25970154400005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231.88308462000003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48.069194184000004</v>
      </c>
      <c r="M57" s="55">
        <f>装备能力拆分!$H$7*装备能力拆分!E$20*F10</f>
        <v>0</v>
      </c>
      <c r="N57" s="55">
        <f>装备能力拆分!$H$7*装备能力拆分!F$20*G10</f>
        <v>139.12985077200003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48.069194184000004</v>
      </c>
      <c r="U57" s="55">
        <f>装备能力拆分!$H$7*装备能力拆分!F$20*G19</f>
        <v>139.12985077200003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208.69477615800002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139.12985077200003</v>
      </c>
    </row>
    <row r="58" spans="10:35">
      <c r="J58" t="s">
        <v>250</v>
      </c>
      <c r="K58" s="55">
        <f>装备能力拆分!$H$7*装备能力拆分!C$20*D11</f>
        <v>583.60063924800011</v>
      </c>
      <c r="L58" s="55">
        <f>装备能力拆分!$H$7*装备能力拆分!D$20*E11</f>
        <v>0</v>
      </c>
      <c r="M58" s="55">
        <f>装备能力拆分!$H$7*装备能力拆分!E$20*F11</f>
        <v>96.138388368000008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583.60063924800011</v>
      </c>
      <c r="S58" s="55">
        <f>装备能力拆分!$H$7*装备能力拆分!D$20*E20</f>
        <v>96.138388368000008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729.50079906000008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437.70047943600002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145.90015981200003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145.90015981200003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291.80031962400005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46.376616924000011</v>
      </c>
      <c r="AE59" t="s">
        <v>251</v>
      </c>
      <c r="AF59" s="55">
        <f>装备能力拆分!$H$7*装备能力拆分!C$20*D39</f>
        <v>291.80031962400005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139.12985077200003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1538.9629912614103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1538.9629912614103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2462.3407860182565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1538.9629912614103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391.34650543445605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391.34650543445605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587.01975815168407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489.18313179307006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101.40730615272402</v>
      </c>
      <c r="M63" s="55">
        <f>装备能力拆分!$H$9*装备能力拆分!E$20*F10</f>
        <v>0</v>
      </c>
      <c r="N63" s="55">
        <f>装备能力拆分!$H$9*装备能力拆分!F$20*G10</f>
        <v>293.50987907584204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101.40730615272402</v>
      </c>
      <c r="U63" s="55">
        <f>装备能力拆分!$H$9*装备能力拆分!F$20*G19</f>
        <v>293.50987907584204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440.26481861376305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293.50987907584204</v>
      </c>
    </row>
    <row r="64" spans="10:35">
      <c r="J64" t="s">
        <v>256</v>
      </c>
      <c r="K64" s="55">
        <f>装备能力拆分!$H$9*装备能力拆分!C$20*D11</f>
        <v>1231.1703930091282</v>
      </c>
      <c r="L64" s="55">
        <f>装备能力拆分!$H$9*装备能力拆分!D$20*E11</f>
        <v>0</v>
      </c>
      <c r="M64" s="55">
        <f>装备能力拆分!$H$9*装备能力拆分!E$20*F11</f>
        <v>202.81461230544804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1231.1703930091282</v>
      </c>
      <c r="S64" s="55">
        <f>装备能力拆分!$H$9*装备能力拆分!D$20*E20</f>
        <v>202.81461230544804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1538.9629912614103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923.37779475684613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307.79259825228206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307.79259825228206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615.58519650456412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97.836626358614012</v>
      </c>
      <c r="AE65" t="s">
        <v>257</v>
      </c>
      <c r="AF65" s="55">
        <f>装备能力拆分!$H$9*装备能力拆分!C$20*D39</f>
        <v>615.58519650456412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293.50987907584204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3092.593483647227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3092.593483647227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4948.1495738355634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3092.593483647227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786.42284410147579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786.42284410147579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1179.6342661522135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983.02855512684471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203.78110193870359</v>
      </c>
      <c r="M69" s="55">
        <f>装备能力拆分!$H$12*装备能力拆分!E$20*F10</f>
        <v>0</v>
      </c>
      <c r="N69" s="55">
        <f>装备能力拆分!$H$12*装备能力拆分!F$20*G10</f>
        <v>589.81713307610676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203.78110193870359</v>
      </c>
      <c r="U69" s="55">
        <f>装备能力拆分!$H$12*装备能力拆分!F$20*G19</f>
        <v>589.81713307610676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884.72569961416025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589.81713307610676</v>
      </c>
    </row>
    <row r="70" spans="1:35">
      <c r="J70" t="s">
        <v>262</v>
      </c>
      <c r="K70" s="55">
        <f>装备能力拆分!$H$12*装备能力拆分!C$20*D11</f>
        <v>2474.0747869177817</v>
      </c>
      <c r="L70" s="55">
        <f>装备能力拆分!$H$12*装备能力拆分!D$20*E11</f>
        <v>0</v>
      </c>
      <c r="M70" s="55">
        <f>装备能力拆分!$H$12*装备能力拆分!E$20*F11</f>
        <v>407.56220387740717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2474.0747869177817</v>
      </c>
      <c r="S70" s="55">
        <f>装备能力拆分!$H$12*装备能力拆分!D$20*E20</f>
        <v>407.56220387740717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3092.593483647227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1855.5560901883362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618.51869672944542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618.51869672944542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1237.0373934588908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196.60571102536895</v>
      </c>
      <c r="AE71" t="s">
        <v>263</v>
      </c>
      <c r="AF71" s="55">
        <f>装备能力拆分!$H$12*装备能力拆分!C$20*D39</f>
        <v>1237.0373934588908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589.81713307610676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294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295</v>
      </c>
      <c r="B74" t="s">
        <v>296</v>
      </c>
      <c r="D74" t="s">
        <v>297</v>
      </c>
      <c r="E74" t="s">
        <v>298</v>
      </c>
      <c r="F74" t="s">
        <v>299</v>
      </c>
      <c r="H74" t="s">
        <v>300</v>
      </c>
      <c r="J74" t="s">
        <v>301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286</v>
      </c>
      <c r="C75" t="s">
        <v>287</v>
      </c>
      <c r="D75" t="s">
        <v>285</v>
      </c>
      <c r="E75" t="s">
        <v>281</v>
      </c>
      <c r="F75" t="s">
        <v>286</v>
      </c>
      <c r="G75" t="s">
        <v>281</v>
      </c>
      <c r="H75" t="s">
        <v>285</v>
      </c>
      <c r="I75" t="s">
        <v>287</v>
      </c>
      <c r="J75" t="s">
        <v>285</v>
      </c>
      <c r="K75" s="52" t="s">
        <v>286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303</v>
      </c>
      <c r="B76" s="52">
        <f>L42</f>
        <v>113.60000000000001</v>
      </c>
      <c r="C76" s="52">
        <f>M42</f>
        <v>56.800000000000004</v>
      </c>
      <c r="D76" s="52">
        <f>K43</f>
        <v>215.5</v>
      </c>
      <c r="E76" s="52">
        <f>N44</f>
        <v>54.800000000000004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234.11111111111111</v>
      </c>
      <c r="E77">
        <f>$E$76+$N$5*$A77</f>
        <v>59.555555555555557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271.33333333333331</v>
      </c>
      <c r="E78">
        <f t="shared" ref="E78:E85" si="3">$E$76+$N$5*$A78</f>
        <v>64.311111111111117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327.16666666666663</v>
      </c>
      <c r="E79">
        <f t="shared" si="3"/>
        <v>69.066666666666663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401.61111111111109</v>
      </c>
      <c r="E80">
        <f t="shared" si="3"/>
        <v>73.822222222222223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494.66666666666663</v>
      </c>
      <c r="E81">
        <f t="shared" si="3"/>
        <v>78.577777777777783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606.33333333333326</v>
      </c>
      <c r="E82">
        <f t="shared" si="3"/>
        <v>83.333333333333343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736.61111111111109</v>
      </c>
      <c r="E83">
        <f t="shared" si="3"/>
        <v>88.088888888888903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885.5</v>
      </c>
      <c r="E84">
        <f t="shared" si="3"/>
        <v>92.844444444444449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1053</v>
      </c>
      <c r="E85">
        <f t="shared" si="3"/>
        <v>97.6</v>
      </c>
    </row>
    <row r="86" spans="1:28">
      <c r="A86" t="s">
        <v>302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304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305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292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293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315</v>
      </c>
    </row>
    <row r="2" spans="1:19">
      <c r="B2" t="s">
        <v>267</v>
      </c>
      <c r="I2" t="s">
        <v>358</v>
      </c>
      <c r="K2" t="s">
        <v>359</v>
      </c>
    </row>
    <row r="3" spans="1:19">
      <c r="H3" t="s">
        <v>357</v>
      </c>
      <c r="I3" s="1">
        <v>0.36</v>
      </c>
      <c r="K3" s="1">
        <v>0.64</v>
      </c>
    </row>
    <row r="4" spans="1:19">
      <c r="B4" t="s">
        <v>309</v>
      </c>
      <c r="H4" t="s">
        <v>360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361</v>
      </c>
    </row>
    <row r="8" spans="1:19">
      <c r="B8">
        <v>20</v>
      </c>
      <c r="C8" t="s">
        <v>271</v>
      </c>
      <c r="K8" t="s">
        <v>355</v>
      </c>
    </row>
    <row r="9" spans="1:19">
      <c r="B9">
        <v>40</v>
      </c>
      <c r="C9" t="s">
        <v>272</v>
      </c>
      <c r="L9" t="s">
        <v>307</v>
      </c>
      <c r="M9" t="s">
        <v>310</v>
      </c>
      <c r="N9" t="s">
        <v>311</v>
      </c>
      <c r="O9" t="s">
        <v>312</v>
      </c>
      <c r="P9" t="s">
        <v>313</v>
      </c>
      <c r="Q9" t="s">
        <v>314</v>
      </c>
      <c r="R9" t="s">
        <v>324</v>
      </c>
      <c r="S9" t="s">
        <v>353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317</v>
      </c>
      <c r="L11">
        <v>400</v>
      </c>
      <c r="M11">
        <v>2000</v>
      </c>
      <c r="R11">
        <v>900</v>
      </c>
    </row>
    <row r="12" spans="1:19">
      <c r="K12" t="s">
        <v>354</v>
      </c>
    </row>
    <row r="13" spans="1:19">
      <c r="A13" t="s">
        <v>306</v>
      </c>
      <c r="L13" s="1">
        <v>0.2</v>
      </c>
      <c r="O13" t="s">
        <v>321</v>
      </c>
      <c r="P13" t="s">
        <v>321</v>
      </c>
      <c r="Q13" t="s">
        <v>321</v>
      </c>
    </row>
    <row r="14" spans="1:19">
      <c r="L14" t="s">
        <v>349</v>
      </c>
    </row>
    <row r="15" spans="1:19">
      <c r="A15" t="s">
        <v>308</v>
      </c>
      <c r="B15">
        <v>20</v>
      </c>
      <c r="K15" t="s">
        <v>318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350</v>
      </c>
      <c r="O16">
        <v>1</v>
      </c>
      <c r="P16">
        <v>1</v>
      </c>
      <c r="Q16">
        <v>1</v>
      </c>
    </row>
    <row r="17" spans="1:21">
      <c r="B17">
        <v>60</v>
      </c>
      <c r="K17" t="s">
        <v>351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323</v>
      </c>
    </row>
    <row r="20" spans="1:21">
      <c r="B20">
        <v>100</v>
      </c>
      <c r="K20" t="s">
        <v>352</v>
      </c>
    </row>
    <row r="21" spans="1:21">
      <c r="A21" t="s">
        <v>278</v>
      </c>
      <c r="L21" t="s">
        <v>348</v>
      </c>
    </row>
    <row r="22" spans="1:21">
      <c r="B22" t="s">
        <v>282</v>
      </c>
      <c r="K22" t="s">
        <v>322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356</v>
      </c>
    </row>
    <row r="7" spans="4:11">
      <c r="F7" t="s">
        <v>316</v>
      </c>
    </row>
    <row r="8" spans="4:11">
      <c r="F8" t="s">
        <v>326</v>
      </c>
      <c r="H8" t="s">
        <v>325</v>
      </c>
    </row>
    <row r="9" spans="4:11">
      <c r="E9" t="s">
        <v>319</v>
      </c>
      <c r="F9">
        <v>1</v>
      </c>
      <c r="G9">
        <v>300</v>
      </c>
      <c r="K9" t="s">
        <v>320</v>
      </c>
    </row>
    <row r="10" spans="4:11">
      <c r="F10">
        <v>3</v>
      </c>
      <c r="G10">
        <v>400</v>
      </c>
      <c r="K10" t="s">
        <v>320</v>
      </c>
    </row>
    <row r="11" spans="4:11">
      <c r="F11">
        <v>7</v>
      </c>
      <c r="G11">
        <v>500</v>
      </c>
      <c r="K11" t="s">
        <v>320</v>
      </c>
    </row>
    <row r="12" spans="4:11">
      <c r="F12">
        <v>10</v>
      </c>
      <c r="G12">
        <v>700</v>
      </c>
      <c r="K12" t="s">
        <v>320</v>
      </c>
    </row>
    <row r="14" spans="4:11">
      <c r="D14" s="46" t="s">
        <v>362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自用草稿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2015-11-19T12:40:46Z</dcterms:modified>
</cp:coreProperties>
</file>